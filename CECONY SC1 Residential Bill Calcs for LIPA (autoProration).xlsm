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ROPEYB\Desktop\Rate Engineering\LIPA calc\June 2021 (proration &amp; lipa calc macro)\"/>
    </mc:Choice>
  </mc:AlternateContent>
  <xr:revisionPtr revIDLastSave="0" documentId="13_ncr:1_{9124771B-B47D-47B0-AA1D-49DE84379E78}" xr6:coauthVersionLast="45" xr6:coauthVersionMax="45" xr10:uidLastSave="{00000000-0000-0000-0000-000000000000}"/>
  <bookViews>
    <workbookView xWindow="-110" yWindow="-110" windowWidth="22780" windowHeight="14660" xr2:uid="{F1AF2F17-8859-47BC-9837-674F8035DBC5}"/>
  </bookViews>
  <sheets>
    <sheet name="SC1" sheetId="1" r:id="rId1"/>
  </sheets>
  <definedNames>
    <definedName name="_xlnm.Print_Titles" localSheetId="0">'SC1'!$A:$A,'SC1'!$1:$6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23" i="1" l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89" i="1"/>
  <c r="H88" i="1"/>
  <c r="H87" i="1"/>
  <c r="H86" i="1"/>
  <c r="H85" i="1"/>
  <c r="H84" i="1"/>
  <c r="H83" i="1"/>
  <c r="H82" i="1"/>
  <c r="H81" i="1"/>
  <c r="I59" i="1"/>
  <c r="B5" i="1" l="1"/>
  <c r="C5" i="1"/>
  <c r="D5" i="1"/>
  <c r="E5" i="1"/>
  <c r="F5" i="1"/>
  <c r="G5" i="1"/>
  <c r="H5" i="1"/>
  <c r="I5" i="1"/>
  <c r="J5" i="1"/>
  <c r="K5" i="1"/>
  <c r="L5" i="1"/>
  <c r="M5" i="1"/>
  <c r="M51" i="1" l="1"/>
  <c r="M75" i="1" l="1"/>
  <c r="L75" i="1"/>
  <c r="K75" i="1"/>
  <c r="J75" i="1"/>
  <c r="I75" i="1"/>
  <c r="H75" i="1"/>
  <c r="K74" i="1"/>
  <c r="J74" i="1"/>
  <c r="I74" i="1"/>
  <c r="H74" i="1"/>
  <c r="G74" i="1"/>
  <c r="F74" i="1"/>
  <c r="E74" i="1"/>
  <c r="D74" i="1"/>
  <c r="C74" i="1"/>
  <c r="B74" i="1"/>
  <c r="I73" i="1"/>
  <c r="H73" i="1"/>
  <c r="G73" i="1"/>
  <c r="F73" i="1"/>
  <c r="E73" i="1"/>
  <c r="D73" i="1"/>
  <c r="C73" i="1"/>
  <c r="B73" i="1"/>
  <c r="I72" i="1"/>
  <c r="H72" i="1"/>
  <c r="G72" i="1"/>
  <c r="F72" i="1"/>
  <c r="E72" i="1"/>
  <c r="D72" i="1"/>
  <c r="C72" i="1"/>
  <c r="B72" i="1"/>
  <c r="I71" i="1"/>
  <c r="H71" i="1"/>
  <c r="G71" i="1"/>
  <c r="F71" i="1"/>
  <c r="E71" i="1"/>
  <c r="D71" i="1"/>
  <c r="C71" i="1"/>
  <c r="B71" i="1"/>
  <c r="H70" i="1"/>
  <c r="G70" i="1"/>
  <c r="F70" i="1"/>
  <c r="E70" i="1"/>
  <c r="D70" i="1"/>
  <c r="C70" i="1"/>
  <c r="B70" i="1"/>
  <c r="M66" i="1"/>
  <c r="L66" i="1"/>
  <c r="K66" i="1"/>
  <c r="J66" i="1"/>
  <c r="I66" i="1"/>
  <c r="H66" i="1"/>
  <c r="M65" i="1"/>
  <c r="L65" i="1"/>
  <c r="K65" i="1"/>
  <c r="J65" i="1"/>
  <c r="I65" i="1"/>
  <c r="H65" i="1"/>
  <c r="G65" i="1"/>
  <c r="F65" i="1"/>
  <c r="E65" i="1"/>
  <c r="D65" i="1"/>
  <c r="C65" i="1"/>
  <c r="B65" i="1"/>
  <c r="M64" i="1"/>
  <c r="L64" i="1"/>
  <c r="K64" i="1"/>
  <c r="J64" i="1"/>
  <c r="I64" i="1"/>
  <c r="H64" i="1"/>
  <c r="G64" i="1"/>
  <c r="F64" i="1"/>
  <c r="E64" i="1"/>
  <c r="D64" i="1"/>
  <c r="C64" i="1"/>
  <c r="B64" i="1"/>
  <c r="M63" i="1"/>
  <c r="L63" i="1"/>
  <c r="K63" i="1"/>
  <c r="J63" i="1"/>
  <c r="I63" i="1"/>
  <c r="H63" i="1"/>
  <c r="G63" i="1"/>
  <c r="F63" i="1"/>
  <c r="E63" i="1"/>
  <c r="D63" i="1"/>
  <c r="C63" i="1"/>
  <c r="B63" i="1"/>
  <c r="M62" i="1"/>
  <c r="L62" i="1"/>
  <c r="K62" i="1"/>
  <c r="J62" i="1"/>
  <c r="I62" i="1"/>
  <c r="H62" i="1"/>
  <c r="G62" i="1"/>
  <c r="F62" i="1"/>
  <c r="E62" i="1"/>
  <c r="D62" i="1"/>
  <c r="C62" i="1"/>
  <c r="B62" i="1"/>
  <c r="M61" i="1"/>
  <c r="L61" i="1"/>
  <c r="K61" i="1"/>
  <c r="J61" i="1"/>
  <c r="I61" i="1"/>
  <c r="H61" i="1"/>
  <c r="G61" i="1"/>
  <c r="F61" i="1"/>
  <c r="E61" i="1"/>
  <c r="D61" i="1"/>
  <c r="C61" i="1"/>
  <c r="B61" i="1"/>
  <c r="I60" i="1"/>
  <c r="H60" i="1"/>
  <c r="G60" i="1"/>
  <c r="F60" i="1"/>
  <c r="E60" i="1"/>
  <c r="D60" i="1"/>
  <c r="C60" i="1"/>
  <c r="B60" i="1"/>
  <c r="H59" i="1"/>
  <c r="G59" i="1"/>
  <c r="F59" i="1"/>
  <c r="E59" i="1"/>
  <c r="D59" i="1"/>
  <c r="C59" i="1"/>
  <c r="B59" i="1"/>
  <c r="M58" i="1"/>
  <c r="L58" i="1"/>
  <c r="K58" i="1"/>
  <c r="J58" i="1"/>
  <c r="I58" i="1"/>
  <c r="H58" i="1"/>
  <c r="G58" i="1"/>
  <c r="F58" i="1"/>
  <c r="E58" i="1"/>
  <c r="D58" i="1"/>
  <c r="C58" i="1"/>
  <c r="B58" i="1"/>
  <c r="M57" i="1"/>
  <c r="L57" i="1"/>
  <c r="K57" i="1"/>
  <c r="J57" i="1"/>
  <c r="I57" i="1"/>
  <c r="H57" i="1"/>
  <c r="G57" i="1"/>
  <c r="F57" i="1"/>
  <c r="E57" i="1"/>
  <c r="D57" i="1"/>
  <c r="C57" i="1"/>
  <c r="B57" i="1"/>
  <c r="I56" i="1"/>
  <c r="H56" i="1"/>
  <c r="G56" i="1"/>
  <c r="F56" i="1"/>
  <c r="E56" i="1"/>
  <c r="D56" i="1"/>
  <c r="C56" i="1"/>
  <c r="B56" i="1"/>
  <c r="I55" i="1"/>
  <c r="H55" i="1"/>
  <c r="G55" i="1"/>
  <c r="F55" i="1"/>
  <c r="E55" i="1"/>
  <c r="D55" i="1"/>
  <c r="C55" i="1"/>
  <c r="B55" i="1"/>
  <c r="M54" i="1"/>
  <c r="L54" i="1"/>
  <c r="K54" i="1"/>
  <c r="J54" i="1"/>
  <c r="I54" i="1"/>
  <c r="H54" i="1"/>
  <c r="G54" i="1"/>
  <c r="F54" i="1"/>
  <c r="E54" i="1"/>
  <c r="D54" i="1"/>
  <c r="C54" i="1"/>
  <c r="B54" i="1"/>
  <c r="J53" i="1"/>
  <c r="I53" i="1"/>
  <c r="H53" i="1"/>
  <c r="G53" i="1"/>
  <c r="F53" i="1"/>
  <c r="E53" i="1"/>
  <c r="D53" i="1"/>
  <c r="C53" i="1"/>
  <c r="B53" i="1"/>
  <c r="M52" i="1"/>
  <c r="L52" i="1"/>
  <c r="K52" i="1"/>
  <c r="J52" i="1"/>
  <c r="I52" i="1"/>
  <c r="H52" i="1"/>
  <c r="G52" i="1"/>
  <c r="F52" i="1"/>
  <c r="E52" i="1"/>
  <c r="D52" i="1"/>
  <c r="C52" i="1"/>
  <c r="B52" i="1"/>
  <c r="L51" i="1"/>
  <c r="K51" i="1"/>
  <c r="J51" i="1"/>
  <c r="I51" i="1"/>
  <c r="H51" i="1"/>
  <c r="G51" i="1"/>
  <c r="F51" i="1"/>
  <c r="E51" i="1"/>
  <c r="D51" i="1"/>
  <c r="C51" i="1"/>
  <c r="B51" i="1"/>
  <c r="M33" i="1"/>
  <c r="M74" i="1" s="1"/>
  <c r="L33" i="1"/>
  <c r="L74" i="1" s="1"/>
  <c r="M30" i="1"/>
  <c r="M73" i="1" s="1"/>
  <c r="L30" i="1"/>
  <c r="L73" i="1" s="1"/>
  <c r="K30" i="1"/>
  <c r="K73" i="1" s="1"/>
  <c r="J30" i="1"/>
  <c r="J73" i="1" s="1"/>
  <c r="M29" i="1"/>
  <c r="M72" i="1" s="1"/>
  <c r="L29" i="1"/>
  <c r="L72" i="1" s="1"/>
  <c r="K29" i="1"/>
  <c r="K72" i="1" s="1"/>
  <c r="J29" i="1"/>
  <c r="J72" i="1" s="1"/>
  <c r="M28" i="1"/>
  <c r="M59" i="1" s="1"/>
  <c r="L28" i="1"/>
  <c r="L59" i="1" s="1"/>
  <c r="K28" i="1"/>
  <c r="K59" i="1" s="1"/>
  <c r="J28" i="1"/>
  <c r="J59" i="1" s="1"/>
  <c r="M25" i="1"/>
  <c r="M71" i="1" s="1"/>
  <c r="L25" i="1"/>
  <c r="L71" i="1" s="1"/>
  <c r="K25" i="1"/>
  <c r="K71" i="1" s="1"/>
  <c r="J25" i="1"/>
  <c r="J71" i="1" s="1"/>
  <c r="M24" i="1"/>
  <c r="M70" i="1" s="1"/>
  <c r="L24" i="1"/>
  <c r="L70" i="1" s="1"/>
  <c r="K24" i="1"/>
  <c r="K70" i="1" s="1"/>
  <c r="J24" i="1"/>
  <c r="J70" i="1" s="1"/>
  <c r="I24" i="1"/>
  <c r="I70" i="1" s="1"/>
  <c r="M18" i="1"/>
  <c r="M60" i="1" s="1"/>
  <c r="L18" i="1"/>
  <c r="L60" i="1" s="1"/>
  <c r="K18" i="1"/>
  <c r="K60" i="1" s="1"/>
  <c r="J18" i="1"/>
  <c r="J60" i="1" s="1"/>
  <c r="M17" i="1"/>
  <c r="M56" i="1" s="1"/>
  <c r="L17" i="1"/>
  <c r="L56" i="1" s="1"/>
  <c r="K17" i="1"/>
  <c r="K56" i="1" s="1"/>
  <c r="J17" i="1"/>
  <c r="J56" i="1" s="1"/>
  <c r="M16" i="1"/>
  <c r="M55" i="1" s="1"/>
  <c r="L16" i="1"/>
  <c r="L55" i="1" s="1"/>
  <c r="K16" i="1"/>
  <c r="K55" i="1" s="1"/>
  <c r="J16" i="1"/>
  <c r="J55" i="1" s="1"/>
  <c r="M14" i="1"/>
  <c r="M53" i="1" s="1"/>
  <c r="L14" i="1"/>
  <c r="L53" i="1" s="1"/>
  <c r="K14" i="1"/>
  <c r="K53" i="1" s="1"/>
  <c r="C6" i="1"/>
  <c r="D76" i="1" l="1"/>
  <c r="D77" i="1" s="1"/>
  <c r="D6" i="1"/>
  <c r="B76" i="1"/>
  <c r="B77" i="1" s="1"/>
  <c r="E76" i="1"/>
  <c r="E77" i="1" s="1"/>
  <c r="F76" i="1"/>
  <c r="C76" i="1"/>
  <c r="C77" i="1" s="1"/>
  <c r="C67" i="1"/>
  <c r="C68" i="1" s="1"/>
  <c r="K67" i="1"/>
  <c r="K68" i="1" s="1"/>
  <c r="H67" i="1"/>
  <c r="H68" i="1" s="1"/>
  <c r="D67" i="1"/>
  <c r="D68" i="1" s="1"/>
  <c r="D79" i="1" s="1"/>
  <c r="E67" i="1"/>
  <c r="E68" i="1" s="1"/>
  <c r="E79" i="1" s="1"/>
  <c r="F67" i="1"/>
  <c r="G67" i="1"/>
  <c r="G68" i="1" s="1"/>
  <c r="J76" i="1"/>
  <c r="J77" i="1" s="1"/>
  <c r="L67" i="1"/>
  <c r="L68" i="1" s="1"/>
  <c r="F77" i="1"/>
  <c r="I76" i="1"/>
  <c r="I77" i="1" s="1"/>
  <c r="K76" i="1"/>
  <c r="K77" i="1" s="1"/>
  <c r="M67" i="1"/>
  <c r="M68" i="1" s="1"/>
  <c r="L76" i="1"/>
  <c r="L77" i="1" s="1"/>
  <c r="M76" i="1"/>
  <c r="M77" i="1" s="1"/>
  <c r="I67" i="1"/>
  <c r="I68" i="1" s="1"/>
  <c r="G76" i="1"/>
  <c r="G77" i="1" s="1"/>
  <c r="B67" i="1"/>
  <c r="B68" i="1" s="1"/>
  <c r="J67" i="1"/>
  <c r="J68" i="1" s="1"/>
  <c r="H76" i="1"/>
  <c r="E6" i="1" l="1"/>
  <c r="C79" i="1"/>
  <c r="F68" i="1"/>
  <c r="I79" i="1"/>
  <c r="G79" i="1"/>
  <c r="B79" i="1"/>
  <c r="H77" i="1"/>
  <c r="J79" i="1"/>
  <c r="M79" i="1"/>
  <c r="L79" i="1"/>
  <c r="K79" i="1"/>
  <c r="F6" i="1" l="1"/>
  <c r="F79" i="1"/>
  <c r="H79" i="1"/>
  <c r="G6" i="1" l="1"/>
  <c r="H6" i="1" l="1"/>
  <c r="I6" i="1" l="1"/>
  <c r="J6" i="1" l="1"/>
  <c r="K6" i="1" l="1"/>
  <c r="L6" i="1" l="1"/>
  <c r="M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joer</author>
  </authors>
  <commentList>
    <comment ref="A24" authorId="0" shapeId="0" xr:uid="{EFAA867B-4894-43BE-A25B-47FAA719E94F}">
      <text>
        <r>
          <rPr>
            <b/>
            <sz val="8"/>
            <color indexed="81"/>
            <rFont val="Tahoma"/>
            <family val="2"/>
          </rPr>
          <t>joer:</t>
        </r>
        <r>
          <rPr>
            <sz val="8"/>
            <color indexed="81"/>
            <rFont val="Tahoma"/>
            <family val="2"/>
          </rPr>
          <t xml:space="preserve">
Based on Zone J</t>
        </r>
      </text>
    </comment>
  </commentList>
</comments>
</file>

<file path=xl/sharedStrings.xml><?xml version="1.0" encoding="utf-8"?>
<sst xmlns="http://schemas.openxmlformats.org/spreadsheetml/2006/main" count="89" uniqueCount="59">
  <si>
    <t>For Comparison to LIPA Calculations</t>
  </si>
  <si>
    <t>* These bills assume the 1st of the month.  Therefore, adjusters would reflect the prior month's rate since the adjusters go into effect on Trip 8</t>
  </si>
  <si>
    <t>Rates</t>
  </si>
  <si>
    <t>BASIC SERVICE/CUSTOMER CHARGE</t>
  </si>
  <si>
    <t>DELIVERY CHARGE, PER KWH</t>
  </si>
  <si>
    <t xml:space="preserve">  FIRST 250 KWH</t>
  </si>
  <si>
    <t xml:space="preserve">  OVER 250 KWH </t>
  </si>
  <si>
    <t>DELIVERY REVENUE SURCHARGE PER KWH</t>
  </si>
  <si>
    <t>BILL ISSUANCE CHARGE (BPP), PER BILL</t>
  </si>
  <si>
    <t>REVENUE DECOUPLING ADJ. (RDM), PER KWH</t>
  </si>
  <si>
    <t>MONTHLY ADJUSTMENT (MAC), PER KWH</t>
  </si>
  <si>
    <t>UNCOLLECTIBLE DELIVERY (MAC)</t>
  </si>
  <si>
    <t>TRANSITION ADJUSTMENT - DELIVERY</t>
  </si>
  <si>
    <t>SYSTEM BENEFIT CHARGE, PER KWH</t>
  </si>
  <si>
    <t>RENEWABLE PORTFOLIO CHARGE, PER KWH</t>
  </si>
  <si>
    <t>VDER COST RECOVERY DELIVERY, PER KWH</t>
  </si>
  <si>
    <t>ELECTRIC SUPPLY (MSC), PER KWH</t>
  </si>
  <si>
    <t>MERCHANT FUNCTION CHARGE, PER KWH</t>
  </si>
  <si>
    <t>TAXES (NYC)  COMMODITY</t>
  </si>
  <si>
    <t xml:space="preserve">                            DELIVERY</t>
  </si>
  <si>
    <t>MAC, PER KWH</t>
  </si>
  <si>
    <t>MSCI, PER KWH</t>
  </si>
  <si>
    <t>MSCII, PER KWH</t>
  </si>
  <si>
    <t>NYS (18a) ASSESSMENT, PER KWH</t>
  </si>
  <si>
    <t>CLEAN ENERGY STD DELIVERY CHARGE, PER KWH</t>
  </si>
  <si>
    <t>CLEAN ENERGY STD SUPPLY CHARGE, PER KWH</t>
  </si>
  <si>
    <t>DYNAMIC LOAD MGMT SURCHARGE, PER KWH</t>
  </si>
  <si>
    <t>TAX SURCREDIT</t>
  </si>
  <si>
    <t>VDER COST RECOVERY SUPPLY, PER KWH</t>
  </si>
  <si>
    <t>Billing Determinants</t>
  </si>
  <si>
    <t>Sales (kWh)</t>
  </si>
  <si>
    <t>Bill Amounts</t>
  </si>
  <si>
    <t>BASIC SERVICE CHARGE</t>
  </si>
  <si>
    <t>DELIVERY CHARGE</t>
  </si>
  <si>
    <t>DELIVERY REVENUE SURCHARGE</t>
  </si>
  <si>
    <t>BILL ISSUANCE CHARGE</t>
  </si>
  <si>
    <t>REVENUE DECOUPLING ADJUSTMENT</t>
  </si>
  <si>
    <t>MONTHLY ADJUSTMENT</t>
  </si>
  <si>
    <t>SYSTEM BENEFIT CHARGE</t>
  </si>
  <si>
    <t>RENEWABLE PORTFOLIO CHARGE</t>
  </si>
  <si>
    <t>MONTHLY ADJUSTMENT CHARGE (MAC)</t>
  </si>
  <si>
    <t>UNCOLLECTIBLE DELIVERY</t>
  </si>
  <si>
    <t>TRANSITION ADJUSTMENT-DELIVERY</t>
  </si>
  <si>
    <t>NYS ASSESSMENT CHARGE</t>
  </si>
  <si>
    <t>CLEAN ENERGY STD DELIVERY CHARGE</t>
  </si>
  <si>
    <t>DYNAMIC LOAD MGMT CHARGE</t>
  </si>
  <si>
    <t>VDER COST RECOVERY DELIVERY</t>
  </si>
  <si>
    <t>TAXES (NEW YORK CITY)</t>
  </si>
  <si>
    <t xml:space="preserve">   TOTAL ELECTRIC DELIVERY CHARGE</t>
  </si>
  <si>
    <t>ELECTRIC SUPPLY</t>
  </si>
  <si>
    <t>MERCHANT FUNCTION CHARGE</t>
  </si>
  <si>
    <t>MARKET SUPPLY CHARGE (MSCI)</t>
  </si>
  <si>
    <t>MARKET SUPPLY CHARGE (MSCII)</t>
  </si>
  <si>
    <t>CLEAN ENERGY STD SUPPLY CHARGE</t>
  </si>
  <si>
    <t>VDER COST RECOVERY SUPPLY</t>
  </si>
  <si>
    <t xml:space="preserve">    TOTAL  ELECTRIC SUPPLY CHARGE</t>
  </si>
  <si>
    <t>TOTAL ELECTRIC CHARGE</t>
  </si>
  <si>
    <t>TO DATE</t>
  </si>
  <si>
    <t>FROM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</si>
</sst>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\-yy;@"/>
    <numFmt numFmtId="165" formatCode="&quot;$&quot;#,##0.00000_);\(&quot;$&quot;#,##0.00000\)"/>
    <numFmt numFmtId="166" formatCode="&quot;$&quot;#,##0.000000_);\(&quot;$&quot;#,##0.000000\)"/>
    <numFmt numFmtId="167" formatCode="&quot;$&quot;#,##0.0000_);\(&quot;$&quot;#,##0.0000\)"/>
    <numFmt numFmtId="168" formatCode="0.0000%"/>
    <numFmt numFmtId="169" formatCode="\$#,##0.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u/>
      <sz val="8"/>
      <color theme="1"/>
      <name val="Arial"/>
      <family val="2"/>
    </font>
    <font>
      <sz val="8"/>
      <name val="Arial"/>
      <family val="2"/>
    </font>
    <font>
      <sz val="8"/>
      <color rgb="FF0000FF"/>
      <name val="Arial"/>
      <family val="2"/>
    </font>
    <font>
      <b/>
      <u/>
      <sz val="8"/>
      <name val="Arial"/>
      <family val="2"/>
    </font>
    <font>
      <u val="singleAccounting"/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rgb="FFFF0000"/>
      <name val="Arial"/>
      <family val="2"/>
    </font>
    <font>
      <sz val="9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0">
    <xf numFmtId="0" fontId="0" fillId="0" borderId="0" xfId="0"/>
    <xf numFmtId="0" fontId="2" fillId="0" borderId="0" xfId="0" applyFont="1"/>
    <xf numFmtId="0" fontId="3" fillId="0" borderId="0" xfId="0" applyFont="1"/>
    <xf numFmtId="164" fontId="2" fillId="0" borderId="0" xfId="0" applyNumberFormat="1" applyFont="1"/>
    <xf numFmtId="0" fontId="4" fillId="2" borderId="0" xfId="0" applyFont="1" applyFill="1"/>
    <xf numFmtId="0" fontId="3" fillId="2" borderId="0" xfId="0" applyFont="1" applyFill="1"/>
    <xf numFmtId="0" fontId="5" fillId="2" borderId="0" xfId="0" applyFont="1" applyFill="1"/>
    <xf numFmtId="7" fontId="5" fillId="2" borderId="0" xfId="0" applyNumberFormat="1" applyFont="1" applyFill="1"/>
    <xf numFmtId="7" fontId="6" fillId="2" borderId="0" xfId="0" applyNumberFormat="1" applyFont="1" applyFill="1"/>
    <xf numFmtId="165" fontId="5" fillId="2" borderId="0" xfId="0" applyNumberFormat="1" applyFont="1" applyFill="1"/>
    <xf numFmtId="166" fontId="6" fillId="2" borderId="0" xfId="0" applyNumberFormat="1" applyFont="1" applyFill="1"/>
    <xf numFmtId="0" fontId="6" fillId="2" borderId="0" xfId="0" applyFont="1" applyFill="1"/>
    <xf numFmtId="0" fontId="5" fillId="2" borderId="0" xfId="0" quotePrefix="1" applyFont="1" applyFill="1"/>
    <xf numFmtId="165" fontId="6" fillId="2" borderId="0" xfId="0" applyNumberFormat="1" applyFont="1" applyFill="1"/>
    <xf numFmtId="166" fontId="5" fillId="2" borderId="0" xfId="0" applyNumberFormat="1" applyFont="1" applyFill="1"/>
    <xf numFmtId="167" fontId="5" fillId="2" borderId="0" xfId="0" applyNumberFormat="1" applyFont="1" applyFill="1"/>
    <xf numFmtId="167" fontId="6" fillId="2" borderId="0" xfId="0" applyNumberFormat="1" applyFont="1" applyFill="1"/>
    <xf numFmtId="9" fontId="3" fillId="2" borderId="0" xfId="2" applyFont="1" applyFill="1"/>
    <xf numFmtId="168" fontId="5" fillId="2" borderId="0" xfId="0" applyNumberFormat="1" applyFont="1" applyFill="1"/>
    <xf numFmtId="168" fontId="5" fillId="2" borderId="0" xfId="2" applyNumberFormat="1" applyFont="1" applyFill="1" applyBorder="1"/>
    <xf numFmtId="168" fontId="6" fillId="2" borderId="0" xfId="2" applyNumberFormat="1" applyFont="1" applyFill="1" applyBorder="1"/>
    <xf numFmtId="0" fontId="7" fillId="3" borderId="0" xfId="0" applyFont="1" applyFill="1" applyProtection="1">
      <protection locked="0"/>
    </xf>
    <xf numFmtId="0" fontId="3" fillId="3" borderId="0" xfId="0" applyFont="1" applyFill="1"/>
    <xf numFmtId="0" fontId="5" fillId="3" borderId="0" xfId="0" applyFont="1" applyFill="1" applyAlignment="1">
      <alignment horizontal="left"/>
    </xf>
    <xf numFmtId="0" fontId="7" fillId="4" borderId="0" xfId="0" applyFont="1" applyFill="1"/>
    <xf numFmtId="0" fontId="3" fillId="4" borderId="0" xfId="0" applyFont="1" applyFill="1"/>
    <xf numFmtId="44" fontId="5" fillId="4" borderId="0" xfId="1" applyFont="1" applyFill="1" applyAlignment="1">
      <alignment horizontal="right"/>
    </xf>
    <xf numFmtId="39" fontId="5" fillId="4" borderId="0" xfId="0" applyNumberFormat="1" applyFont="1" applyFill="1" applyAlignment="1">
      <alignment horizontal="right"/>
    </xf>
    <xf numFmtId="43" fontId="8" fillId="4" borderId="0" xfId="0" applyNumberFormat="1" applyFont="1" applyFill="1" applyAlignment="1">
      <alignment horizontal="right"/>
    </xf>
    <xf numFmtId="44" fontId="9" fillId="4" borderId="0" xfId="0" applyNumberFormat="1" applyFont="1" applyFill="1" applyAlignment="1">
      <alignment horizontal="right"/>
    </xf>
    <xf numFmtId="44" fontId="5" fillId="4" borderId="0" xfId="0" applyNumberFormat="1" applyFont="1" applyFill="1" applyAlignment="1">
      <alignment horizontal="right"/>
    </xf>
    <xf numFmtId="43" fontId="5" fillId="4" borderId="0" xfId="0" applyNumberFormat="1" applyFont="1" applyFill="1" applyAlignment="1">
      <alignment horizontal="right"/>
    </xf>
    <xf numFmtId="7" fontId="5" fillId="4" borderId="0" xfId="1" applyNumberFormat="1" applyFont="1" applyFill="1" applyAlignment="1">
      <alignment horizontal="right"/>
    </xf>
    <xf numFmtId="0" fontId="2" fillId="0" borderId="0" xfId="0" applyFont="1" applyAlignment="1">
      <alignment horizontal="right"/>
    </xf>
    <xf numFmtId="14" fontId="12" fillId="0" borderId="0" xfId="0" applyNumberFormat="1" applyFont="1"/>
    <xf numFmtId="164" fontId="3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1" defaultTableStyle="TableStyleMedium2" defaultPivotStyle="PivotStyleLight16">
    <tableStyle name="Invisible" pivot="0" table="0" count="0" xr9:uid="{32804F9F-9058-4155-93D0-A6B4F5B4AE6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2</xdr:row>
          <xdr:rowOff>12700</xdr:rowOff>
        </xdr:from>
        <xdr:to>
          <xdr:col>7</xdr:col>
          <xdr:colOff>622300</xdr:colOff>
          <xdr:row>2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26377</xdr:colOff>
          <xdr:row>3</xdr:row>
          <xdr:rowOff>31750</xdr:rowOff>
        </xdr:from>
        <xdr:to>
          <xdr:col>7</xdr:col>
          <xdr:colOff>623277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coned.com/_external/cerates/documents/elecPSC10/StatSDR-10.pdf" TargetMode="External"/><Relationship Id="rId21" Type="http://schemas.openxmlformats.org/officeDocument/2006/relationships/hyperlink" Target="https://www.coned.com/_external/cerates/documents/elecPSC10/StatDLM-4.pdf" TargetMode="External"/><Relationship Id="rId42" Type="http://schemas.openxmlformats.org/officeDocument/2006/relationships/hyperlink" Target="https://www.coned.com/_external/cerates/documents/elecPSC10/StatDLM-4.pdf" TargetMode="External"/><Relationship Id="rId47" Type="http://schemas.openxmlformats.org/officeDocument/2006/relationships/hyperlink" Target="https://www.coned.com/_external/cerates/documents/elecPSC10/electric-tariff.pdf" TargetMode="External"/><Relationship Id="rId63" Type="http://schemas.openxmlformats.org/officeDocument/2006/relationships/hyperlink" Target="https://www.coned.com/_external/cerates/documents/elecPSC10/StatVDER-CR-4.pdf" TargetMode="External"/><Relationship Id="rId68" Type="http://schemas.openxmlformats.org/officeDocument/2006/relationships/hyperlink" Target="https://www.coned.com/_external/cerates/documents/elecPSC10/electric-tariff.pdf" TargetMode="External"/><Relationship Id="rId84" Type="http://schemas.openxmlformats.org/officeDocument/2006/relationships/hyperlink" Target="https://www.coned.com/_external/cerates/documents/elecPSC10/StatVDER-CR-4.pdf" TargetMode="External"/><Relationship Id="rId89" Type="http://schemas.openxmlformats.org/officeDocument/2006/relationships/hyperlink" Target="https://www.coned.com/_external/cerates/documents/elecPSC10/electric-tariff.pdf" TargetMode="External"/><Relationship Id="rId112" Type="http://schemas.openxmlformats.org/officeDocument/2006/relationships/comments" Target="../comments1.xml"/><Relationship Id="rId2" Type="http://schemas.openxmlformats.org/officeDocument/2006/relationships/hyperlink" Target="https://www.coned.com/_external/cerates/documents/elecPSC10/electric-tariff.pdf" TargetMode="External"/><Relationship Id="rId16" Type="http://schemas.openxmlformats.org/officeDocument/2006/relationships/hyperlink" Target="https://www.coned.com/_external/cerates/documents/elecPSC10/MACAdjCurrentPSCNo10.pdf" TargetMode="External"/><Relationship Id="rId29" Type="http://schemas.openxmlformats.org/officeDocument/2006/relationships/hyperlink" Target="https://www.coned.com/_external/cerates/documents/elecPSC10/StatMAC-109.pdf" TargetMode="External"/><Relationship Id="rId107" Type="http://schemas.openxmlformats.org/officeDocument/2006/relationships/printerSettings" Target="../printerSettings/printerSettings1.bin"/><Relationship Id="rId11" Type="http://schemas.openxmlformats.org/officeDocument/2006/relationships/hyperlink" Target="https://www.coned.com/_external/cerates/documents/elecPSC10/StatVDER-CR-4.pdf" TargetMode="External"/><Relationship Id="rId24" Type="http://schemas.openxmlformats.org/officeDocument/2006/relationships/hyperlink" Target="https://www.coned.com/_external/cerates/documents/elecPSC10/electric-tariff.pdf" TargetMode="External"/><Relationship Id="rId32" Type="http://schemas.openxmlformats.org/officeDocument/2006/relationships/hyperlink" Target="https://www.coned.com/_external/cerates/documents/elecPSC10/StatSBC-11.pdf" TargetMode="External"/><Relationship Id="rId37" Type="http://schemas.openxmlformats.org/officeDocument/2006/relationships/hyperlink" Target="https://www.coned.com/_external/cerates/documents/elecPSC10/MACAdjCurrentPSCNo10.pdf" TargetMode="External"/><Relationship Id="rId40" Type="http://schemas.openxmlformats.org/officeDocument/2006/relationships/hyperlink" Target="https://www.coned.com/_external/cerates/documents/elecPSC10/StatCESD-1.pdf" TargetMode="External"/><Relationship Id="rId45" Type="http://schemas.openxmlformats.org/officeDocument/2006/relationships/hyperlink" Target="https://www.coned.com/_external/cerates/documents/elecPSC10/electric-tariff.pdf" TargetMode="External"/><Relationship Id="rId53" Type="http://schemas.openxmlformats.org/officeDocument/2006/relationships/hyperlink" Target="https://www.coned.com/_external/cerates/documents/elecPSC10/StatVDER-CR-4.pdf" TargetMode="External"/><Relationship Id="rId58" Type="http://schemas.openxmlformats.org/officeDocument/2006/relationships/hyperlink" Target="https://www.coned.com/_external/cerates/documents/elecPSC10/MSCAdjCurrentPSCNo10.pdf" TargetMode="External"/><Relationship Id="rId66" Type="http://schemas.openxmlformats.org/officeDocument/2006/relationships/hyperlink" Target="https://www.coned.com/_external/cerates/documents/elecPSC10/electric-tariff.pdf" TargetMode="External"/><Relationship Id="rId74" Type="http://schemas.openxmlformats.org/officeDocument/2006/relationships/hyperlink" Target="https://www.coned.com/_external/cerates/documents/elecPSC10/StatVDER-CR-4.pdf" TargetMode="External"/><Relationship Id="rId79" Type="http://schemas.openxmlformats.org/officeDocument/2006/relationships/hyperlink" Target="https://www.coned.com/_external/cerates/documents/elecPSC10/MSCAdjCurrentPSCNo10.pdf" TargetMode="External"/><Relationship Id="rId87" Type="http://schemas.openxmlformats.org/officeDocument/2006/relationships/hyperlink" Target="https://www.coned.com/_external/cerates/documents/elecPSC10/electric-tariff.pdf" TargetMode="External"/><Relationship Id="rId102" Type="http://schemas.openxmlformats.org/officeDocument/2006/relationships/hyperlink" Target="https://www.coned.com/_external/cerates/documents/elecPSC10/StatCESD-1.pdf" TargetMode="External"/><Relationship Id="rId110" Type="http://schemas.openxmlformats.org/officeDocument/2006/relationships/ctrlProp" Target="../ctrlProps/ctrlProp1.xml"/><Relationship Id="rId5" Type="http://schemas.openxmlformats.org/officeDocument/2006/relationships/hyperlink" Target="https://www.coned.com/_external/cerates/documents/elecPSC10/electric-tariff.pdf" TargetMode="External"/><Relationship Id="rId61" Type="http://schemas.openxmlformats.org/officeDocument/2006/relationships/hyperlink" Target="https://www.coned.com/_external/cerates/documents/elecPSC10/StatCESS-5.pdf" TargetMode="External"/><Relationship Id="rId82" Type="http://schemas.openxmlformats.org/officeDocument/2006/relationships/hyperlink" Target="https://www.coned.com/_external/cerates/documents/elecPSC10/StatCESS-5.pdf" TargetMode="External"/><Relationship Id="rId90" Type="http://schemas.openxmlformats.org/officeDocument/2006/relationships/hyperlink" Target="https://www.coned.com/_external/cerates/documents/elecPSC10/StatRDM-27.pdf" TargetMode="External"/><Relationship Id="rId95" Type="http://schemas.openxmlformats.org/officeDocument/2006/relationships/hyperlink" Target="https://www.coned.com/_external/cerates/documents/elecPSC10/StatVDER-CR-4.pdf" TargetMode="External"/><Relationship Id="rId19" Type="http://schemas.openxmlformats.org/officeDocument/2006/relationships/hyperlink" Target="https://www.coned.com/_external/cerates/documents/elecPSC10/StatCESD-1.pdf" TargetMode="External"/><Relationship Id="rId14" Type="http://schemas.openxmlformats.org/officeDocument/2006/relationships/hyperlink" Target="https://www.coned.com/_external/cerates/documents/elecPSC10/StatGRT-20.pdf" TargetMode="External"/><Relationship Id="rId22" Type="http://schemas.openxmlformats.org/officeDocument/2006/relationships/hyperlink" Target="https://www.coned.com/_external/cerates/documents/elecPSC10/StatVDER-CR-4.pdf" TargetMode="External"/><Relationship Id="rId27" Type="http://schemas.openxmlformats.org/officeDocument/2006/relationships/hyperlink" Target="https://www.coned.com/_external/cerates/documents/elecPSC10/electric-tariff.pdf" TargetMode="External"/><Relationship Id="rId30" Type="http://schemas.openxmlformats.org/officeDocument/2006/relationships/hyperlink" Target="https://www.coned.com/_external/cerates/documents/elecPSC10/MACAdjCurrentPSCNo10.pdf" TargetMode="External"/><Relationship Id="rId35" Type="http://schemas.openxmlformats.org/officeDocument/2006/relationships/hyperlink" Target="https://www.coned.com/_external/cerates/documents/elecPSC10/StatGRT-20.pdf" TargetMode="External"/><Relationship Id="rId43" Type="http://schemas.openxmlformats.org/officeDocument/2006/relationships/hyperlink" Target="https://www.coned.com/_external/cerates/documents/elecPSC10/StatVDER-CR-4.pdf" TargetMode="External"/><Relationship Id="rId48" Type="http://schemas.openxmlformats.org/officeDocument/2006/relationships/hyperlink" Target="https://www.coned.com/_external/cerates/documents/elecPSC10/StatRDM-27.pdf" TargetMode="External"/><Relationship Id="rId56" Type="http://schemas.openxmlformats.org/officeDocument/2006/relationships/hyperlink" Target="https://www.coned.com/_external/cerates/documents/elecPSC10/StatGRT-20.pdf" TargetMode="External"/><Relationship Id="rId64" Type="http://schemas.openxmlformats.org/officeDocument/2006/relationships/hyperlink" Target="https://www.coned.com/_external/cerates/documents/elecPSC10/electric-tariff.pdf" TargetMode="External"/><Relationship Id="rId69" Type="http://schemas.openxmlformats.org/officeDocument/2006/relationships/hyperlink" Target="https://www.coned.com/_external/cerates/documents/elecPSC10/StatRDM-27.pdf" TargetMode="External"/><Relationship Id="rId77" Type="http://schemas.openxmlformats.org/officeDocument/2006/relationships/hyperlink" Target="https://www.coned.com/_external/cerates/documents/elecPSC10/StatGRT-21.pdf" TargetMode="External"/><Relationship Id="rId100" Type="http://schemas.openxmlformats.org/officeDocument/2006/relationships/hyperlink" Target="https://www.coned.com/_external/cerates/documents/elecPSC10/MSCAdjCurrentPSCNo10.pdf" TargetMode="External"/><Relationship Id="rId105" Type="http://schemas.openxmlformats.org/officeDocument/2006/relationships/hyperlink" Target="https://www.coned.com/_external/cerates/documents/elecPSC10/StatVDER-CR-4.pdf" TargetMode="External"/><Relationship Id="rId8" Type="http://schemas.openxmlformats.org/officeDocument/2006/relationships/hyperlink" Target="https://www.coned.com/_external/cerates/documents/elecPSC10/MACAdjCurrentPSCNo10.pdf" TargetMode="External"/><Relationship Id="rId51" Type="http://schemas.openxmlformats.org/officeDocument/2006/relationships/hyperlink" Target="https://www.coned.com/_external/cerates/documents/elecPSC10/MACAdjCurrentPSCNo10.pdf" TargetMode="External"/><Relationship Id="rId72" Type="http://schemas.openxmlformats.org/officeDocument/2006/relationships/hyperlink" Target="https://www.coned.com/_external/cerates/documents/elecPSC10/MACAdjCurrentPSCNo10.pdf" TargetMode="External"/><Relationship Id="rId80" Type="http://schemas.openxmlformats.org/officeDocument/2006/relationships/hyperlink" Target="https://www.coned.com/_external/cerates/documents/elecPSC10/MSCAdjCurrentPSCNo10.pdf" TargetMode="External"/><Relationship Id="rId85" Type="http://schemas.openxmlformats.org/officeDocument/2006/relationships/hyperlink" Target="https://www.coned.com/_external/cerates/documents/elecPSC10/electric-tariff.pdf" TargetMode="External"/><Relationship Id="rId93" Type="http://schemas.openxmlformats.org/officeDocument/2006/relationships/hyperlink" Target="https://www.coned.com/_external/cerates/documents/elecPSC10/MACAdjCurrentPSCNo10.pdf" TargetMode="External"/><Relationship Id="rId98" Type="http://schemas.openxmlformats.org/officeDocument/2006/relationships/hyperlink" Target="https://www.coned.com/_external/cerates/documents/elecPSC10/StatGRT-21.pdf" TargetMode="External"/><Relationship Id="rId3" Type="http://schemas.openxmlformats.org/officeDocument/2006/relationships/hyperlink" Target="https://www.coned.com/_external/cerates/documents/elecPSC10/electric-tariff.pdf" TargetMode="External"/><Relationship Id="rId12" Type="http://schemas.openxmlformats.org/officeDocument/2006/relationships/hyperlink" Target="https://apps.coned.com/CEMyAccount/csol/MSCcc.aspx" TargetMode="External"/><Relationship Id="rId17" Type="http://schemas.openxmlformats.org/officeDocument/2006/relationships/hyperlink" Target="https://www.coned.com/_external/cerates/documents/elecPSC10/MSCAdjCurrentPSCNo10.pdf" TargetMode="External"/><Relationship Id="rId25" Type="http://schemas.openxmlformats.org/officeDocument/2006/relationships/hyperlink" Target="https://www.coned.com/_external/cerates/documents/elecPSC10/electric-tariff.pdf" TargetMode="External"/><Relationship Id="rId33" Type="http://schemas.openxmlformats.org/officeDocument/2006/relationships/hyperlink" Target="https://www.coned.com/_external/cerates/documents/elecPSC10/StatVDER-CR-4.pdf" TargetMode="External"/><Relationship Id="rId38" Type="http://schemas.openxmlformats.org/officeDocument/2006/relationships/hyperlink" Target="https://www.coned.com/_external/cerates/documents/elecPSC10/MSCAdjCurrentPSCNo10.pdf" TargetMode="External"/><Relationship Id="rId46" Type="http://schemas.openxmlformats.org/officeDocument/2006/relationships/hyperlink" Target="https://www.coned.com/_external/cerates/documents/elecPSC10/StatSDR-10.pdf" TargetMode="External"/><Relationship Id="rId59" Type="http://schemas.openxmlformats.org/officeDocument/2006/relationships/hyperlink" Target="https://www.coned.com/_external/cerates/documents/elecPSC10/MSCAdjCurrentPSCNo10.pdf" TargetMode="External"/><Relationship Id="rId67" Type="http://schemas.openxmlformats.org/officeDocument/2006/relationships/hyperlink" Target="https://www.coned.com/_external/cerates/documents/elecPSC10/StatSDR-10.pdf" TargetMode="External"/><Relationship Id="rId103" Type="http://schemas.openxmlformats.org/officeDocument/2006/relationships/hyperlink" Target="https://www.coned.com/_external/cerates/documents/elecPSC10/StatCESS-5.pdf" TargetMode="External"/><Relationship Id="rId108" Type="http://schemas.openxmlformats.org/officeDocument/2006/relationships/drawing" Target="../drawings/drawing1.xml"/><Relationship Id="rId20" Type="http://schemas.openxmlformats.org/officeDocument/2006/relationships/hyperlink" Target="https://www.coned.com/_external/cerates/documents/elecPSC10/StatCESS-5.pdf" TargetMode="External"/><Relationship Id="rId41" Type="http://schemas.openxmlformats.org/officeDocument/2006/relationships/hyperlink" Target="https://www.coned.com/_external/cerates/documents/elecPSC10/StatCESS-5.pdf" TargetMode="External"/><Relationship Id="rId54" Type="http://schemas.openxmlformats.org/officeDocument/2006/relationships/hyperlink" Target="https://www.coned.com/_external/cerates/documents/elecPSC10/StatMFC-111.pdf" TargetMode="External"/><Relationship Id="rId62" Type="http://schemas.openxmlformats.org/officeDocument/2006/relationships/hyperlink" Target="https://www.coned.com/_external/cerates/documents/elecPSC10/StatDLM-4.pdf" TargetMode="External"/><Relationship Id="rId70" Type="http://schemas.openxmlformats.org/officeDocument/2006/relationships/hyperlink" Target="https://www.coned.com/_external/cerates/documents/elecPSC10/StatMAC-109.pdf" TargetMode="External"/><Relationship Id="rId75" Type="http://schemas.openxmlformats.org/officeDocument/2006/relationships/hyperlink" Target="https://www.coned.com/_external/cerates/documents/elecPSC10/StatMFC-111.pdf" TargetMode="External"/><Relationship Id="rId83" Type="http://schemas.openxmlformats.org/officeDocument/2006/relationships/hyperlink" Target="https://www.coned.com/_external/cerates/documents/elecPSC10/StatDLM-4.pdf" TargetMode="External"/><Relationship Id="rId88" Type="http://schemas.openxmlformats.org/officeDocument/2006/relationships/hyperlink" Target="https://www.coned.com/_external/cerates/documents/elecPSC10/StatSDR-10.pdf" TargetMode="External"/><Relationship Id="rId91" Type="http://schemas.openxmlformats.org/officeDocument/2006/relationships/hyperlink" Target="https://www.coned.com/_external/cerates/documents/elecPSC10/StatMAC-109.pdf" TargetMode="External"/><Relationship Id="rId96" Type="http://schemas.openxmlformats.org/officeDocument/2006/relationships/hyperlink" Target="https://www.coned.com/_external/cerates/documents/elecPSC10/StatMFC-111.pdf" TargetMode="External"/><Relationship Id="rId111" Type="http://schemas.openxmlformats.org/officeDocument/2006/relationships/ctrlProp" Target="../ctrlProps/ctrlProp2.xml"/><Relationship Id="rId1" Type="http://schemas.openxmlformats.org/officeDocument/2006/relationships/hyperlink" Target="https://www.coned.com/_external/cerates/documents/elecPSC10/electric-tariff.pdf" TargetMode="External"/><Relationship Id="rId6" Type="http://schemas.openxmlformats.org/officeDocument/2006/relationships/hyperlink" Target="https://www.coned.com/_external/cerates/documents/elecPSC10/StatRDM-26.pdf" TargetMode="External"/><Relationship Id="rId15" Type="http://schemas.openxmlformats.org/officeDocument/2006/relationships/hyperlink" Target="https://www.coned.com/_external/cerates/documents/elecPSC10/StatGRT-20.pdf" TargetMode="External"/><Relationship Id="rId23" Type="http://schemas.openxmlformats.org/officeDocument/2006/relationships/hyperlink" Target="https://www.coned.com/_external/cerates/documents/elecPSC10/electric-tariff.pdf" TargetMode="External"/><Relationship Id="rId28" Type="http://schemas.openxmlformats.org/officeDocument/2006/relationships/hyperlink" Target="https://www.coned.com/_external/cerates/documents/elecPSC10/StatRDM-27.pdf" TargetMode="External"/><Relationship Id="rId36" Type="http://schemas.openxmlformats.org/officeDocument/2006/relationships/hyperlink" Target="https://www.coned.com/_external/cerates/documents/elecPSC10/StatGRT-20.pdf" TargetMode="External"/><Relationship Id="rId49" Type="http://schemas.openxmlformats.org/officeDocument/2006/relationships/hyperlink" Target="https://www.coned.com/_external/cerates/documents/elecPSC10/StatMAC-109.pdf" TargetMode="External"/><Relationship Id="rId57" Type="http://schemas.openxmlformats.org/officeDocument/2006/relationships/hyperlink" Target="https://www.coned.com/_external/cerates/documents/elecPSC10/MACAdjCurrentPSCNo10.pdf" TargetMode="External"/><Relationship Id="rId106" Type="http://schemas.openxmlformats.org/officeDocument/2006/relationships/hyperlink" Target="https://www.coned.com/_external/cerates/documents/elecPSC10/electric-tariff.pdf" TargetMode="External"/><Relationship Id="rId10" Type="http://schemas.openxmlformats.org/officeDocument/2006/relationships/hyperlink" Target="https://www.coned.com/_external/cerates/documents/elecPSC10/StatSBC-11.pdf" TargetMode="External"/><Relationship Id="rId31" Type="http://schemas.openxmlformats.org/officeDocument/2006/relationships/hyperlink" Target="https://www.coned.com/_external/cerates/documents/elecPSC10/MACAdjCurrentPSCNo10.pdf" TargetMode="External"/><Relationship Id="rId44" Type="http://schemas.openxmlformats.org/officeDocument/2006/relationships/hyperlink" Target="https://www.coned.com/_external/cerates/documents/elecPSC10/electric-tariff.pdf" TargetMode="External"/><Relationship Id="rId52" Type="http://schemas.openxmlformats.org/officeDocument/2006/relationships/hyperlink" Target="https://www.coned.com/_external/cerates/documents/elecPSC10/StatSBC-11.pdf" TargetMode="External"/><Relationship Id="rId60" Type="http://schemas.openxmlformats.org/officeDocument/2006/relationships/hyperlink" Target="https://www.coned.com/_external/cerates/documents/elecPSC10/StatCESD-1.pdf" TargetMode="External"/><Relationship Id="rId65" Type="http://schemas.openxmlformats.org/officeDocument/2006/relationships/hyperlink" Target="https://www.coned.com/_external/cerates/documents/elecPSC10/electric-tariff.pdf" TargetMode="External"/><Relationship Id="rId73" Type="http://schemas.openxmlformats.org/officeDocument/2006/relationships/hyperlink" Target="https://www.coned.com/_external/cerates/documents/elecPSC10/StatSBC-11.pdf" TargetMode="External"/><Relationship Id="rId78" Type="http://schemas.openxmlformats.org/officeDocument/2006/relationships/hyperlink" Target="https://www.coned.com/_external/cerates/documents/elecPSC10/MACAdjCurrentPSCNo10.pdf" TargetMode="External"/><Relationship Id="rId81" Type="http://schemas.openxmlformats.org/officeDocument/2006/relationships/hyperlink" Target="https://www.coned.com/_external/cerates/documents/elecPSC10/StatCESD-1.pdf" TargetMode="External"/><Relationship Id="rId86" Type="http://schemas.openxmlformats.org/officeDocument/2006/relationships/hyperlink" Target="https://www.coned.com/_external/cerates/documents/elecPSC10/electric-tariff.pdf" TargetMode="External"/><Relationship Id="rId94" Type="http://schemas.openxmlformats.org/officeDocument/2006/relationships/hyperlink" Target="https://www.coned.com/_external/cerates/documents/elecPSC10/StatSBC-11.pdf" TargetMode="External"/><Relationship Id="rId99" Type="http://schemas.openxmlformats.org/officeDocument/2006/relationships/hyperlink" Target="https://www.coned.com/_external/cerates/documents/elecPSC10/MACAdjCurrentPSCNo10.pdf" TargetMode="External"/><Relationship Id="rId101" Type="http://schemas.openxmlformats.org/officeDocument/2006/relationships/hyperlink" Target="https://www.coned.com/_external/cerates/documents/elecPSC10/MSCAdjCurrentPSCNo10.pdf" TargetMode="External"/><Relationship Id="rId4" Type="http://schemas.openxmlformats.org/officeDocument/2006/relationships/hyperlink" Target="https://www.coned.com/_external/cerates/documents/elecPSC10/StatSDR-10.pdf" TargetMode="External"/><Relationship Id="rId9" Type="http://schemas.openxmlformats.org/officeDocument/2006/relationships/hyperlink" Target="https://www.coned.com/_external/cerates/documents/elecPSC10/MACAdjCurrentPSCNo10.pdf" TargetMode="External"/><Relationship Id="rId13" Type="http://schemas.openxmlformats.org/officeDocument/2006/relationships/hyperlink" Target="https://www.coned.com/_external/cerates/documents/elecPSC10/StatMFC-110.pdf" TargetMode="External"/><Relationship Id="rId18" Type="http://schemas.openxmlformats.org/officeDocument/2006/relationships/hyperlink" Target="https://www.coned.com/_external/cerates/documents/elecPSC10/MSCAdjCurrentPSCNo10.pdf" TargetMode="External"/><Relationship Id="rId39" Type="http://schemas.openxmlformats.org/officeDocument/2006/relationships/hyperlink" Target="https://www.coned.com/_external/cerates/documents/elecPSC10/MSCAdjCurrentPSCNo10.pdf" TargetMode="External"/><Relationship Id="rId109" Type="http://schemas.openxmlformats.org/officeDocument/2006/relationships/vmlDrawing" Target="../drawings/vmlDrawing1.vml"/><Relationship Id="rId34" Type="http://schemas.openxmlformats.org/officeDocument/2006/relationships/hyperlink" Target="https://www.coned.com/_external/cerates/documents/elecPSC10/StatMFC-111.pdf" TargetMode="External"/><Relationship Id="rId50" Type="http://schemas.openxmlformats.org/officeDocument/2006/relationships/hyperlink" Target="https://www.coned.com/_external/cerates/documents/elecPSC10/MACAdjCurrentPSCNo10.pdf" TargetMode="External"/><Relationship Id="rId55" Type="http://schemas.openxmlformats.org/officeDocument/2006/relationships/hyperlink" Target="https://www.coned.com/_external/cerates/documents/elecPSC10/StatGRT-20.pdf" TargetMode="External"/><Relationship Id="rId76" Type="http://schemas.openxmlformats.org/officeDocument/2006/relationships/hyperlink" Target="https://www.coned.com/_external/cerates/documents/elecPSC10/StatGRT-20.pdf" TargetMode="External"/><Relationship Id="rId97" Type="http://schemas.openxmlformats.org/officeDocument/2006/relationships/hyperlink" Target="https://www.coned.com/_external/cerates/documents/elecPSC10/StatGRT-20.pdf" TargetMode="External"/><Relationship Id="rId104" Type="http://schemas.openxmlformats.org/officeDocument/2006/relationships/hyperlink" Target="https://www.coned.com/_external/cerates/documents/elecPSC10/StatDLM-4.pdf" TargetMode="External"/><Relationship Id="rId7" Type="http://schemas.openxmlformats.org/officeDocument/2006/relationships/hyperlink" Target="https://www.coned.com/_external/cerates/documents/elecPSC10/StatMAC-108.pdf" TargetMode="External"/><Relationship Id="rId71" Type="http://schemas.openxmlformats.org/officeDocument/2006/relationships/hyperlink" Target="https://www.coned.com/_external/cerates/documents/elecPSC10/MACAdjCurrentPSCNo10.pdf" TargetMode="External"/><Relationship Id="rId92" Type="http://schemas.openxmlformats.org/officeDocument/2006/relationships/hyperlink" Target="https://www.coned.com/_external/cerates/documents/elecPSC10/MACAdjCurrentPSCNo1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65FE6-6E34-40A8-874A-BCCA6C60B0F5}">
  <sheetPr codeName="Sheet1">
    <pageSetUpPr fitToPage="1"/>
  </sheetPr>
  <dimension ref="A1:T123"/>
  <sheetViews>
    <sheetView tabSelected="1" zoomScale="130" zoomScaleNormal="130" workbookViewId="0">
      <pane xSplit="1" ySplit="6" topLeftCell="B103" activePane="bottomRight" state="frozen"/>
      <selection pane="topRight" activeCell="B1" sqref="B1"/>
      <selection pane="bottomLeft" activeCell="A6" sqref="A6"/>
      <selection pane="bottomRight" activeCell="A116" sqref="A116:A117"/>
    </sheetView>
  </sheetViews>
  <sheetFormatPr defaultColWidth="9.1796875" defaultRowHeight="10" x14ac:dyDescent="0.2"/>
  <cols>
    <col min="1" max="1" width="37.453125" style="2" customWidth="1"/>
    <col min="2" max="8" width="9.453125" style="2" bestFit="1" customWidth="1"/>
    <col min="9" max="13" width="10.7265625" style="2" bestFit="1" customWidth="1"/>
    <col min="14" max="16384" width="9.1796875" style="2"/>
  </cols>
  <sheetData>
    <row r="1" spans="1:13" ht="10.5" x14ac:dyDescent="0.25">
      <c r="A1" s="33" t="s">
        <v>58</v>
      </c>
      <c r="H1" s="34">
        <v>44133</v>
      </c>
    </row>
    <row r="2" spans="1:13" ht="10.5" x14ac:dyDescent="0.25">
      <c r="A2" s="33" t="s">
        <v>57</v>
      </c>
      <c r="H2" s="34">
        <v>44167</v>
      </c>
    </row>
    <row r="3" spans="1:13" x14ac:dyDescent="0.2">
      <c r="A3" s="2" t="s">
        <v>0</v>
      </c>
    </row>
    <row r="4" spans="1:13" x14ac:dyDescent="0.2">
      <c r="A4" s="2" t="s">
        <v>1</v>
      </c>
    </row>
    <row r="5" spans="1:13" x14ac:dyDescent="0.2">
      <c r="B5" s="35" t="str">
        <f>MONTH(B6)&amp;YEAR(B6)</f>
        <v>62020</v>
      </c>
      <c r="C5" s="35" t="str">
        <f t="shared" ref="C5:M5" si="0">MONTH(C6)&amp;YEAR(C6)</f>
        <v>72020</v>
      </c>
      <c r="D5" s="35" t="str">
        <f t="shared" si="0"/>
        <v>82020</v>
      </c>
      <c r="E5" s="35" t="str">
        <f t="shared" si="0"/>
        <v>92020</v>
      </c>
      <c r="F5" s="35" t="str">
        <f t="shared" si="0"/>
        <v>102020</v>
      </c>
      <c r="G5" s="35" t="str">
        <f t="shared" si="0"/>
        <v>112020</v>
      </c>
      <c r="H5" s="35" t="str">
        <f t="shared" si="0"/>
        <v>122020</v>
      </c>
      <c r="I5" s="35" t="str">
        <f t="shared" si="0"/>
        <v>12021</v>
      </c>
      <c r="J5" s="35" t="str">
        <f t="shared" si="0"/>
        <v>22021</v>
      </c>
      <c r="K5" s="35" t="str">
        <f t="shared" si="0"/>
        <v>32021</v>
      </c>
      <c r="L5" s="35" t="str">
        <f t="shared" si="0"/>
        <v>42021</v>
      </c>
      <c r="M5" s="35" t="str">
        <f t="shared" si="0"/>
        <v>52021</v>
      </c>
    </row>
    <row r="6" spans="1:13" s="1" customFormat="1" ht="10.5" x14ac:dyDescent="0.25">
      <c r="A6" s="3"/>
      <c r="B6" s="3">
        <v>43983</v>
      </c>
      <c r="C6" s="3">
        <f t="shared" ref="C6:M6" si="1">+DATE(YEAR(B6),MONTH(B6)+1,1)</f>
        <v>44013</v>
      </c>
      <c r="D6" s="3">
        <f t="shared" si="1"/>
        <v>44044</v>
      </c>
      <c r="E6" s="3">
        <f t="shared" si="1"/>
        <v>44075</v>
      </c>
      <c r="F6" s="3">
        <f t="shared" si="1"/>
        <v>44105</v>
      </c>
      <c r="G6" s="3">
        <f t="shared" si="1"/>
        <v>44136</v>
      </c>
      <c r="H6" s="3">
        <f t="shared" si="1"/>
        <v>44166</v>
      </c>
      <c r="I6" s="3">
        <f t="shared" si="1"/>
        <v>44197</v>
      </c>
      <c r="J6" s="3">
        <f t="shared" si="1"/>
        <v>44228</v>
      </c>
      <c r="K6" s="3">
        <f t="shared" si="1"/>
        <v>44256</v>
      </c>
      <c r="L6" s="3">
        <f t="shared" si="1"/>
        <v>44287</v>
      </c>
      <c r="M6" s="3">
        <f t="shared" si="1"/>
        <v>44317</v>
      </c>
    </row>
    <row r="7" spans="1:13" s="5" customFormat="1" ht="10.5" x14ac:dyDescent="0.25">
      <c r="A7" s="4" t="s">
        <v>2</v>
      </c>
    </row>
    <row r="8" spans="1:13" s="5" customFormat="1" ht="10.5" x14ac:dyDescent="0.25">
      <c r="A8" s="4"/>
    </row>
    <row r="9" spans="1:13" s="5" customFormat="1" x14ac:dyDescent="0.2">
      <c r="A9" s="6" t="s">
        <v>3</v>
      </c>
      <c r="B9" s="7">
        <v>16</v>
      </c>
      <c r="C9" s="7">
        <v>16</v>
      </c>
      <c r="D9" s="7">
        <v>16</v>
      </c>
      <c r="E9" s="7">
        <v>16</v>
      </c>
      <c r="F9" s="7">
        <v>16</v>
      </c>
      <c r="G9" s="7">
        <v>16</v>
      </c>
      <c r="H9" s="7">
        <v>16</v>
      </c>
      <c r="I9" s="8">
        <v>16.5</v>
      </c>
      <c r="J9" s="7">
        <v>16.5</v>
      </c>
      <c r="K9" s="7">
        <v>16.5</v>
      </c>
      <c r="L9" s="7">
        <v>16.5</v>
      </c>
      <c r="M9" s="7">
        <v>16.5</v>
      </c>
    </row>
    <row r="10" spans="1:13" s="5" customFormat="1" x14ac:dyDescent="0.2">
      <c r="A10" s="6" t="s">
        <v>4</v>
      </c>
      <c r="B10" s="6"/>
      <c r="C10" s="6"/>
      <c r="D10" s="6"/>
      <c r="E10" s="6"/>
      <c r="F10" s="6"/>
      <c r="G10" s="6"/>
      <c r="H10" s="6"/>
    </row>
    <row r="11" spans="1:13" s="5" customFormat="1" x14ac:dyDescent="0.2">
      <c r="A11" s="6" t="s">
        <v>5</v>
      </c>
      <c r="B11" s="9">
        <v>0.11125</v>
      </c>
      <c r="C11" s="9">
        <v>0.11125</v>
      </c>
      <c r="D11" s="9">
        <v>0.11125</v>
      </c>
      <c r="E11" s="9">
        <v>0.11125</v>
      </c>
      <c r="F11" s="9">
        <v>0.11125</v>
      </c>
      <c r="G11" s="9">
        <v>0.11125</v>
      </c>
      <c r="H11" s="9">
        <v>0.11125</v>
      </c>
      <c r="I11" s="10">
        <v>0.11976000000000001</v>
      </c>
      <c r="J11" s="9">
        <v>0.11976000000000001</v>
      </c>
      <c r="K11" s="9">
        <v>0.11976000000000001</v>
      </c>
      <c r="L11" s="9">
        <v>0.11976000000000001</v>
      </c>
      <c r="M11" s="9">
        <v>0.11976000000000001</v>
      </c>
    </row>
    <row r="12" spans="1:13" s="5" customFormat="1" x14ac:dyDescent="0.2">
      <c r="A12" s="6"/>
      <c r="B12" s="6"/>
      <c r="C12" s="6"/>
      <c r="D12" s="6"/>
      <c r="E12" s="6"/>
      <c r="F12" s="6"/>
      <c r="G12" s="6"/>
      <c r="H12" s="6"/>
      <c r="I12" s="11"/>
    </row>
    <row r="13" spans="1:13" s="5" customFormat="1" x14ac:dyDescent="0.2">
      <c r="A13" s="12" t="s">
        <v>6</v>
      </c>
      <c r="B13" s="13">
        <v>0.12787999999999999</v>
      </c>
      <c r="C13" s="9">
        <v>0.12787999999999999</v>
      </c>
      <c r="D13" s="9">
        <v>0.12787999999999999</v>
      </c>
      <c r="E13" s="9">
        <v>0.12787999999999999</v>
      </c>
      <c r="F13" s="10">
        <v>0.11125</v>
      </c>
      <c r="G13" s="14">
        <v>0.11125</v>
      </c>
      <c r="H13" s="14">
        <v>0.11125</v>
      </c>
      <c r="I13" s="10">
        <v>0.11976000000000001</v>
      </c>
      <c r="J13" s="14">
        <v>0.11976000000000001</v>
      </c>
      <c r="K13" s="14">
        <v>0.11976000000000001</v>
      </c>
      <c r="L13" s="14">
        <v>0.11976000000000001</v>
      </c>
      <c r="M13" s="14">
        <v>0.11976000000000001</v>
      </c>
    </row>
    <row r="14" spans="1:13" s="5" customFormat="1" x14ac:dyDescent="0.2">
      <c r="A14" s="6" t="s">
        <v>7</v>
      </c>
      <c r="B14" s="14">
        <v>-6.3299999999999999E-4</v>
      </c>
      <c r="C14" s="14">
        <v>-6.3299999999999999E-4</v>
      </c>
      <c r="D14" s="14">
        <v>-6.3299999999999999E-4</v>
      </c>
      <c r="E14" s="14">
        <v>-6.3299999999999999E-4</v>
      </c>
      <c r="F14" s="14">
        <v>-6.3299999999999999E-4</v>
      </c>
      <c r="G14" s="14">
        <v>-6.3299999999999999E-4</v>
      </c>
      <c r="H14" s="14">
        <v>-6.3299999999999999E-4</v>
      </c>
      <c r="I14" s="14">
        <v>0</v>
      </c>
      <c r="J14" s="14">
        <v>0</v>
      </c>
      <c r="K14" s="10">
        <f>0.0433/100</f>
        <v>4.3300000000000001E-4</v>
      </c>
      <c r="L14" s="10">
        <f>0/100</f>
        <v>0</v>
      </c>
      <c r="M14" s="10">
        <f>0/100</f>
        <v>0</v>
      </c>
    </row>
    <row r="15" spans="1:13" s="5" customFormat="1" x14ac:dyDescent="0.2">
      <c r="A15" s="6" t="s">
        <v>8</v>
      </c>
      <c r="B15" s="7">
        <v>1.28</v>
      </c>
      <c r="C15" s="7">
        <v>1.28</v>
      </c>
      <c r="D15" s="7">
        <v>1.28</v>
      </c>
      <c r="E15" s="7">
        <v>1.28</v>
      </c>
      <c r="F15" s="7">
        <v>1.28</v>
      </c>
      <c r="G15" s="7">
        <v>1.28</v>
      </c>
      <c r="H15" s="7">
        <v>1.28</v>
      </c>
      <c r="I15" s="7">
        <v>1.28</v>
      </c>
      <c r="J15" s="7">
        <v>1.28</v>
      </c>
      <c r="K15" s="7">
        <v>1.28</v>
      </c>
      <c r="L15" s="7">
        <v>1.28</v>
      </c>
      <c r="M15" s="7">
        <v>1.28</v>
      </c>
    </row>
    <row r="16" spans="1:13" s="5" customFormat="1" x14ac:dyDescent="0.2">
      <c r="A16" s="6" t="s">
        <v>9</v>
      </c>
      <c r="B16" s="14">
        <v>7.5300000000000002E-3</v>
      </c>
      <c r="C16" s="14">
        <v>7.5300000000000002E-3</v>
      </c>
      <c r="D16" s="10">
        <v>1.9599999999999999E-3</v>
      </c>
      <c r="E16" s="14">
        <v>1.9599999999999999E-3</v>
      </c>
      <c r="F16" s="14">
        <v>1.9599999999999999E-3</v>
      </c>
      <c r="G16" s="14">
        <v>1.9599999999999999E-3</v>
      </c>
      <c r="H16" s="14">
        <v>1.9599999999999999E-3</v>
      </c>
      <c r="I16" s="14">
        <v>1.9599999999999999E-3</v>
      </c>
      <c r="J16" s="10">
        <f>-1.424/100</f>
        <v>-1.4239999999999999E-2</v>
      </c>
      <c r="K16" s="14">
        <f>-1.424/100</f>
        <v>-1.4239999999999999E-2</v>
      </c>
      <c r="L16" s="14">
        <f>-1.424/100</f>
        <v>-1.4239999999999999E-2</v>
      </c>
      <c r="M16" s="14">
        <f>-1.424/100</f>
        <v>-1.4239999999999999E-2</v>
      </c>
    </row>
    <row r="17" spans="1:14" s="5" customFormat="1" x14ac:dyDescent="0.2">
      <c r="A17" s="6" t="s">
        <v>10</v>
      </c>
      <c r="B17" s="10">
        <v>6.43E-3</v>
      </c>
      <c r="C17" s="10">
        <v>4.8300000000000001E-3</v>
      </c>
      <c r="D17" s="10">
        <v>4.2500000000000003E-3</v>
      </c>
      <c r="E17" s="10">
        <v>5.1999999999999998E-3</v>
      </c>
      <c r="F17" s="10">
        <v>4.28E-3</v>
      </c>
      <c r="G17" s="10">
        <v>8.4399999999999996E-3</v>
      </c>
      <c r="H17" s="10">
        <v>1.1299999999999999E-2</v>
      </c>
      <c r="I17" s="10">
        <v>6.0600000000000003E-3</v>
      </c>
      <c r="J17" s="10">
        <f>0.603/100</f>
        <v>6.0299999999999998E-3</v>
      </c>
      <c r="K17" s="10">
        <f>0.624/100</f>
        <v>6.2399999999999999E-3</v>
      </c>
      <c r="L17" s="10">
        <f>0.823/100</f>
        <v>8.2299999999999995E-3</v>
      </c>
      <c r="M17" s="10">
        <f>1.012/100</f>
        <v>1.0120000000000001E-2</v>
      </c>
    </row>
    <row r="18" spans="1:14" s="5" customFormat="1" x14ac:dyDescent="0.2">
      <c r="A18" s="6" t="s">
        <v>11</v>
      </c>
      <c r="B18" s="10">
        <v>-1.9999999999999999E-6</v>
      </c>
      <c r="C18" s="10">
        <v>7.9999999999999996E-6</v>
      </c>
      <c r="D18" s="10">
        <v>2.5000000000000001E-5</v>
      </c>
      <c r="E18" s="10">
        <v>2.9E-5</v>
      </c>
      <c r="F18" s="10">
        <v>1.8E-5</v>
      </c>
      <c r="G18" s="10">
        <v>3.0000000000000001E-5</v>
      </c>
      <c r="H18" s="10">
        <v>2.6999999999999999E-5</v>
      </c>
      <c r="I18" s="10">
        <v>5.7000000000000003E-5</v>
      </c>
      <c r="J18" s="10">
        <f>0.0109/100</f>
        <v>1.0899999999999999E-4</v>
      </c>
      <c r="K18" s="10">
        <f>0.0066/100</f>
        <v>6.6000000000000005E-5</v>
      </c>
      <c r="L18" s="10">
        <f>0.0031/100</f>
        <v>3.1000000000000001E-5</v>
      </c>
      <c r="M18" s="10">
        <f>-0.0013/100</f>
        <v>-1.2999999999999999E-5</v>
      </c>
    </row>
    <row r="19" spans="1:14" s="5" customFormat="1" x14ac:dyDescent="0.2">
      <c r="A19" s="6" t="s">
        <v>12</v>
      </c>
      <c r="B19" s="14">
        <v>9.9999999999999995E-7</v>
      </c>
      <c r="C19" s="14">
        <v>9.9999999999999995E-7</v>
      </c>
      <c r="D19" s="14">
        <v>9.9999999999999995E-7</v>
      </c>
      <c r="E19" s="14">
        <v>9.9999999999999995E-7</v>
      </c>
      <c r="F19" s="14">
        <v>9.9999999999999995E-7</v>
      </c>
      <c r="G19" s="14">
        <v>9.9999999999999995E-7</v>
      </c>
      <c r="H19" s="14">
        <v>9.9999999999999995E-7</v>
      </c>
      <c r="I19" s="10">
        <v>-9.9999999999999995E-7</v>
      </c>
      <c r="J19" s="14">
        <v>-9.9999999999999995E-7</v>
      </c>
      <c r="K19" s="14">
        <v>-9.9999999999999995E-7</v>
      </c>
      <c r="L19" s="14">
        <v>-9.9999999999999995E-7</v>
      </c>
      <c r="M19" s="14">
        <v>-9.9999999999999995E-7</v>
      </c>
    </row>
    <row r="20" spans="1:14" s="5" customFormat="1" x14ac:dyDescent="0.2">
      <c r="A20" s="6" t="s">
        <v>13</v>
      </c>
      <c r="B20" s="15">
        <v>5.0000000000000001E-3</v>
      </c>
      <c r="C20" s="15">
        <v>5.0000000000000001E-3</v>
      </c>
      <c r="D20" s="15">
        <v>5.0000000000000001E-3</v>
      </c>
      <c r="E20" s="15">
        <v>5.0000000000000001E-3</v>
      </c>
      <c r="F20" s="15">
        <v>5.0000000000000001E-3</v>
      </c>
      <c r="G20" s="15">
        <v>5.0000000000000001E-3</v>
      </c>
      <c r="H20" s="15">
        <v>5.0000000000000001E-3</v>
      </c>
      <c r="I20" s="16">
        <v>5.4000000000000003E-3</v>
      </c>
      <c r="J20" s="15">
        <v>5.4000000000000003E-3</v>
      </c>
      <c r="K20" s="15">
        <v>5.4000000000000003E-3</v>
      </c>
      <c r="L20" s="15">
        <v>5.4000000000000003E-3</v>
      </c>
      <c r="M20" s="15">
        <v>5.4000000000000003E-3</v>
      </c>
    </row>
    <row r="21" spans="1:14" s="5" customFormat="1" x14ac:dyDescent="0.2">
      <c r="A21" s="6" t="s">
        <v>14</v>
      </c>
    </row>
    <row r="22" spans="1:14" s="5" customFormat="1" x14ac:dyDescent="0.2">
      <c r="A22" s="6" t="s">
        <v>15</v>
      </c>
      <c r="H22" s="10">
        <v>1E-4</v>
      </c>
      <c r="I22" s="10">
        <v>1E-4</v>
      </c>
      <c r="J22" s="14">
        <v>1E-4</v>
      </c>
      <c r="K22" s="14">
        <v>1E-4</v>
      </c>
      <c r="L22" s="14">
        <v>1E-4</v>
      </c>
      <c r="M22" s="14">
        <v>1E-4</v>
      </c>
    </row>
    <row r="23" spans="1:14" s="5" customFormat="1" x14ac:dyDescent="0.2">
      <c r="A23" s="6"/>
    </row>
    <row r="24" spans="1:14" s="5" customFormat="1" x14ac:dyDescent="0.2">
      <c r="A24" s="6" t="s">
        <v>16</v>
      </c>
      <c r="B24" s="10">
        <v>9.5603999999999995E-2</v>
      </c>
      <c r="C24" s="10">
        <v>0.101219</v>
      </c>
      <c r="D24" s="10">
        <v>9.8321000000000006E-2</v>
      </c>
      <c r="E24" s="10">
        <v>9.3935000000000005E-2</v>
      </c>
      <c r="F24" s="10">
        <v>9.4106000000000009E-2</v>
      </c>
      <c r="G24" s="10">
        <v>7.3266999999999999E-2</v>
      </c>
      <c r="H24" s="10">
        <v>8.5391999999999996E-2</v>
      </c>
      <c r="I24" s="10">
        <f>8.8828/100</f>
        <v>8.882799999999999E-2</v>
      </c>
      <c r="J24" s="10">
        <f>11.9825/100</f>
        <v>0.119825</v>
      </c>
      <c r="K24" s="10">
        <f>8.225 /100</f>
        <v>8.224999999999999E-2</v>
      </c>
      <c r="L24" s="10">
        <f>7.7039/100</f>
        <v>7.7038999999999996E-2</v>
      </c>
      <c r="M24" s="10">
        <f>6.7181 /100</f>
        <v>6.7180999999999991E-2</v>
      </c>
    </row>
    <row r="25" spans="1:14" s="5" customFormat="1" x14ac:dyDescent="0.2">
      <c r="A25" s="6" t="s">
        <v>17</v>
      </c>
      <c r="B25" s="10">
        <v>3.62E-3</v>
      </c>
      <c r="C25" s="10">
        <v>3.6879999999999999E-3</v>
      </c>
      <c r="D25" s="10">
        <v>4.0629999999999998E-3</v>
      </c>
      <c r="E25" s="10">
        <v>4.4710000000000001E-3</v>
      </c>
      <c r="F25" s="10">
        <v>4.4780000000000002E-3</v>
      </c>
      <c r="G25" s="10">
        <v>3.8270000000000001E-3</v>
      </c>
      <c r="H25" s="10">
        <v>3.5300000000000002E-3</v>
      </c>
      <c r="I25" s="10">
        <v>3.862E-3</v>
      </c>
      <c r="J25" s="10">
        <f>0.4074/100</f>
        <v>4.0739999999999995E-3</v>
      </c>
      <c r="K25" s="10">
        <f>0.4237/100</f>
        <v>4.2370000000000003E-3</v>
      </c>
      <c r="L25" s="10">
        <f>0.1681/100</f>
        <v>1.681E-3</v>
      </c>
      <c r="M25" s="10">
        <f>0.4005/100</f>
        <v>4.0049999999999999E-3</v>
      </c>
      <c r="N25" s="17"/>
    </row>
    <row r="26" spans="1:14" s="5" customFormat="1" x14ac:dyDescent="0.2">
      <c r="A26" s="6" t="s">
        <v>18</v>
      </c>
      <c r="B26" s="18">
        <v>2.4066000000000001E-2</v>
      </c>
      <c r="C26" s="18">
        <v>2.4066000000000001E-2</v>
      </c>
      <c r="D26" s="18">
        <v>2.4066000000000001E-2</v>
      </c>
      <c r="E26" s="18">
        <v>2.4066000000000001E-2</v>
      </c>
      <c r="F26" s="18">
        <v>2.4066000000000001E-2</v>
      </c>
      <c r="G26" s="18">
        <v>2.4066000000000001E-2</v>
      </c>
      <c r="H26" s="18">
        <v>2.4066000000000001E-2</v>
      </c>
      <c r="I26" s="18">
        <v>2.4066000000000001E-2</v>
      </c>
      <c r="J26" s="18">
        <v>2.4066000000000001E-2</v>
      </c>
      <c r="K26" s="18">
        <v>2.4066000000000001E-2</v>
      </c>
      <c r="L26" s="18">
        <v>2.4066000000000001E-2</v>
      </c>
      <c r="M26" s="18">
        <v>2.4066000000000001E-2</v>
      </c>
    </row>
    <row r="27" spans="1:14" s="5" customFormat="1" x14ac:dyDescent="0.2">
      <c r="A27" s="6" t="s">
        <v>19</v>
      </c>
      <c r="B27" s="19">
        <v>5.0505000000000001E-2</v>
      </c>
      <c r="C27" s="19">
        <v>5.0505000000000001E-2</v>
      </c>
      <c r="D27" s="19">
        <v>5.0505000000000001E-2</v>
      </c>
      <c r="E27" s="19">
        <v>5.0505000000000001E-2</v>
      </c>
      <c r="F27" s="19">
        <v>5.0505000000000001E-2</v>
      </c>
      <c r="G27" s="19">
        <v>5.0505000000000001E-2</v>
      </c>
      <c r="H27" s="19">
        <v>5.0505000000000001E-2</v>
      </c>
      <c r="I27" s="18">
        <v>5.0505000000000001E-2</v>
      </c>
      <c r="J27" s="18">
        <v>5.0505000000000001E-2</v>
      </c>
      <c r="K27" s="18">
        <v>5.0505000000000001E-2</v>
      </c>
      <c r="L27" s="20">
        <v>4.9190999999999999E-2</v>
      </c>
      <c r="M27" s="20">
        <v>4.9190999999999999E-2</v>
      </c>
    </row>
    <row r="28" spans="1:14" s="5" customFormat="1" x14ac:dyDescent="0.2">
      <c r="A28" s="6" t="s">
        <v>20</v>
      </c>
      <c r="B28" s="10">
        <v>-6.2699999999999995E-4</v>
      </c>
      <c r="C28" s="10">
        <v>5.5000000000000003E-4</v>
      </c>
      <c r="D28" s="10">
        <v>-2.9E-4</v>
      </c>
      <c r="E28" s="10">
        <v>1.4909999999999999E-3</v>
      </c>
      <c r="F28" s="10">
        <v>3.5770000000000003E-3</v>
      </c>
      <c r="G28" s="10">
        <v>2.7929999999999999E-3</v>
      </c>
      <c r="H28" s="10">
        <v>8.2830000000000004E-3</v>
      </c>
      <c r="I28" s="10">
        <v>5.4209999999999996E-3</v>
      </c>
      <c r="J28" s="10">
        <f>0.6651/100</f>
        <v>6.6510000000000007E-3</v>
      </c>
      <c r="K28" s="10">
        <f>-0.2135/100</f>
        <v>-2.1349999999999997E-3</v>
      </c>
      <c r="L28" s="10">
        <f>0.1902/100</f>
        <v>1.902E-3</v>
      </c>
      <c r="M28" s="10">
        <f>0.1647/100</f>
        <v>1.647E-3</v>
      </c>
    </row>
    <row r="29" spans="1:14" s="5" customFormat="1" x14ac:dyDescent="0.2">
      <c r="A29" s="6" t="s">
        <v>21</v>
      </c>
      <c r="B29" s="10">
        <v>1.3165E-2</v>
      </c>
      <c r="C29" s="10">
        <v>-9.2409999999999992E-3</v>
      </c>
      <c r="D29" s="10">
        <v>-1.8194999999999999E-2</v>
      </c>
      <c r="E29" s="10">
        <v>-1.8955E-2</v>
      </c>
      <c r="F29" s="10">
        <v>-9.9979999999999999E-3</v>
      </c>
      <c r="G29" s="10">
        <v>1.21E-4</v>
      </c>
      <c r="H29" s="10">
        <v>-9.3690000000000006E-3</v>
      </c>
      <c r="I29" s="10">
        <v>-2.104E-3</v>
      </c>
      <c r="J29" s="10">
        <f>0.0029/100</f>
        <v>2.8999999999999997E-5</v>
      </c>
      <c r="K29" s="10">
        <f>0.3474/100</f>
        <v>3.4739999999999997E-3</v>
      </c>
      <c r="L29" s="10">
        <f>1.2729/100</f>
        <v>1.2728999999999999E-2</v>
      </c>
      <c r="M29" s="10">
        <f>1.2611/100</f>
        <v>1.2611000000000001E-2</v>
      </c>
    </row>
    <row r="30" spans="1:14" s="5" customFormat="1" x14ac:dyDescent="0.2">
      <c r="A30" s="6" t="s">
        <v>22</v>
      </c>
      <c r="B30" s="10">
        <v>5.731E-3</v>
      </c>
      <c r="C30" s="10">
        <v>-1.6310000000000001E-3</v>
      </c>
      <c r="D30" s="10">
        <v>6.1700000000000004E-4</v>
      </c>
      <c r="E30" s="10">
        <v>3.19E-4</v>
      </c>
      <c r="F30" s="10">
        <v>4.0660000000000002E-3</v>
      </c>
      <c r="G30" s="10">
        <v>1.2094000000000001E-2</v>
      </c>
      <c r="H30" s="10">
        <v>1.506E-2</v>
      </c>
      <c r="I30" s="10">
        <v>1.2990999999999999E-2</v>
      </c>
      <c r="J30" s="10">
        <f>0.6266/100</f>
        <v>6.2660000000000007E-3</v>
      </c>
      <c r="K30" s="10">
        <f>-1.7357/100</f>
        <v>-1.7357000000000001E-2</v>
      </c>
      <c r="L30" s="10">
        <f>1.6205/100</f>
        <v>1.6205000000000001E-2</v>
      </c>
      <c r="M30" s="10">
        <f>2.1938/100</f>
        <v>2.1937999999999999E-2</v>
      </c>
    </row>
    <row r="31" spans="1:14" s="5" customFormat="1" x14ac:dyDescent="0.2">
      <c r="A31" s="6" t="s">
        <v>23</v>
      </c>
      <c r="B31" s="14">
        <v>0</v>
      </c>
      <c r="C31" s="14">
        <v>0</v>
      </c>
      <c r="D31" s="14">
        <v>0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</row>
    <row r="32" spans="1:14" s="5" customFormat="1" x14ac:dyDescent="0.2">
      <c r="A32" s="6" t="s">
        <v>24</v>
      </c>
      <c r="B32" s="14">
        <v>0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</row>
    <row r="33" spans="1:20" s="5" customFormat="1" x14ac:dyDescent="0.2">
      <c r="A33" s="6" t="s">
        <v>25</v>
      </c>
      <c r="B33" s="14">
        <v>4.627E-3</v>
      </c>
      <c r="C33" s="14">
        <v>4.627E-3</v>
      </c>
      <c r="D33" s="14">
        <v>4.627E-3</v>
      </c>
      <c r="E33" s="14">
        <v>4.627E-3</v>
      </c>
      <c r="F33" s="14">
        <v>4.627E-3</v>
      </c>
      <c r="G33" s="14">
        <v>4.627E-3</v>
      </c>
      <c r="H33" s="14">
        <v>4.627E-3</v>
      </c>
      <c r="I33" s="14">
        <v>4.627E-3</v>
      </c>
      <c r="J33" s="14">
        <v>4.627E-3</v>
      </c>
      <c r="K33" s="14">
        <v>4.627E-3</v>
      </c>
      <c r="L33" s="14">
        <f>0.5389/100</f>
        <v>5.3890000000000006E-3</v>
      </c>
      <c r="M33" s="14">
        <f>0.5389/100</f>
        <v>5.3890000000000006E-3</v>
      </c>
    </row>
    <row r="34" spans="1:20" s="5" customFormat="1" x14ac:dyDescent="0.2">
      <c r="A34" s="6" t="s">
        <v>26</v>
      </c>
      <c r="B34" s="14">
        <v>1.1000000000000001E-3</v>
      </c>
      <c r="C34" s="14">
        <v>1.1000000000000001E-3</v>
      </c>
      <c r="D34" s="14">
        <v>1.1000000000000001E-3</v>
      </c>
      <c r="E34" s="14">
        <v>1.1000000000000001E-3</v>
      </c>
      <c r="F34" s="14">
        <v>1.1000000000000001E-3</v>
      </c>
      <c r="G34" s="14">
        <v>1.1000000000000001E-3</v>
      </c>
      <c r="H34" s="14">
        <v>1.1000000000000001E-3</v>
      </c>
      <c r="I34" s="14">
        <v>1.1000000000000001E-3</v>
      </c>
      <c r="J34" s="14">
        <v>1.1000000000000001E-3</v>
      </c>
      <c r="K34" s="14">
        <v>1.1000000000000001E-3</v>
      </c>
      <c r="L34" s="14">
        <v>1.1000000000000001E-3</v>
      </c>
      <c r="M34" s="14">
        <v>1.1000000000000001E-3</v>
      </c>
    </row>
    <row r="35" spans="1:20" s="5" customFormat="1" x14ac:dyDescent="0.2">
      <c r="A35" s="6" t="s">
        <v>27</v>
      </c>
      <c r="B35" s="14">
        <v>0</v>
      </c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</row>
    <row r="36" spans="1:20" x14ac:dyDescent="0.2">
      <c r="A36" s="6" t="s">
        <v>28</v>
      </c>
      <c r="B36" s="6"/>
      <c r="C36" s="6"/>
      <c r="D36" s="6"/>
      <c r="E36" s="6"/>
      <c r="F36" s="6"/>
      <c r="G36" s="6"/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6"/>
      <c r="O36" s="6"/>
      <c r="P36" s="6"/>
      <c r="Q36" s="6"/>
      <c r="R36" s="6"/>
      <c r="S36" s="6"/>
      <c r="T36" s="6"/>
    </row>
    <row r="40" spans="1:20" s="22" customFormat="1" ht="10.5" x14ac:dyDescent="0.25">
      <c r="A40" s="21" t="s">
        <v>29</v>
      </c>
    </row>
    <row r="41" spans="1:20" s="22" customFormat="1" x14ac:dyDescent="0.2">
      <c r="A41" s="23" t="s">
        <v>30</v>
      </c>
      <c r="B41" s="22">
        <v>250</v>
      </c>
      <c r="C41" s="22">
        <v>250</v>
      </c>
      <c r="D41" s="22">
        <v>250</v>
      </c>
      <c r="E41" s="22">
        <v>250</v>
      </c>
      <c r="F41" s="22">
        <v>250</v>
      </c>
      <c r="G41" s="22">
        <v>250</v>
      </c>
      <c r="H41" s="22">
        <v>250</v>
      </c>
      <c r="I41" s="22">
        <v>250</v>
      </c>
      <c r="J41" s="22">
        <v>250</v>
      </c>
      <c r="K41" s="22">
        <v>250</v>
      </c>
      <c r="L41" s="22">
        <v>250</v>
      </c>
      <c r="M41" s="22">
        <v>250</v>
      </c>
    </row>
    <row r="49" spans="1:13" s="25" customFormat="1" ht="10.5" x14ac:dyDescent="0.25">
      <c r="A49" s="24" t="s">
        <v>31</v>
      </c>
    </row>
    <row r="50" spans="1:13" s="25" customFormat="1" x14ac:dyDescent="0.2"/>
    <row r="51" spans="1:13" s="25" customFormat="1" x14ac:dyDescent="0.2">
      <c r="A51" s="25" t="s">
        <v>32</v>
      </c>
      <c r="B51" s="26">
        <f>'SC1'!B9</f>
        <v>16</v>
      </c>
      <c r="C51" s="26">
        <f>'SC1'!C9</f>
        <v>16</v>
      </c>
      <c r="D51" s="26">
        <f>'SC1'!D9</f>
        <v>16</v>
      </c>
      <c r="E51" s="26">
        <f>'SC1'!E9</f>
        <v>16</v>
      </c>
      <c r="F51" s="26">
        <f>'SC1'!F9</f>
        <v>16</v>
      </c>
      <c r="G51" s="26">
        <f>'SC1'!G9</f>
        <v>16</v>
      </c>
      <c r="H51" s="26">
        <f>'SC1'!H9</f>
        <v>16</v>
      </c>
      <c r="I51" s="26">
        <f>'SC1'!I9</f>
        <v>16.5</v>
      </c>
      <c r="J51" s="26">
        <f>'SC1'!J9</f>
        <v>16.5</v>
      </c>
      <c r="K51" s="26">
        <f>'SC1'!K9</f>
        <v>16.5</v>
      </c>
      <c r="L51" s="26">
        <f>'SC1'!L9</f>
        <v>16.5</v>
      </c>
      <c r="M51" s="32">
        <f>'SC1'!M9</f>
        <v>16.5</v>
      </c>
    </row>
    <row r="52" spans="1:13" s="25" customFormat="1" x14ac:dyDescent="0.2">
      <c r="A52" s="25" t="s">
        <v>33</v>
      </c>
      <c r="B52" s="27">
        <f>250*'SC1'!B11+('SC1'!B41-250)*'SC1'!B13</f>
        <v>27.8125</v>
      </c>
      <c r="C52" s="27">
        <f>250*'SC1'!C11+('SC1'!C41-250)*'SC1'!C13</f>
        <v>27.8125</v>
      </c>
      <c r="D52" s="27">
        <f>250*'SC1'!D11+('SC1'!D41-250)*'SC1'!D13</f>
        <v>27.8125</v>
      </c>
      <c r="E52" s="27">
        <f>250*'SC1'!E11+('SC1'!E41-250)*'SC1'!E13</f>
        <v>27.8125</v>
      </c>
      <c r="F52" s="27">
        <f>250*'SC1'!F11+('SC1'!F41-250)*'SC1'!F13</f>
        <v>27.8125</v>
      </c>
      <c r="G52" s="27">
        <f>250*'SC1'!G11+('SC1'!G41-250)*'SC1'!G13</f>
        <v>27.8125</v>
      </c>
      <c r="H52" s="27">
        <f>250*'SC1'!H11+('SC1'!H41-250)*'SC1'!H13</f>
        <v>27.8125</v>
      </c>
      <c r="I52" s="27">
        <f>250*'SC1'!I11+('SC1'!I41-250)*'SC1'!I13</f>
        <v>29.94</v>
      </c>
      <c r="J52" s="27">
        <f>250*'SC1'!J11+('SC1'!J41-250)*'SC1'!J13</f>
        <v>29.94</v>
      </c>
      <c r="K52" s="27">
        <f>250*'SC1'!K11+('SC1'!K41-250)*'SC1'!K13</f>
        <v>29.94</v>
      </c>
      <c r="L52" s="27">
        <f>250*'SC1'!L11+('SC1'!L41-250)*'SC1'!L13</f>
        <v>29.94</v>
      </c>
      <c r="M52" s="27">
        <f>250*'SC1'!M11+('SC1'!M41-250)*'SC1'!M13</f>
        <v>29.94</v>
      </c>
    </row>
    <row r="53" spans="1:13" s="25" customFormat="1" x14ac:dyDescent="0.2">
      <c r="A53" s="25" t="s">
        <v>34</v>
      </c>
      <c r="B53" s="27">
        <f>+'SC1'!B41*'SC1'!B14</f>
        <v>-0.15825</v>
      </c>
      <c r="C53" s="27">
        <f>+'SC1'!C41*'SC1'!C14</f>
        <v>-0.15825</v>
      </c>
      <c r="D53" s="27">
        <f>+'SC1'!D41*'SC1'!D14</f>
        <v>-0.15825</v>
      </c>
      <c r="E53" s="27">
        <f>+'SC1'!E41*'SC1'!E14</f>
        <v>-0.15825</v>
      </c>
      <c r="F53" s="27">
        <f>+'SC1'!F41*'SC1'!F14</f>
        <v>-0.15825</v>
      </c>
      <c r="G53" s="27">
        <f>+'SC1'!G41*'SC1'!G14</f>
        <v>-0.15825</v>
      </c>
      <c r="H53" s="27">
        <f>+'SC1'!H41*'SC1'!H14</f>
        <v>-0.15825</v>
      </c>
      <c r="I53" s="27">
        <f>+'SC1'!I41*'SC1'!I14</f>
        <v>0</v>
      </c>
      <c r="J53" s="27">
        <f>+'SC1'!J41*'SC1'!J14</f>
        <v>0</v>
      </c>
      <c r="K53" s="27">
        <f>+'SC1'!K41*'SC1'!K14</f>
        <v>0.10825</v>
      </c>
      <c r="L53" s="27">
        <f>+'SC1'!L41*'SC1'!L14</f>
        <v>0</v>
      </c>
      <c r="M53" s="27">
        <f>+'SC1'!M41*'SC1'!M14</f>
        <v>0</v>
      </c>
    </row>
    <row r="54" spans="1:13" s="25" customFormat="1" x14ac:dyDescent="0.2">
      <c r="A54" s="25" t="s">
        <v>35</v>
      </c>
      <c r="B54" s="27">
        <f>'SC1'!B15</f>
        <v>1.28</v>
      </c>
      <c r="C54" s="27">
        <f>'SC1'!C15</f>
        <v>1.28</v>
      </c>
      <c r="D54" s="27">
        <f>'SC1'!D15</f>
        <v>1.28</v>
      </c>
      <c r="E54" s="27">
        <f>'SC1'!E15</f>
        <v>1.28</v>
      </c>
      <c r="F54" s="27">
        <f>'SC1'!F15</f>
        <v>1.28</v>
      </c>
      <c r="G54" s="27">
        <f>'SC1'!G15</f>
        <v>1.28</v>
      </c>
      <c r="H54" s="27">
        <f>'SC1'!H15</f>
        <v>1.28</v>
      </c>
      <c r="I54" s="27">
        <f>'SC1'!I15</f>
        <v>1.28</v>
      </c>
      <c r="J54" s="27">
        <f>'SC1'!J15</f>
        <v>1.28</v>
      </c>
      <c r="K54" s="27">
        <f>'SC1'!K15</f>
        <v>1.28</v>
      </c>
      <c r="L54" s="27">
        <f>'SC1'!L15</f>
        <v>1.28</v>
      </c>
      <c r="M54" s="27">
        <f>'SC1'!M15</f>
        <v>1.28</v>
      </c>
    </row>
    <row r="55" spans="1:13" s="25" customFormat="1" x14ac:dyDescent="0.2">
      <c r="A55" s="25" t="s">
        <v>36</v>
      </c>
      <c r="B55" s="27">
        <f>'SC1'!B41*'SC1'!B16</f>
        <v>1.8825000000000001</v>
      </c>
      <c r="C55" s="27">
        <f>'SC1'!C41*'SC1'!C16</f>
        <v>1.8825000000000001</v>
      </c>
      <c r="D55" s="27">
        <f>'SC1'!D41*'SC1'!D16</f>
        <v>0.49</v>
      </c>
      <c r="E55" s="27">
        <f>'SC1'!E41*'SC1'!E16</f>
        <v>0.49</v>
      </c>
      <c r="F55" s="27">
        <f>'SC1'!F41*'SC1'!F16</f>
        <v>0.49</v>
      </c>
      <c r="G55" s="27">
        <f>'SC1'!G41*'SC1'!G16</f>
        <v>0.49</v>
      </c>
      <c r="H55" s="27">
        <f>'SC1'!H41*'SC1'!H16</f>
        <v>0.49</v>
      </c>
      <c r="I55" s="27">
        <f>'SC1'!I41*'SC1'!I16</f>
        <v>0.49</v>
      </c>
      <c r="J55" s="27">
        <f>'SC1'!J41*'SC1'!J16</f>
        <v>-3.5599999999999996</v>
      </c>
      <c r="K55" s="27">
        <f>'SC1'!K41*'SC1'!K16</f>
        <v>-3.5599999999999996</v>
      </c>
      <c r="L55" s="27">
        <f>'SC1'!L41*'SC1'!L16</f>
        <v>-3.5599999999999996</v>
      </c>
      <c r="M55" s="27">
        <f>'SC1'!M41*'SC1'!M16</f>
        <v>-3.5599999999999996</v>
      </c>
    </row>
    <row r="56" spans="1:13" s="25" customFormat="1" x14ac:dyDescent="0.2">
      <c r="A56" s="25" t="s">
        <v>37</v>
      </c>
      <c r="B56" s="27">
        <f>'SC1'!B41*'SC1'!B17</f>
        <v>1.6074999999999999</v>
      </c>
      <c r="C56" s="27">
        <f>'SC1'!C41*'SC1'!C17</f>
        <v>1.2075</v>
      </c>
      <c r="D56" s="27">
        <f>'SC1'!D41*'SC1'!D17</f>
        <v>1.0625</v>
      </c>
      <c r="E56" s="27">
        <f>'SC1'!E41*'SC1'!E17</f>
        <v>1.3</v>
      </c>
      <c r="F56" s="27">
        <f>'SC1'!F41*'SC1'!F17</f>
        <v>1.07</v>
      </c>
      <c r="G56" s="27">
        <f>'SC1'!G41*'SC1'!G17</f>
        <v>2.11</v>
      </c>
      <c r="H56" s="27">
        <f>'SC1'!H41*'SC1'!H17</f>
        <v>2.8249999999999997</v>
      </c>
      <c r="I56" s="27">
        <f>'SC1'!I41*'SC1'!I17</f>
        <v>1.5150000000000001</v>
      </c>
      <c r="J56" s="27">
        <f>'SC1'!J41*'SC1'!J17</f>
        <v>1.5074999999999998</v>
      </c>
      <c r="K56" s="27">
        <f>'SC1'!K41*'SC1'!K17</f>
        <v>1.56</v>
      </c>
      <c r="L56" s="27">
        <f>'SC1'!L41*'SC1'!L17</f>
        <v>2.0574999999999997</v>
      </c>
      <c r="M56" s="27">
        <f>'SC1'!M41*'SC1'!M17</f>
        <v>2.5300000000000002</v>
      </c>
    </row>
    <row r="57" spans="1:13" s="25" customFormat="1" x14ac:dyDescent="0.2">
      <c r="A57" s="25" t="s">
        <v>38</v>
      </c>
      <c r="B57" s="27">
        <f>'SC1'!B41*'SC1'!B20</f>
        <v>1.25</v>
      </c>
      <c r="C57" s="27">
        <f>'SC1'!C41*'SC1'!C20</f>
        <v>1.25</v>
      </c>
      <c r="D57" s="27">
        <f>'SC1'!D41*'SC1'!D20</f>
        <v>1.25</v>
      </c>
      <c r="E57" s="27">
        <f>'SC1'!E41*'SC1'!E20</f>
        <v>1.25</v>
      </c>
      <c r="F57" s="27">
        <f>'SC1'!F41*'SC1'!F20</f>
        <v>1.25</v>
      </c>
      <c r="G57" s="27">
        <f>'SC1'!G41*'SC1'!G20</f>
        <v>1.25</v>
      </c>
      <c r="H57" s="27">
        <f>'SC1'!H41*'SC1'!H20</f>
        <v>1.25</v>
      </c>
      <c r="I57" s="27">
        <f>'SC1'!I41*'SC1'!I20</f>
        <v>1.35</v>
      </c>
      <c r="J57" s="27">
        <f>'SC1'!J41*'SC1'!J20</f>
        <v>1.35</v>
      </c>
      <c r="K57" s="27">
        <f>'SC1'!K41*'SC1'!K20</f>
        <v>1.35</v>
      </c>
      <c r="L57" s="27">
        <f>'SC1'!L41*'SC1'!L20</f>
        <v>1.35</v>
      </c>
      <c r="M57" s="27">
        <f>'SC1'!M41*'SC1'!M20</f>
        <v>1.35</v>
      </c>
    </row>
    <row r="58" spans="1:13" s="25" customFormat="1" x14ac:dyDescent="0.2">
      <c r="A58" s="25" t="s">
        <v>39</v>
      </c>
      <c r="B58" s="27">
        <f>'SC1'!B41*'SC1'!B21</f>
        <v>0</v>
      </c>
      <c r="C58" s="27">
        <f>'SC1'!C41*'SC1'!C21</f>
        <v>0</v>
      </c>
      <c r="D58" s="27">
        <f>'SC1'!D41*'SC1'!D21</f>
        <v>0</v>
      </c>
      <c r="E58" s="27">
        <f>'SC1'!E41*'SC1'!E21</f>
        <v>0</v>
      </c>
      <c r="F58" s="27">
        <f>'SC1'!F41*'SC1'!F21</f>
        <v>0</v>
      </c>
      <c r="G58" s="27">
        <f>'SC1'!G41*'SC1'!G21</f>
        <v>0</v>
      </c>
      <c r="H58" s="27">
        <f>'SC1'!H41*'SC1'!H21</f>
        <v>0</v>
      </c>
      <c r="I58" s="27">
        <f>'SC1'!I41*'SC1'!I21</f>
        <v>0</v>
      </c>
      <c r="J58" s="27">
        <f>'SC1'!J41*'SC1'!J21</f>
        <v>0</v>
      </c>
      <c r="K58" s="27">
        <f>'SC1'!K41*'SC1'!K21</f>
        <v>0</v>
      </c>
      <c r="L58" s="27">
        <f>'SC1'!L41*'SC1'!L21</f>
        <v>0</v>
      </c>
      <c r="M58" s="27">
        <f>'SC1'!M41*'SC1'!M21</f>
        <v>0</v>
      </c>
    </row>
    <row r="59" spans="1:13" s="25" customFormat="1" x14ac:dyDescent="0.2">
      <c r="A59" s="25" t="s">
        <v>40</v>
      </c>
      <c r="B59" s="27">
        <f>'SC1'!B41*'SC1'!B28</f>
        <v>-0.15675</v>
      </c>
      <c r="C59" s="27">
        <f>'SC1'!C41*'SC1'!C28</f>
        <v>0.13750000000000001</v>
      </c>
      <c r="D59" s="27">
        <f>'SC1'!D41*'SC1'!D28</f>
        <v>-7.2499999999999995E-2</v>
      </c>
      <c r="E59" s="27">
        <f>'SC1'!E41*'SC1'!E28</f>
        <v>0.37274999999999997</v>
      </c>
      <c r="F59" s="27">
        <f>'SC1'!F41*'SC1'!F28</f>
        <v>0.8942500000000001</v>
      </c>
      <c r="G59" s="27">
        <f>'SC1'!G41*'SC1'!G28</f>
        <v>0.69824999999999993</v>
      </c>
      <c r="H59" s="27">
        <f>'SC1'!H41*'SC1'!H28</f>
        <v>2.0707500000000003</v>
      </c>
      <c r="I59" s="27">
        <f>'SC1'!I41*'SC1'!I28</f>
        <v>1.3552499999999998</v>
      </c>
      <c r="J59" s="27">
        <f>'SC1'!J41*'SC1'!J28</f>
        <v>1.6627500000000002</v>
      </c>
      <c r="K59" s="27">
        <f>'SC1'!K41*'SC1'!K28</f>
        <v>-0.53374999999999995</v>
      </c>
      <c r="L59" s="27">
        <f>'SC1'!L41*'SC1'!L28</f>
        <v>0.47550000000000003</v>
      </c>
      <c r="M59" s="27">
        <f>'SC1'!M41*'SC1'!M28</f>
        <v>0.41175</v>
      </c>
    </row>
    <row r="60" spans="1:13" s="25" customFormat="1" x14ac:dyDescent="0.2">
      <c r="A60" s="25" t="s">
        <v>41</v>
      </c>
      <c r="B60" s="27">
        <f>+'SC1'!B41*'SC1'!B18</f>
        <v>-5.0000000000000001E-4</v>
      </c>
      <c r="C60" s="27">
        <f>+'SC1'!C41*'SC1'!C18</f>
        <v>2E-3</v>
      </c>
      <c r="D60" s="27">
        <f>+'SC1'!D41*'SC1'!D18</f>
        <v>6.2500000000000003E-3</v>
      </c>
      <c r="E60" s="27">
        <f>+'SC1'!E41*'SC1'!E18</f>
        <v>7.2500000000000004E-3</v>
      </c>
      <c r="F60" s="27">
        <f>+'SC1'!F41*'SC1'!F18</f>
        <v>4.5000000000000005E-3</v>
      </c>
      <c r="G60" s="27">
        <f>+'SC1'!G41*'SC1'!G18</f>
        <v>7.5000000000000006E-3</v>
      </c>
      <c r="H60" s="27">
        <f>+'SC1'!H41*'SC1'!H18</f>
        <v>6.7499999999999999E-3</v>
      </c>
      <c r="I60" s="27">
        <f>+'SC1'!I41*'SC1'!I18</f>
        <v>1.4250000000000001E-2</v>
      </c>
      <c r="J60" s="27">
        <f>+'SC1'!J41*'SC1'!J18</f>
        <v>2.725E-2</v>
      </c>
      <c r="K60" s="27">
        <f>+'SC1'!K41*'SC1'!K18</f>
        <v>1.6500000000000001E-2</v>
      </c>
      <c r="L60" s="27">
        <f>+'SC1'!L41*'SC1'!L18</f>
        <v>7.7499999999999999E-3</v>
      </c>
      <c r="M60" s="27">
        <f>+'SC1'!M41*'SC1'!M18</f>
        <v>-3.2499999999999999E-3</v>
      </c>
    </row>
    <row r="61" spans="1:13" s="25" customFormat="1" x14ac:dyDescent="0.2">
      <c r="A61" s="25" t="s">
        <v>42</v>
      </c>
      <c r="B61" s="27">
        <f>+'SC1'!B41*'SC1'!B19</f>
        <v>2.5000000000000001E-4</v>
      </c>
      <c r="C61" s="27">
        <f>+'SC1'!C41*'SC1'!C19</f>
        <v>2.5000000000000001E-4</v>
      </c>
      <c r="D61" s="27">
        <f>+'SC1'!D41*'SC1'!D19</f>
        <v>2.5000000000000001E-4</v>
      </c>
      <c r="E61" s="27">
        <f>+'SC1'!E41*'SC1'!E19</f>
        <v>2.5000000000000001E-4</v>
      </c>
      <c r="F61" s="27">
        <f>+'SC1'!F41*'SC1'!F19</f>
        <v>2.5000000000000001E-4</v>
      </c>
      <c r="G61" s="27">
        <f>+'SC1'!G41*'SC1'!G19</f>
        <v>2.5000000000000001E-4</v>
      </c>
      <c r="H61" s="27">
        <f>+'SC1'!H41*'SC1'!H19</f>
        <v>2.5000000000000001E-4</v>
      </c>
      <c r="I61" s="27">
        <f>+'SC1'!I41*'SC1'!I19</f>
        <v>-2.5000000000000001E-4</v>
      </c>
      <c r="J61" s="27">
        <f>+'SC1'!J41*'SC1'!J19</f>
        <v>-2.5000000000000001E-4</v>
      </c>
      <c r="K61" s="27">
        <f>+'SC1'!K41*'SC1'!K19</f>
        <v>-2.5000000000000001E-4</v>
      </c>
      <c r="L61" s="27">
        <f>+'SC1'!L41*'SC1'!L19</f>
        <v>-2.5000000000000001E-4</v>
      </c>
      <c r="M61" s="27">
        <f>+'SC1'!M41*'SC1'!M19</f>
        <v>-2.5000000000000001E-4</v>
      </c>
    </row>
    <row r="62" spans="1:13" s="25" customFormat="1" x14ac:dyDescent="0.2">
      <c r="A62" s="25" t="s">
        <v>43</v>
      </c>
      <c r="B62" s="27">
        <f>+'SC1'!B41*'SC1'!B31</f>
        <v>0</v>
      </c>
      <c r="C62" s="27">
        <f>+'SC1'!C41*'SC1'!C31</f>
        <v>0</v>
      </c>
      <c r="D62" s="27">
        <f>+'SC1'!D41*'SC1'!D31</f>
        <v>0</v>
      </c>
      <c r="E62" s="27">
        <f>+'SC1'!E41*'SC1'!E31</f>
        <v>0</v>
      </c>
      <c r="F62" s="27">
        <f>+'SC1'!F41*'SC1'!F31</f>
        <v>0</v>
      </c>
      <c r="G62" s="27">
        <f>+'SC1'!G41*'SC1'!G31</f>
        <v>0</v>
      </c>
      <c r="H62" s="27">
        <f>+'SC1'!H41*'SC1'!H31</f>
        <v>0</v>
      </c>
      <c r="I62" s="27">
        <f>+'SC1'!I41*'SC1'!I31</f>
        <v>0</v>
      </c>
      <c r="J62" s="27">
        <f>+'SC1'!J41*'SC1'!J31</f>
        <v>0</v>
      </c>
      <c r="K62" s="27">
        <f>+'SC1'!K41*'SC1'!K31</f>
        <v>0</v>
      </c>
      <c r="L62" s="27">
        <f>+'SC1'!L41*'SC1'!L31</f>
        <v>0</v>
      </c>
      <c r="M62" s="27">
        <f>+'SC1'!M41*'SC1'!M31</f>
        <v>0</v>
      </c>
    </row>
    <row r="63" spans="1:13" s="25" customFormat="1" x14ac:dyDescent="0.2">
      <c r="A63" s="25" t="s">
        <v>44</v>
      </c>
      <c r="B63" s="27">
        <f>+'SC1'!B41*'SC1'!B32</f>
        <v>0</v>
      </c>
      <c r="C63" s="27">
        <f>+'SC1'!C41*'SC1'!C32</f>
        <v>0</v>
      </c>
      <c r="D63" s="27">
        <f>+'SC1'!D41*'SC1'!D32</f>
        <v>0</v>
      </c>
      <c r="E63" s="27">
        <f>+'SC1'!E41*'SC1'!E32</f>
        <v>0</v>
      </c>
      <c r="F63" s="27">
        <f>+'SC1'!F41*'SC1'!F32</f>
        <v>0</v>
      </c>
      <c r="G63" s="27">
        <f>+'SC1'!G41*'SC1'!G32</f>
        <v>0</v>
      </c>
      <c r="H63" s="27">
        <f>+'SC1'!H41*'SC1'!H32</f>
        <v>0</v>
      </c>
      <c r="I63" s="27">
        <f>+'SC1'!I41*'SC1'!I32</f>
        <v>0</v>
      </c>
      <c r="J63" s="27">
        <f>+'SC1'!J41*'SC1'!J32</f>
        <v>0</v>
      </c>
      <c r="K63" s="27">
        <f>+'SC1'!K41*'SC1'!K32</f>
        <v>0</v>
      </c>
      <c r="L63" s="27">
        <f>+'SC1'!L41*'SC1'!L32</f>
        <v>0</v>
      </c>
      <c r="M63" s="27">
        <f>+'SC1'!M41*'SC1'!M32</f>
        <v>0</v>
      </c>
    </row>
    <row r="64" spans="1:13" s="25" customFormat="1" x14ac:dyDescent="0.2">
      <c r="A64" s="25" t="s">
        <v>45</v>
      </c>
      <c r="B64" s="27">
        <f>+'SC1'!B41*'SC1'!B34</f>
        <v>0.27500000000000002</v>
      </c>
      <c r="C64" s="27">
        <f>+'SC1'!C41*'SC1'!C34</f>
        <v>0.27500000000000002</v>
      </c>
      <c r="D64" s="27">
        <f>+'SC1'!D41*'SC1'!D34</f>
        <v>0.27500000000000002</v>
      </c>
      <c r="E64" s="27">
        <f>+'SC1'!E41*'SC1'!E34</f>
        <v>0.27500000000000002</v>
      </c>
      <c r="F64" s="27">
        <f>+'SC1'!F41*'SC1'!F34</f>
        <v>0.27500000000000002</v>
      </c>
      <c r="G64" s="27">
        <f>+'SC1'!G41*'SC1'!G34</f>
        <v>0.27500000000000002</v>
      </c>
      <c r="H64" s="27">
        <f>+'SC1'!H41*'SC1'!H34</f>
        <v>0.27500000000000002</v>
      </c>
      <c r="I64" s="27">
        <f>+'SC1'!I41*'SC1'!I34</f>
        <v>0.27500000000000002</v>
      </c>
      <c r="J64" s="27">
        <f>+'SC1'!J41*'SC1'!J34</f>
        <v>0.27500000000000002</v>
      </c>
      <c r="K64" s="27">
        <f>+'SC1'!K41*'SC1'!K34</f>
        <v>0.27500000000000002</v>
      </c>
      <c r="L64" s="27">
        <f>+'SC1'!L41*'SC1'!L34</f>
        <v>0.27500000000000002</v>
      </c>
      <c r="M64" s="27">
        <f>+'SC1'!M41*'SC1'!M34</f>
        <v>0.27500000000000002</v>
      </c>
    </row>
    <row r="65" spans="1:13" s="25" customFormat="1" x14ac:dyDescent="0.2">
      <c r="A65" s="25" t="s">
        <v>27</v>
      </c>
      <c r="B65" s="27">
        <f>+'SC1'!B41*'SC1'!B35</f>
        <v>0</v>
      </c>
      <c r="C65" s="27">
        <f>+'SC1'!C41*'SC1'!C35</f>
        <v>0</v>
      </c>
      <c r="D65" s="27">
        <f>+'SC1'!D41*'SC1'!D35</f>
        <v>0</v>
      </c>
      <c r="E65" s="27">
        <f>+'SC1'!E41*'SC1'!E35</f>
        <v>0</v>
      </c>
      <c r="F65" s="27">
        <f>+'SC1'!F41*'SC1'!F35</f>
        <v>0</v>
      </c>
      <c r="G65" s="27">
        <f>+'SC1'!G41*'SC1'!G35</f>
        <v>0</v>
      </c>
      <c r="H65" s="27">
        <f>+'SC1'!H41*'SC1'!H35</f>
        <v>0</v>
      </c>
      <c r="I65" s="27">
        <f>+'SC1'!I41*'SC1'!I35</f>
        <v>0</v>
      </c>
      <c r="J65" s="27">
        <f>+'SC1'!J41*'SC1'!J35</f>
        <v>0</v>
      </c>
      <c r="K65" s="27">
        <f>+'SC1'!K41*'SC1'!K35</f>
        <v>0</v>
      </c>
      <c r="L65" s="27">
        <f>+'SC1'!L41*'SC1'!L35</f>
        <v>0</v>
      </c>
      <c r="M65" s="27">
        <f>+'SC1'!M41*'SC1'!M35</f>
        <v>0</v>
      </c>
    </row>
    <row r="66" spans="1:13" s="25" customFormat="1" x14ac:dyDescent="0.2">
      <c r="A66" s="25" t="s">
        <v>46</v>
      </c>
      <c r="B66" s="27"/>
      <c r="C66" s="27"/>
      <c r="D66" s="27"/>
      <c r="E66" s="27"/>
      <c r="F66" s="27"/>
      <c r="G66" s="27"/>
      <c r="H66" s="27">
        <f t="shared" ref="H66:M66" si="2">H41*H22</f>
        <v>2.5000000000000001E-2</v>
      </c>
      <c r="I66" s="27">
        <f t="shared" si="2"/>
        <v>2.5000000000000001E-2</v>
      </c>
      <c r="J66" s="27">
        <f t="shared" si="2"/>
        <v>2.5000000000000001E-2</v>
      </c>
      <c r="K66" s="27">
        <f t="shared" si="2"/>
        <v>2.5000000000000001E-2</v>
      </c>
      <c r="L66" s="27">
        <f t="shared" si="2"/>
        <v>2.5000000000000001E-2</v>
      </c>
      <c r="M66" s="27">
        <f t="shared" si="2"/>
        <v>2.5000000000000001E-2</v>
      </c>
    </row>
    <row r="67" spans="1:13" s="25" customFormat="1" ht="11.5" x14ac:dyDescent="0.35">
      <c r="A67" s="25" t="s">
        <v>47</v>
      </c>
      <c r="B67" s="28">
        <f>SUM(B51:B65)*'SC1'!B27</f>
        <v>2.51475758625</v>
      </c>
      <c r="C67" s="28">
        <f>SUM(C51:C65)*'SC1'!C27</f>
        <v>2.5095429450000006</v>
      </c>
      <c r="D67" s="28">
        <f>SUM(D51:D65)*'SC1'!D27</f>
        <v>2.4215001037500001</v>
      </c>
      <c r="E67" s="28">
        <f>SUM(E51:E65)*'SC1'!E27</f>
        <v>2.4560328975000001</v>
      </c>
      <c r="F67" s="28">
        <f>SUM(F51:F65)*'SC1'!F27</f>
        <v>2.4706162162500003</v>
      </c>
      <c r="G67" s="28">
        <f>SUM(G51:G65)*'SC1'!G27</f>
        <v>2.5133939512500003</v>
      </c>
      <c r="H67" s="28">
        <f>SUM(H51:H66)*'SC1'!H27</f>
        <v>2.6200478850000004</v>
      </c>
      <c r="I67" s="28">
        <f>SUM(I51:I66)*'SC1'!I27</f>
        <v>2.6638483462499996</v>
      </c>
      <c r="J67" s="28">
        <f>SUM(J51:J66)*'SC1'!J27</f>
        <v>2.4751111612500001</v>
      </c>
      <c r="K67" s="28">
        <f>SUM(K51:K66)*'SC1'!K27</f>
        <v>2.3717526787500001</v>
      </c>
      <c r="L67" s="28">
        <f>SUM(L51:L66)*'SC1'!L27</f>
        <v>2.3784094454999996</v>
      </c>
      <c r="M67" s="28">
        <f>SUM(M51:M66)*'SC1'!M27</f>
        <v>2.3979751657499997</v>
      </c>
    </row>
    <row r="68" spans="1:13" s="25" customFormat="1" ht="10.5" x14ac:dyDescent="0.25">
      <c r="A68" s="25" t="s">
        <v>48</v>
      </c>
      <c r="B68" s="29">
        <f t="shared" ref="B68:M68" si="3">SUM(B51:B67)</f>
        <v>52.307007586249995</v>
      </c>
      <c r="C68" s="29">
        <f t="shared" si="3"/>
        <v>52.198542945000007</v>
      </c>
      <c r="D68" s="29">
        <f t="shared" si="3"/>
        <v>50.367250103750003</v>
      </c>
      <c r="E68" s="29">
        <f t="shared" si="3"/>
        <v>51.085532897500002</v>
      </c>
      <c r="F68" s="29">
        <f t="shared" si="3"/>
        <v>51.388866216250001</v>
      </c>
      <c r="G68" s="29">
        <f t="shared" si="3"/>
        <v>52.278643951250004</v>
      </c>
      <c r="H68" s="29">
        <f t="shared" si="3"/>
        <v>54.497047885000001</v>
      </c>
      <c r="I68" s="29">
        <f t="shared" si="3"/>
        <v>55.408098346249993</v>
      </c>
      <c r="J68" s="29">
        <f t="shared" si="3"/>
        <v>51.482361161249997</v>
      </c>
      <c r="K68" s="29">
        <f t="shared" si="3"/>
        <v>49.332502678749997</v>
      </c>
      <c r="L68" s="29">
        <f t="shared" si="3"/>
        <v>50.728909445499987</v>
      </c>
      <c r="M68" s="29">
        <f t="shared" si="3"/>
        <v>51.146225165749989</v>
      </c>
    </row>
    <row r="69" spans="1:13" s="25" customFormat="1" x14ac:dyDescent="0.2"/>
    <row r="70" spans="1:13" s="25" customFormat="1" x14ac:dyDescent="0.2">
      <c r="A70" s="25" t="s">
        <v>49</v>
      </c>
      <c r="B70" s="30">
        <f>'SC1'!B41*'SC1'!B24</f>
        <v>23.901</v>
      </c>
      <c r="C70" s="30">
        <f>'SC1'!C41*'SC1'!C24</f>
        <v>25.304750000000002</v>
      </c>
      <c r="D70" s="30">
        <f>'SC1'!D41*'SC1'!D24</f>
        <v>24.580250000000003</v>
      </c>
      <c r="E70" s="30">
        <f>'SC1'!E41*'SC1'!E24</f>
        <v>23.483750000000001</v>
      </c>
      <c r="F70" s="30">
        <f>'SC1'!F41*'SC1'!F24</f>
        <v>23.526500000000002</v>
      </c>
      <c r="G70" s="30">
        <f>'SC1'!G41*'SC1'!G24</f>
        <v>18.316749999999999</v>
      </c>
      <c r="H70" s="30">
        <f>'SC1'!H41*'SC1'!H24</f>
        <v>21.347999999999999</v>
      </c>
      <c r="I70" s="30">
        <f>'SC1'!I41*'SC1'!I24</f>
        <v>22.206999999999997</v>
      </c>
      <c r="J70" s="30">
        <f>'SC1'!J41*'SC1'!J24</f>
        <v>29.956250000000001</v>
      </c>
      <c r="K70" s="30">
        <f>'SC1'!K41*'SC1'!K24</f>
        <v>20.562499999999996</v>
      </c>
      <c r="L70" s="30">
        <f>'SC1'!L41*'SC1'!L24</f>
        <v>19.25975</v>
      </c>
      <c r="M70" s="30">
        <f>'SC1'!M41*'SC1'!M24</f>
        <v>16.795249999999999</v>
      </c>
    </row>
    <row r="71" spans="1:13" s="25" customFormat="1" x14ac:dyDescent="0.2">
      <c r="A71" s="25" t="s">
        <v>50</v>
      </c>
      <c r="B71" s="31">
        <f>'SC1'!B41*'SC1'!B25</f>
        <v>0.90500000000000003</v>
      </c>
      <c r="C71" s="31">
        <f>'SC1'!C41*'SC1'!C25</f>
        <v>0.92199999999999993</v>
      </c>
      <c r="D71" s="31">
        <f>'SC1'!D41*'SC1'!D25</f>
        <v>1.0157499999999999</v>
      </c>
      <c r="E71" s="31">
        <f>'SC1'!E41*'SC1'!E25</f>
        <v>1.11775</v>
      </c>
      <c r="F71" s="31">
        <f>'SC1'!F41*'SC1'!F25</f>
        <v>1.1195000000000002</v>
      </c>
      <c r="G71" s="31">
        <f>'SC1'!G41*'SC1'!G25</f>
        <v>0.95674999999999999</v>
      </c>
      <c r="H71" s="31">
        <f>'SC1'!H41*'SC1'!H25</f>
        <v>0.88250000000000006</v>
      </c>
      <c r="I71" s="31">
        <f>'SC1'!I41*'SC1'!I25</f>
        <v>0.96550000000000002</v>
      </c>
      <c r="J71" s="31">
        <f>'SC1'!J41*'SC1'!J25</f>
        <v>1.0185</v>
      </c>
      <c r="K71" s="31">
        <f>'SC1'!K41*'SC1'!K25</f>
        <v>1.05925</v>
      </c>
      <c r="L71" s="31">
        <f>'SC1'!L41*'SC1'!L25</f>
        <v>0.42025000000000001</v>
      </c>
      <c r="M71" s="31">
        <f>'SC1'!M41*'SC1'!M25</f>
        <v>1.00125</v>
      </c>
    </row>
    <row r="72" spans="1:13" s="25" customFormat="1" x14ac:dyDescent="0.2">
      <c r="A72" s="25" t="s">
        <v>51</v>
      </c>
      <c r="B72" s="31">
        <f>'SC1'!B41*'SC1'!B29</f>
        <v>3.2912499999999998</v>
      </c>
      <c r="C72" s="31">
        <f>'SC1'!C41*'SC1'!C29</f>
        <v>-2.3102499999999999</v>
      </c>
      <c r="D72" s="31">
        <f>'SC1'!D41*'SC1'!D29</f>
        <v>-4.5487500000000001</v>
      </c>
      <c r="E72" s="31">
        <f>'SC1'!E41*'SC1'!E29</f>
        <v>-4.7387499999999996</v>
      </c>
      <c r="F72" s="31">
        <f>'SC1'!F41*'SC1'!F29</f>
        <v>-2.4994999999999998</v>
      </c>
      <c r="G72" s="31">
        <f>'SC1'!G41*'SC1'!G29</f>
        <v>3.0249999999999999E-2</v>
      </c>
      <c r="H72" s="31">
        <f>'SC1'!H41*'SC1'!H29</f>
        <v>-2.3422499999999999</v>
      </c>
      <c r="I72" s="31">
        <f>'SC1'!I41*'SC1'!I29</f>
        <v>-0.52600000000000002</v>
      </c>
      <c r="J72" s="31">
        <f>'SC1'!J41*'SC1'!J29</f>
        <v>7.2499999999999995E-3</v>
      </c>
      <c r="K72" s="31">
        <f>'SC1'!K41*'SC1'!K29</f>
        <v>0.86849999999999994</v>
      </c>
      <c r="L72" s="31">
        <f>'SC1'!L41*'SC1'!L29</f>
        <v>3.1822499999999998</v>
      </c>
      <c r="M72" s="31">
        <f>'SC1'!M41*'SC1'!M29</f>
        <v>3.1527500000000002</v>
      </c>
    </row>
    <row r="73" spans="1:13" s="25" customFormat="1" x14ac:dyDescent="0.2">
      <c r="A73" s="25" t="s">
        <v>52</v>
      </c>
      <c r="B73" s="31">
        <f>'SC1'!B41*'SC1'!B30</f>
        <v>1.43275</v>
      </c>
      <c r="C73" s="31">
        <f>'SC1'!C41*'SC1'!C30</f>
        <v>-0.40775</v>
      </c>
      <c r="D73" s="31">
        <f>'SC1'!D41*'SC1'!D30</f>
        <v>0.15425</v>
      </c>
      <c r="E73" s="31">
        <f>'SC1'!E41*'SC1'!E30</f>
        <v>7.9750000000000001E-2</v>
      </c>
      <c r="F73" s="31">
        <f>'SC1'!F41*'SC1'!F30</f>
        <v>1.0165</v>
      </c>
      <c r="G73" s="31">
        <f>'SC1'!G41*'SC1'!G30</f>
        <v>3.0235000000000003</v>
      </c>
      <c r="H73" s="31">
        <f>'SC1'!H41*'SC1'!H30</f>
        <v>3.7650000000000001</v>
      </c>
      <c r="I73" s="31">
        <f>'SC1'!I41*'SC1'!I30</f>
        <v>3.2477499999999999</v>
      </c>
      <c r="J73" s="31">
        <f>'SC1'!J41*'SC1'!J30</f>
        <v>1.5665000000000002</v>
      </c>
      <c r="K73" s="31">
        <f>'SC1'!K41*'SC1'!K30</f>
        <v>-4.3392499999999998</v>
      </c>
      <c r="L73" s="31">
        <f>'SC1'!L41*'SC1'!L30</f>
        <v>4.0512500000000005</v>
      </c>
      <c r="M73" s="31">
        <f>'SC1'!M41*'SC1'!M30</f>
        <v>5.4844999999999997</v>
      </c>
    </row>
    <row r="74" spans="1:13" s="25" customFormat="1" x14ac:dyDescent="0.2">
      <c r="A74" s="25" t="s">
        <v>53</v>
      </c>
      <c r="B74" s="27">
        <f>+'SC1'!B41*'SC1'!B33</f>
        <v>1.1567499999999999</v>
      </c>
      <c r="C74" s="27">
        <f>+'SC1'!C41*'SC1'!C33</f>
        <v>1.1567499999999999</v>
      </c>
      <c r="D74" s="27">
        <f>+'SC1'!D41*'SC1'!D33</f>
        <v>1.1567499999999999</v>
      </c>
      <c r="E74" s="27">
        <f>+'SC1'!E41*'SC1'!E33</f>
        <v>1.1567499999999999</v>
      </c>
      <c r="F74" s="27">
        <f>+'SC1'!F41*'SC1'!F33</f>
        <v>1.1567499999999999</v>
      </c>
      <c r="G74" s="27">
        <f>+'SC1'!G41*'SC1'!G33</f>
        <v>1.1567499999999999</v>
      </c>
      <c r="H74" s="27">
        <f>+'SC1'!H41*'SC1'!H33</f>
        <v>1.1567499999999999</v>
      </c>
      <c r="I74" s="27">
        <f>+'SC1'!I41*'SC1'!I33</f>
        <v>1.1567499999999999</v>
      </c>
      <c r="J74" s="27">
        <f>+'SC1'!J41*'SC1'!J33</f>
        <v>1.1567499999999999</v>
      </c>
      <c r="K74" s="27">
        <f>+'SC1'!K41*'SC1'!K33</f>
        <v>1.1567499999999999</v>
      </c>
      <c r="L74" s="27">
        <f>+'SC1'!L41*'SC1'!L33</f>
        <v>1.3472500000000001</v>
      </c>
      <c r="M74" s="27">
        <f>+'SC1'!M41*'SC1'!M33</f>
        <v>1.3472500000000001</v>
      </c>
    </row>
    <row r="75" spans="1:13" s="25" customFormat="1" x14ac:dyDescent="0.2">
      <c r="A75" s="25" t="s">
        <v>54</v>
      </c>
      <c r="B75" s="27"/>
      <c r="C75" s="27"/>
      <c r="D75" s="27"/>
      <c r="E75" s="27"/>
      <c r="F75" s="27"/>
      <c r="G75" s="27"/>
      <c r="H75" s="27">
        <f t="shared" ref="H75:M75" si="4">H41*H36</f>
        <v>0</v>
      </c>
      <c r="I75" s="27">
        <f t="shared" si="4"/>
        <v>0</v>
      </c>
      <c r="J75" s="27">
        <f t="shared" si="4"/>
        <v>0</v>
      </c>
      <c r="K75" s="27">
        <f t="shared" si="4"/>
        <v>0</v>
      </c>
      <c r="L75" s="27">
        <f t="shared" si="4"/>
        <v>0</v>
      </c>
      <c r="M75" s="27">
        <f t="shared" si="4"/>
        <v>0</v>
      </c>
    </row>
    <row r="76" spans="1:13" s="25" customFormat="1" ht="11.5" x14ac:dyDescent="0.35">
      <c r="A76" s="25" t="s">
        <v>47</v>
      </c>
      <c r="B76" s="28">
        <f>SUM(B70:B74)*'SC1'!B26</f>
        <v>0.73850732549999998</v>
      </c>
      <c r="C76" s="28">
        <f>SUM(C70:C74)*'SC1'!C26</f>
        <v>0.59359992300000008</v>
      </c>
      <c r="D76" s="28">
        <f>SUM(D70:D74)*'SC1'!D26</f>
        <v>0.53807364450000017</v>
      </c>
      <c r="E76" s="28">
        <f>SUM(E70:E74)*'SC1'!E26</f>
        <v>0.50777455050000009</v>
      </c>
      <c r="F76" s="28">
        <f>SUM(F70:F74)*'SC1'!F26</f>
        <v>0.58527910350000001</v>
      </c>
      <c r="G76" s="28">
        <f>SUM(G70:G74)*'SC1'!G26</f>
        <v>0.56516594399999998</v>
      </c>
      <c r="H76" s="28">
        <f>SUM(H70:H75)*'SC1'!H26</f>
        <v>0.59707745999999995</v>
      </c>
      <c r="I76" s="28">
        <f>SUM(I70:I75)*'SC1'!I26</f>
        <v>0.65100936599999992</v>
      </c>
      <c r="J76" s="28">
        <f>SUM(J70:J75)*'SC1'!J26</f>
        <v>0.81115054649999996</v>
      </c>
      <c r="K76" s="28">
        <f>SUM(K70:K75)*'SC1'!K26</f>
        <v>0.46466031149999987</v>
      </c>
      <c r="L76" s="28">
        <f>SUM(L70:L75)*'SC1'!L26</f>
        <v>0.68012320949999994</v>
      </c>
      <c r="M76" s="28">
        <f>SUM(M70:M75)*'SC1'!M26</f>
        <v>0.66857754599999997</v>
      </c>
    </row>
    <row r="77" spans="1:13" s="25" customFormat="1" ht="10.5" x14ac:dyDescent="0.25">
      <c r="A77" s="25" t="s">
        <v>55</v>
      </c>
      <c r="B77" s="29">
        <f t="shared" ref="B77:M77" si="5">SUM(B70:B76)</f>
        <v>31.425257325499999</v>
      </c>
      <c r="C77" s="29">
        <f t="shared" si="5"/>
        <v>25.259099923000001</v>
      </c>
      <c r="D77" s="29">
        <f t="shared" si="5"/>
        <v>22.896323644500004</v>
      </c>
      <c r="E77" s="29">
        <f t="shared" si="5"/>
        <v>21.6070245505</v>
      </c>
      <c r="F77" s="29">
        <f t="shared" si="5"/>
        <v>24.905029103499999</v>
      </c>
      <c r="G77" s="29">
        <f t="shared" si="5"/>
        <v>24.049165943999999</v>
      </c>
      <c r="H77" s="29">
        <f t="shared" si="5"/>
        <v>25.40707746</v>
      </c>
      <c r="I77" s="29">
        <f t="shared" si="5"/>
        <v>27.702009365999995</v>
      </c>
      <c r="J77" s="29">
        <f t="shared" si="5"/>
        <v>34.516400546500002</v>
      </c>
      <c r="K77" s="29">
        <f t="shared" si="5"/>
        <v>19.772410311499996</v>
      </c>
      <c r="L77" s="29">
        <f t="shared" si="5"/>
        <v>28.940873209499998</v>
      </c>
      <c r="M77" s="29">
        <f t="shared" si="5"/>
        <v>28.449577546</v>
      </c>
    </row>
    <row r="78" spans="1:13" s="25" customFormat="1" x14ac:dyDescent="0.2"/>
    <row r="79" spans="1:13" s="25" customFormat="1" ht="10.5" x14ac:dyDescent="0.25">
      <c r="A79" s="25" t="s">
        <v>56</v>
      </c>
      <c r="B79" s="29">
        <f t="shared" ref="B79:M79" si="6">SUM(B68,B77)</f>
        <v>83.732264911749994</v>
      </c>
      <c r="C79" s="29">
        <f t="shared" si="6"/>
        <v>77.457642868000008</v>
      </c>
      <c r="D79" s="29">
        <f t="shared" si="6"/>
        <v>73.26357374825001</v>
      </c>
      <c r="E79" s="29">
        <f t="shared" si="6"/>
        <v>72.692557448000002</v>
      </c>
      <c r="F79" s="29">
        <f t="shared" si="6"/>
        <v>76.293895319749993</v>
      </c>
      <c r="G79" s="29">
        <f t="shared" si="6"/>
        <v>76.327809895249999</v>
      </c>
      <c r="H79" s="29">
        <f t="shared" si="6"/>
        <v>79.904125344999997</v>
      </c>
      <c r="I79" s="29">
        <f t="shared" si="6"/>
        <v>83.110107712249985</v>
      </c>
      <c r="J79" s="29">
        <f t="shared" si="6"/>
        <v>85.998761707749992</v>
      </c>
      <c r="K79" s="29">
        <f t="shared" si="6"/>
        <v>69.10491299025</v>
      </c>
      <c r="L79" s="29">
        <f t="shared" si="6"/>
        <v>79.669782654999977</v>
      </c>
      <c r="M79" s="29">
        <f t="shared" si="6"/>
        <v>79.595802711749997</v>
      </c>
    </row>
    <row r="81" spans="1:8" ht="14.5" x14ac:dyDescent="0.35">
      <c r="A81" s="36"/>
      <c r="B81" s="36"/>
      <c r="C81" s="36"/>
      <c r="D81" s="36"/>
      <c r="E81" s="36"/>
      <c r="F81" s="36"/>
      <c r="G81" s="36"/>
      <c r="H81" s="36">
        <f>IF(H1="","",MONTH(H1))</f>
        <v>10</v>
      </c>
    </row>
    <row r="82" spans="1:8" ht="14.5" x14ac:dyDescent="0.35">
      <c r="A82" s="36"/>
      <c r="B82" s="36"/>
      <c r="C82" s="36"/>
      <c r="D82" s="36"/>
      <c r="E82" s="36"/>
      <c r="F82" s="36"/>
      <c r="G82" s="36"/>
      <c r="H82" s="36">
        <f>IF(H2="","",MONTH(H2))</f>
        <v>12</v>
      </c>
    </row>
    <row r="83" spans="1:8" ht="14.5" x14ac:dyDescent="0.35">
      <c r="A83" s="36"/>
      <c r="B83" s="36"/>
      <c r="C83" s="36"/>
      <c r="D83" s="36"/>
      <c r="E83" s="36"/>
      <c r="F83" s="36"/>
      <c r="G83" s="36"/>
      <c r="H83" s="36">
        <f>IF(OR(H1="",H2=""),"",IF(H82-H81=2,H81+1,""))</f>
        <v>11</v>
      </c>
    </row>
    <row r="84" spans="1:8" ht="14.5" x14ac:dyDescent="0.35">
      <c r="A84" s="36"/>
      <c r="B84" s="36"/>
      <c r="C84" s="36"/>
      <c r="D84" s="36"/>
      <c r="E84" s="36"/>
      <c r="F84" s="36"/>
      <c r="G84" s="36"/>
      <c r="H84" s="37">
        <f>IF(OR(H1="",H2=""),"",IF(H81=H82,0,(DAY(EOMONTH(H1,0))-DAY(H1))/DAY(EOMONTH(H1,0))))</f>
        <v>6.4516129032258063E-2</v>
      </c>
    </row>
    <row r="85" spans="1:8" ht="14.5" x14ac:dyDescent="0.35">
      <c r="A85" s="36"/>
      <c r="B85" s="36"/>
      <c r="C85" s="36"/>
      <c r="D85" s="36"/>
      <c r="E85" s="36"/>
      <c r="F85" s="36"/>
      <c r="G85" s="36"/>
      <c r="H85" s="37">
        <f>IF(OR(H1="",H2=""),"",DAY(H2)/DAY(EOMONTH(H2,0)))</f>
        <v>6.4516129032258063E-2</v>
      </c>
    </row>
    <row r="86" spans="1:8" ht="14.5" x14ac:dyDescent="0.35">
      <c r="A86" s="36"/>
      <c r="B86" s="36"/>
      <c r="C86" s="36"/>
      <c r="D86" s="36"/>
      <c r="E86" s="36"/>
      <c r="F86" s="36"/>
      <c r="G86" s="36"/>
      <c r="H86" s="37">
        <f>IF(OR(H1="",H2=""),"",IF(H82-H81=2,1,0))</f>
        <v>1</v>
      </c>
    </row>
    <row r="87" spans="1:8" ht="14.5" x14ac:dyDescent="0.35">
      <c r="A87" s="36"/>
      <c r="B87" s="36"/>
      <c r="C87" s="36"/>
      <c r="D87" s="36"/>
      <c r="E87" s="36"/>
      <c r="F87" s="36"/>
      <c r="G87" s="36"/>
      <c r="H87" s="36" t="str">
        <f>IF(OR(H1="",H2=""),"",MONTH(H1)&amp;YEAR(H1))</f>
        <v>102020</v>
      </c>
    </row>
    <row r="88" spans="1:8" ht="14.5" x14ac:dyDescent="0.35">
      <c r="A88" s="36"/>
      <c r="B88" s="36"/>
      <c r="C88" s="36"/>
      <c r="D88" s="36"/>
      <c r="E88" s="36"/>
      <c r="F88" s="36"/>
      <c r="G88" s="36"/>
      <c r="H88" s="36" t="str">
        <f>IF(OR(H1="",H2=""),"",MONTH(H2)&amp;YEAR(H2))</f>
        <v>122020</v>
      </c>
    </row>
    <row r="89" spans="1:8" ht="14.5" x14ac:dyDescent="0.35">
      <c r="A89" s="36"/>
      <c r="B89" s="36"/>
      <c r="C89" s="36"/>
      <c r="D89" s="36"/>
      <c r="E89" s="36"/>
      <c r="F89" s="36"/>
      <c r="G89" s="36"/>
      <c r="H89" s="36" t="str">
        <f>IF(OR(H1="",H2=""),"",IF(H82-H81=2,(H81+1)&amp;YEAR(H1),""))</f>
        <v>112020</v>
      </c>
    </row>
    <row r="90" spans="1:8" ht="14.5" x14ac:dyDescent="0.35">
      <c r="A90" s="36"/>
      <c r="B90" s="36"/>
      <c r="C90" s="36"/>
      <c r="D90" s="36"/>
      <c r="E90" s="36"/>
      <c r="F90" s="36"/>
      <c r="G90" s="36"/>
      <c r="H90" s="36"/>
    </row>
    <row r="91" spans="1:8" ht="14.5" x14ac:dyDescent="0.35">
      <c r="A91" s="36"/>
      <c r="B91" s="36"/>
      <c r="C91" s="36"/>
      <c r="D91" s="36"/>
      <c r="E91" s="36"/>
      <c r="F91" s="36"/>
      <c r="G91" s="36"/>
      <c r="H91" s="36"/>
    </row>
    <row r="92" spans="1:8" ht="14.5" x14ac:dyDescent="0.35">
      <c r="A92" s="36"/>
      <c r="B92" s="36"/>
      <c r="C92" s="36"/>
      <c r="D92" s="36"/>
      <c r="E92" s="36"/>
      <c r="F92" s="36"/>
      <c r="G92" s="36"/>
      <c r="H92" s="36"/>
    </row>
    <row r="93" spans="1:8" ht="14.5" x14ac:dyDescent="0.35">
      <c r="A93" s="36" t="s">
        <v>31</v>
      </c>
      <c r="B93" s="36"/>
      <c r="C93" s="36"/>
      <c r="D93" s="36"/>
      <c r="E93" s="36"/>
      <c r="F93" s="36"/>
      <c r="G93" s="36"/>
      <c r="H93" s="36"/>
    </row>
    <row r="94" spans="1:8" ht="14.5" x14ac:dyDescent="0.35">
      <c r="A94" s="36"/>
      <c r="B94" s="36"/>
      <c r="C94" s="36"/>
      <c r="D94" s="36"/>
      <c r="E94" s="36"/>
      <c r="F94" s="36"/>
      <c r="G94" s="36"/>
      <c r="H94" s="36"/>
    </row>
    <row r="95" spans="1:8" ht="14.5" x14ac:dyDescent="0.35">
      <c r="A95" s="36" t="s">
        <v>32</v>
      </c>
      <c r="B95" s="36"/>
      <c r="C95" s="36"/>
      <c r="D95" s="36"/>
      <c r="E95" s="36"/>
      <c r="F95" s="36"/>
      <c r="G95" s="36"/>
      <c r="H95" s="38">
        <f>IFERROR((H$84* F51 )+(H$85* H51)+(H$86* G51),"")</f>
        <v>18.064516129032256</v>
      </c>
    </row>
    <row r="96" spans="1:8" ht="14.5" x14ac:dyDescent="0.35">
      <c r="A96" s="36" t="s">
        <v>33</v>
      </c>
      <c r="B96" s="36"/>
      <c r="C96" s="36"/>
      <c r="D96" s="36"/>
      <c r="E96" s="36"/>
      <c r="F96" s="36"/>
      <c r="G96" s="36"/>
      <c r="H96" s="38">
        <f>IFERROR((H$84* F52 )+(H$85* H52)+(H$86* G52),"")</f>
        <v>31.401209677419356</v>
      </c>
    </row>
    <row r="97" spans="1:8" ht="14.5" x14ac:dyDescent="0.35">
      <c r="A97" s="36" t="s">
        <v>34</v>
      </c>
      <c r="B97" s="36"/>
      <c r="C97" s="36"/>
      <c r="D97" s="36"/>
      <c r="E97" s="36"/>
      <c r="F97" s="36"/>
      <c r="G97" s="36"/>
      <c r="H97" s="38">
        <f>IFERROR((H$84* F53 )+(H$85* H53)+(H$86* G53),"")</f>
        <v>-0.17866935483870969</v>
      </c>
    </row>
    <row r="98" spans="1:8" ht="14.5" x14ac:dyDescent="0.35">
      <c r="A98" s="36" t="s">
        <v>35</v>
      </c>
      <c r="B98" s="36"/>
      <c r="C98" s="36"/>
      <c r="D98" s="36"/>
      <c r="E98" s="36"/>
      <c r="F98" s="36"/>
      <c r="G98" s="36"/>
      <c r="H98" s="38">
        <f>IFERROR((H$84* F54 )+(H$85* H54)+(H$86* G54),"")</f>
        <v>1.4451612903225808</v>
      </c>
    </row>
    <row r="99" spans="1:8" ht="14.5" x14ac:dyDescent="0.35">
      <c r="A99" s="36" t="s">
        <v>36</v>
      </c>
      <c r="B99" s="36"/>
      <c r="C99" s="36"/>
      <c r="D99" s="36"/>
      <c r="E99" s="36"/>
      <c r="F99" s="36"/>
      <c r="G99" s="36"/>
      <c r="H99" s="38">
        <f>IFERROR((H$84* F55 )+(H$85* H55)+(H$86* G55),"")</f>
        <v>0.5532258064516129</v>
      </c>
    </row>
    <row r="100" spans="1:8" ht="14.5" x14ac:dyDescent="0.35">
      <c r="A100" s="36" t="s">
        <v>37</v>
      </c>
      <c r="B100" s="36"/>
      <c r="C100" s="36"/>
      <c r="D100" s="36"/>
      <c r="E100" s="36"/>
      <c r="F100" s="36"/>
      <c r="G100" s="36"/>
      <c r="H100" s="38">
        <f>IFERROR((H$84* F56 )+(H$85* H56)+(H$86* G56),"")</f>
        <v>2.3612903225806452</v>
      </c>
    </row>
    <row r="101" spans="1:8" ht="14.5" x14ac:dyDescent="0.35">
      <c r="A101" s="36" t="s">
        <v>38</v>
      </c>
      <c r="B101" s="36"/>
      <c r="C101" s="36"/>
      <c r="D101" s="36"/>
      <c r="E101" s="36"/>
      <c r="F101" s="36"/>
      <c r="G101" s="36"/>
      <c r="H101" s="38">
        <f>IFERROR((H$84* F57 )+(H$85* H57)+(H$86* G57),"")</f>
        <v>1.4112903225806452</v>
      </c>
    </row>
    <row r="102" spans="1:8" ht="14.5" x14ac:dyDescent="0.35">
      <c r="A102" s="36" t="s">
        <v>39</v>
      </c>
      <c r="B102" s="36"/>
      <c r="C102" s="36"/>
      <c r="D102" s="36"/>
      <c r="E102" s="36"/>
      <c r="F102" s="36"/>
      <c r="G102" s="36"/>
      <c r="H102" s="38">
        <f>IFERROR((H$84* F58 )+(H$85* H58)+(H$86* G58),"")</f>
        <v>0</v>
      </c>
    </row>
    <row r="103" spans="1:8" ht="14.5" x14ac:dyDescent="0.35">
      <c r="A103" s="39" t="s">
        <v>40</v>
      </c>
      <c r="B103" s="36"/>
      <c r="C103" s="36"/>
      <c r="D103" s="36"/>
      <c r="E103" s="36"/>
      <c r="F103" s="36"/>
      <c r="G103" s="36"/>
      <c r="H103" s="38">
        <f>IFERROR((H$84* F59 )+(H$85* H59)+(H$86* G59),"")</f>
        <v>0.88954032258064508</v>
      </c>
    </row>
    <row r="104" spans="1:8" ht="14.5" x14ac:dyDescent="0.35">
      <c r="A104" s="39" t="s">
        <v>41</v>
      </c>
      <c r="B104" s="36"/>
      <c r="C104" s="36"/>
      <c r="D104" s="36"/>
      <c r="E104" s="36"/>
      <c r="F104" s="36"/>
      <c r="G104" s="36"/>
      <c r="H104" s="38">
        <f>IFERROR((H$84* F60 )+(H$85* H60)+(H$86* G60),"")</f>
        <v>8.2258064516129038E-3</v>
      </c>
    </row>
    <row r="105" spans="1:8" ht="14.5" x14ac:dyDescent="0.35">
      <c r="A105" s="39" t="s">
        <v>42</v>
      </c>
      <c r="B105" s="36"/>
      <c r="C105" s="36"/>
      <c r="D105" s="36"/>
      <c r="E105" s="36"/>
      <c r="F105" s="36"/>
      <c r="G105" s="36"/>
      <c r="H105" s="38">
        <f>IFERROR((H$84* F61 )+(H$85* H61)+(H$86* G61),"")</f>
        <v>2.8225806451612906E-4</v>
      </c>
    </row>
    <row r="106" spans="1:8" ht="14.5" x14ac:dyDescent="0.35">
      <c r="A106" s="36" t="s">
        <v>43</v>
      </c>
      <c r="B106" s="36"/>
      <c r="C106" s="36"/>
      <c r="D106" s="36"/>
      <c r="E106" s="36"/>
      <c r="F106" s="36"/>
      <c r="G106" s="36"/>
      <c r="H106" s="38">
        <f>IFERROR((H$84* F62 )+(H$85* H62)+(H$86* G62),"")</f>
        <v>0</v>
      </c>
    </row>
    <row r="107" spans="1:8" ht="14.5" x14ac:dyDescent="0.35">
      <c r="A107" s="36" t="s">
        <v>44</v>
      </c>
      <c r="B107" s="36"/>
      <c r="C107" s="36"/>
      <c r="D107" s="36"/>
      <c r="E107" s="36"/>
      <c r="F107" s="36"/>
      <c r="G107" s="36"/>
      <c r="H107" s="38">
        <f>IFERROR((H$84* F63 )+(H$85* H63)+(H$86* G63),"")</f>
        <v>0</v>
      </c>
    </row>
    <row r="108" spans="1:8" ht="14.5" x14ac:dyDescent="0.35">
      <c r="A108" s="36" t="s">
        <v>45</v>
      </c>
      <c r="B108" s="36"/>
      <c r="C108" s="36"/>
      <c r="D108" s="36"/>
      <c r="E108" s="36"/>
      <c r="F108" s="36"/>
      <c r="G108" s="36"/>
      <c r="H108" s="38">
        <f>IFERROR((H$84* F64 )+(H$85* H64)+(H$86* G64),"")</f>
        <v>0.31048387096774194</v>
      </c>
    </row>
    <row r="109" spans="1:8" ht="14.5" x14ac:dyDescent="0.35">
      <c r="A109" s="36" t="s">
        <v>27</v>
      </c>
      <c r="B109" s="36"/>
      <c r="C109" s="36"/>
      <c r="D109" s="36"/>
      <c r="E109" s="36"/>
      <c r="F109" s="36"/>
      <c r="G109" s="36"/>
      <c r="H109" s="38">
        <f>IFERROR((H$84* F65 )+(H$85* H65)+(H$86* G65),"")</f>
        <v>0</v>
      </c>
    </row>
    <row r="110" spans="1:8" ht="14.5" x14ac:dyDescent="0.35">
      <c r="A110" s="36" t="s">
        <v>46</v>
      </c>
      <c r="B110" s="36"/>
      <c r="C110" s="36"/>
      <c r="D110" s="36"/>
      <c r="E110" s="36"/>
      <c r="F110" s="36"/>
      <c r="G110" s="36"/>
      <c r="H110" s="38">
        <f>IFERROR((H$84* F66 )+(H$85* H66)+(H$86* G66),"")</f>
        <v>1.6129032258064516E-3</v>
      </c>
    </row>
    <row r="111" spans="1:8" ht="14.5" x14ac:dyDescent="0.35">
      <c r="A111" s="36" t="s">
        <v>47</v>
      </c>
      <c r="B111" s="36"/>
      <c r="C111" s="36"/>
      <c r="D111" s="36"/>
      <c r="E111" s="36"/>
      <c r="F111" s="36"/>
      <c r="G111" s="36"/>
      <c r="H111" s="38">
        <f>IFERROR((H$84* F67 )+(H$85* H67)+(H$86* G67),"")</f>
        <v>2.8418238932661293</v>
      </c>
    </row>
    <row r="112" spans="1:8" ht="14.5" x14ac:dyDescent="0.35">
      <c r="A112" s="36" t="s">
        <v>48</v>
      </c>
      <c r="B112" s="36"/>
      <c r="C112" s="36"/>
      <c r="D112" s="36"/>
      <c r="E112" s="36"/>
      <c r="F112" s="36"/>
      <c r="G112" s="36"/>
      <c r="H112" s="38">
        <f>IFERROR((H$84* F68 )+(H$85* H68)+(H$86* G68),"")</f>
        <v>59.109993248104843</v>
      </c>
    </row>
    <row r="113" spans="1:8" ht="14.5" x14ac:dyDescent="0.35">
      <c r="A113" s="36"/>
      <c r="B113" s="36"/>
      <c r="C113" s="36"/>
      <c r="D113" s="36"/>
      <c r="E113" s="36"/>
      <c r="F113" s="36"/>
      <c r="G113" s="36"/>
      <c r="H113" s="38">
        <f>IFERROR((H$84* F69 )+(H$85* H69)+(H$86* G69),"")</f>
        <v>0</v>
      </c>
    </row>
    <row r="114" spans="1:8" ht="14.5" x14ac:dyDescent="0.35">
      <c r="A114" s="36" t="s">
        <v>49</v>
      </c>
      <c r="B114" s="36"/>
      <c r="C114" s="36"/>
      <c r="D114" s="36"/>
      <c r="E114" s="36"/>
      <c r="F114" s="36"/>
      <c r="G114" s="36"/>
      <c r="H114" s="38">
        <f>IFERROR((H$84* F70 )+(H$85* H70)+(H$86* G70),"")</f>
        <v>21.211879032258064</v>
      </c>
    </row>
    <row r="115" spans="1:8" ht="14.5" x14ac:dyDescent="0.35">
      <c r="A115" s="36" t="s">
        <v>50</v>
      </c>
      <c r="B115" s="36"/>
      <c r="C115" s="36"/>
      <c r="D115" s="36"/>
      <c r="E115" s="36"/>
      <c r="F115" s="36"/>
      <c r="G115" s="36"/>
      <c r="H115" s="38">
        <f>IFERROR((H$84* F71 )+(H$85* H71)+(H$86* G71),"")</f>
        <v>1.0859112903225807</v>
      </c>
    </row>
    <row r="116" spans="1:8" ht="14.5" x14ac:dyDescent="0.35">
      <c r="A116" s="39" t="s">
        <v>51</v>
      </c>
      <c r="B116" s="36"/>
      <c r="C116" s="36"/>
      <c r="D116" s="36"/>
      <c r="E116" s="36"/>
      <c r="F116" s="36"/>
      <c r="G116" s="36"/>
      <c r="H116" s="38">
        <f>IFERROR((H$84* F72 )+(H$85* H72)+(H$86* G72),"")</f>
        <v>-0.28212096774193546</v>
      </c>
    </row>
    <row r="117" spans="1:8" ht="14.5" x14ac:dyDescent="0.35">
      <c r="A117" s="39" t="s">
        <v>52</v>
      </c>
      <c r="B117" s="36"/>
      <c r="C117" s="36"/>
      <c r="D117" s="36"/>
      <c r="E117" s="36"/>
      <c r="F117" s="36"/>
      <c r="G117" s="36"/>
      <c r="H117" s="38">
        <f>IFERROR((H$84* F73 )+(H$85* H73)+(H$86* G73),"")</f>
        <v>3.3319838709677421</v>
      </c>
    </row>
    <row r="118" spans="1:8" ht="14.5" x14ac:dyDescent="0.35">
      <c r="A118" s="36" t="s">
        <v>53</v>
      </c>
      <c r="B118" s="36"/>
      <c r="C118" s="36"/>
      <c r="D118" s="36"/>
      <c r="E118" s="36"/>
      <c r="F118" s="36"/>
      <c r="G118" s="36"/>
      <c r="H118" s="38">
        <f>IFERROR((H$84* F74 )+(H$85* H74)+(H$86* G74),"")</f>
        <v>1.3060080645161289</v>
      </c>
    </row>
    <row r="119" spans="1:8" ht="14.5" x14ac:dyDescent="0.35">
      <c r="A119" s="36" t="s">
        <v>54</v>
      </c>
      <c r="B119" s="36"/>
      <c r="C119" s="36"/>
      <c r="D119" s="36"/>
      <c r="E119" s="36"/>
      <c r="F119" s="36"/>
      <c r="G119" s="36"/>
      <c r="H119" s="38">
        <f>IFERROR((H$84* F75 )+(H$85* H75)+(H$86* G75),"")</f>
        <v>0</v>
      </c>
    </row>
    <row r="120" spans="1:8" ht="14.5" x14ac:dyDescent="0.35">
      <c r="A120" s="36" t="s">
        <v>47</v>
      </c>
      <c r="B120" s="36"/>
      <c r="C120" s="36"/>
      <c r="D120" s="36"/>
      <c r="E120" s="36"/>
      <c r="F120" s="36"/>
      <c r="G120" s="36"/>
      <c r="H120" s="38">
        <f>IFERROR((H$84* F76 )+(H$85* H76)+(H$86* G76),"")</f>
        <v>0.64144701261290316</v>
      </c>
    </row>
    <row r="121" spans="1:8" ht="14.5" x14ac:dyDescent="0.35">
      <c r="A121" s="36" t="s">
        <v>55</v>
      </c>
      <c r="B121" s="36"/>
      <c r="C121" s="36"/>
      <c r="D121" s="36"/>
      <c r="E121" s="36"/>
      <c r="F121" s="36"/>
      <c r="G121" s="36"/>
      <c r="H121" s="38">
        <f>IFERROR((H$84* F77 )+(H$85* H77)+(H$86* G77),"")</f>
        <v>27.295108302935482</v>
      </c>
    </row>
    <row r="122" spans="1:8" ht="14.5" x14ac:dyDescent="0.35">
      <c r="A122" s="36"/>
      <c r="B122" s="36"/>
      <c r="C122" s="36"/>
      <c r="D122" s="36"/>
      <c r="E122" s="36"/>
      <c r="F122" s="36"/>
      <c r="G122" s="36"/>
      <c r="H122" s="38">
        <f>IFERROR((H$84* F78 )+(H$85* H78)+(H$86* G78),"")</f>
        <v>0</v>
      </c>
    </row>
    <row r="123" spans="1:8" ht="14.5" x14ac:dyDescent="0.35">
      <c r="A123" s="36" t="s">
        <v>56</v>
      </c>
      <c r="B123" s="36"/>
      <c r="C123" s="36"/>
      <c r="D123" s="36"/>
      <c r="E123" s="36"/>
      <c r="F123" s="36"/>
      <c r="G123" s="36"/>
      <c r="H123" s="38">
        <f>IFERROR((H$84* F79 )+(H$85* H79)+(H$86* G79),"")</f>
        <v>86.405101551040318</v>
      </c>
    </row>
  </sheetData>
  <hyperlinks>
    <hyperlink ref="I9" r:id="rId1" location="page=517" display="https://www.coned.com/_external/cerates/documents/elecPSC10/electric-tariff.pdf - page=517" xr:uid="{310F33A0-FD09-4299-A3C8-2681B3441E66}"/>
    <hyperlink ref="I11" r:id="rId2" location="page=517" display="https://www.coned.com/_external/cerates/documents/elecPSC10/electric-tariff.pdf - page=517" xr:uid="{2FCFA5D0-2B1B-4DA9-9DBA-D086F75FE89F}"/>
    <hyperlink ref="I13" r:id="rId3" location="page=517" display="https://www.coned.com/_external/cerates/documents/elecPSC10/electric-tariff.pdf - page=517" xr:uid="{81A13BA9-CA42-413F-931D-2FF2031BB3FF}"/>
    <hyperlink ref="I14" r:id="rId4" display="https://www.coned.com/_external/cerates/documents/elecPSC10/StatSDR-10.pdf" xr:uid="{3107A48C-4FC4-4133-AE03-81DC5C1D718B}"/>
    <hyperlink ref="I15" r:id="rId5" location="page=153" display="https://www.coned.com/_external/cerates/documents/elecPSC10/electric-tariff.pdf - page=153" xr:uid="{CC8ADBA8-812B-4C8B-A877-7C3EAD9A035F}"/>
    <hyperlink ref="I16" r:id="rId6" display="https://www.coned.com/_external/cerates/documents/elecPSC10/StatRDM-26.pdf" xr:uid="{211319A3-69B6-45E3-95B1-9373CBA2A985}"/>
    <hyperlink ref="I17" r:id="rId7" display="https://www.coned.com/_external/cerates/documents/elecPSC10/StatMAC-108.pdf" xr:uid="{CF5EB278-1B55-4C19-BE7A-ECA89F59D258}"/>
    <hyperlink ref="I18" r:id="rId8" display="https://www.coned.com/_external/cerates/documents/elecPSC10/MACAdjCurrentPSCNo10.pdf" xr:uid="{F37F3984-C568-45BF-8D52-89386927F7C0}"/>
    <hyperlink ref="I19" r:id="rId9" display="https://www.coned.com/_external/cerates/documents/elecPSC10/MACAdjCurrentPSCNo10.pdf" xr:uid="{CA05CF28-8C07-42E3-8D5A-BEA93002E570}"/>
    <hyperlink ref="I20" r:id="rId10" display="https://www.coned.com/_external/cerates/documents/elecPSC10/StatSBC-11.pdf" xr:uid="{2F7A8912-16DD-480A-ABCC-F1A32EE895E2}"/>
    <hyperlink ref="I22" r:id="rId11" display="https://www.coned.com/_external/cerates/documents/elecPSC10/StatVDER-CR-4.pdf" xr:uid="{B8E9CE57-05BA-44C8-B436-CF409B24C2D4}"/>
    <hyperlink ref="I24" r:id="rId12" display="https://apps.coned.com/CEMyAccount/csol/MSCcc.aspx" xr:uid="{BFD25F1C-C306-4E66-B9F5-15F775CFABFB}"/>
    <hyperlink ref="I25" r:id="rId13" display="https://www.coned.com/_external/cerates/documents/elecPSC10/StatMFC-110.pdf" xr:uid="{B4B6599D-EC5D-4E03-B36D-2088C1CF7B9E}"/>
    <hyperlink ref="I26" r:id="rId14" display="https://www.coned.com/_external/cerates/documents/elecPSC10/StatGRT-20.pdf" xr:uid="{C49618BF-A69C-4E28-8016-01B80F8DCC43}"/>
    <hyperlink ref="I27" r:id="rId15" display="https://www.coned.com/_external/cerates/documents/elecPSC10/StatGRT-20.pdf" xr:uid="{B6FAAF6E-6027-4200-892E-BFB9C5EB87BC}"/>
    <hyperlink ref="I28" r:id="rId16" display="https://www.coned.com/_external/cerates/documents/elecPSC10/MACAdjCurrentPSCNo10.pdf" xr:uid="{44A0A86C-DC62-41AB-8766-3CF0BBE3553D}"/>
    <hyperlink ref="I29" r:id="rId17" display="https://www.coned.com/_external/cerates/documents/elecPSC10/MSCAdjCurrentPSCNo10.pdf" xr:uid="{ADC2303A-2FFD-4558-B78F-8FFAB6BDC97A}"/>
    <hyperlink ref="I30" r:id="rId18" location="page=2" display="https://www.coned.com/_external/cerates/documents/elecPSC10/MSCAdjCurrentPSCNo10.pdf - page=2" xr:uid="{A0F0289D-4FB7-4A6A-B8C9-E26D4457D1A9}"/>
    <hyperlink ref="I32" r:id="rId19" display="https://www.coned.com/_external/cerates/documents/elecPSC10/StatCESD-1.pdf" xr:uid="{3FE7F255-B0A6-4D15-A56B-9BD57524AD03}"/>
    <hyperlink ref="I33" r:id="rId20" display="https://www.coned.com/_external/cerates/documents/elecPSC10/StatCESS-5.pdf" xr:uid="{A1B65667-76BC-4001-8EF2-778DF862CC72}"/>
    <hyperlink ref="I34" r:id="rId21" display="https://www.coned.com/_external/cerates/documents/elecPSC10/StatDLM-4.pdf" xr:uid="{30B593AA-9131-477C-B84B-3783287CB472}"/>
    <hyperlink ref="I36" r:id="rId22" display="https://www.coned.com/_external/cerates/documents/elecPSC10/StatVDER-CR-4.pdf" xr:uid="{A90904DF-498D-4538-8373-0D4FE8D8DBF5}"/>
    <hyperlink ref="J9" r:id="rId23" location="page=517" display="https://www.coned.com/_external/cerates/documents/elecPSC10/electric-tariff.pdf - page=517" xr:uid="{B8C1A82F-D2A7-4D82-B558-A01A8C455907}"/>
    <hyperlink ref="J11" r:id="rId24" location="page=517" display="https://www.coned.com/_external/cerates/documents/elecPSC10/electric-tariff.pdf - page=517" xr:uid="{E559113C-3E16-4183-8B61-EBD9752B28A1}"/>
    <hyperlink ref="J13" r:id="rId25" location="page=517" display="https://www.coned.com/_external/cerates/documents/elecPSC10/electric-tariff.pdf - page=517" xr:uid="{A8261816-EC73-42F2-8752-B8870DBCD77C}"/>
    <hyperlink ref="J14" r:id="rId26" display="https://www.coned.com/_external/cerates/documents/elecPSC10/StatSDR-10.pdf" xr:uid="{09DF2A41-9B4C-44DB-90E3-60FBF9541C92}"/>
    <hyperlink ref="J15" r:id="rId27" location="page=153" display="https://www.coned.com/_external/cerates/documents/elecPSC10/electric-tariff.pdf - page=153" xr:uid="{590F516C-E015-40C2-B909-A1A398D70B94}"/>
    <hyperlink ref="J16" r:id="rId28" display="https://www.coned.com/_external/cerates/documents/elecPSC10/StatRDM-27.pdf" xr:uid="{4B90CD1E-D901-4849-A132-F4167C4F5DAB}"/>
    <hyperlink ref="J17" r:id="rId29" display="https://www.coned.com/_external/cerates/documents/elecPSC10/StatMAC-109.pdf" xr:uid="{E0A919B7-C9FE-4383-ACE0-7E061B1FD4F0}"/>
    <hyperlink ref="J18" r:id="rId30" display="https://www.coned.com/_external/cerates/documents/elecPSC10/MACAdjCurrentPSCNo10.pdf" xr:uid="{CB1BAABD-8F37-4072-B502-E5C78FCEA5F6}"/>
    <hyperlink ref="J19" r:id="rId31" display="https://www.coned.com/_external/cerates/documents/elecPSC10/MACAdjCurrentPSCNo10.pdf" xr:uid="{EB4C0871-9CDD-4D49-8B5F-CDDA36744D33}"/>
    <hyperlink ref="J20" r:id="rId32" display="https://www.coned.com/_external/cerates/documents/elecPSC10/StatSBC-11.pdf" xr:uid="{87CF54F4-EBA2-4B38-9591-2635CE877C00}"/>
    <hyperlink ref="J22" r:id="rId33" display="https://www.coned.com/_external/cerates/documents/elecPSC10/StatVDER-CR-4.pdf" xr:uid="{80554A91-6D4F-4658-92E4-B2C0BD7F8D4F}"/>
    <hyperlink ref="J25" r:id="rId34" display="https://www.coned.com/_external/cerates/documents/elecPSC10/StatMFC-111.pdf" xr:uid="{084E94FB-9E54-45C7-82CF-38B737A702B0}"/>
    <hyperlink ref="J26" r:id="rId35" display="https://www.coned.com/_external/cerates/documents/elecPSC10/StatGRT-20.pdf" xr:uid="{AFC8ECA6-96DC-46A2-8191-956EA038268A}"/>
    <hyperlink ref="J27" r:id="rId36" display="https://www.coned.com/_external/cerates/documents/elecPSC10/StatGRT-20.pdf" xr:uid="{FA1281E4-6CA5-4A1B-82C5-18CCAC495BD4}"/>
    <hyperlink ref="J28" r:id="rId37" display="https://www.coned.com/_external/cerates/documents/elecPSC10/MACAdjCurrentPSCNo10.pdf" xr:uid="{ABE1C597-2E58-47D3-ADCE-E750CD8989B4}"/>
    <hyperlink ref="J29" r:id="rId38" display="https://www.coned.com/_external/cerates/documents/elecPSC10/MSCAdjCurrentPSCNo10.pdf" xr:uid="{596A5BF0-EB54-4CE6-AE42-378E82D6BC62}"/>
    <hyperlink ref="J30" r:id="rId39" location="page=2" display="https://www.coned.com/_external/cerates/documents/elecPSC10/MSCAdjCurrentPSCNo10.pdf - page=2" xr:uid="{E9AB929C-DF74-42DA-957B-579E8B2B41A9}"/>
    <hyperlink ref="J32" r:id="rId40" display="https://www.coned.com/_external/cerates/documents/elecPSC10/StatCESD-1.pdf" xr:uid="{338D9E7A-DBFB-4A36-BE55-F573F16AB0F2}"/>
    <hyperlink ref="J33" r:id="rId41" display="https://www.coned.com/_external/cerates/documents/elecPSC10/StatCESS-5.pdf" xr:uid="{5C9F1BF5-2044-4EA0-9928-E686E3B90757}"/>
    <hyperlink ref="J34" r:id="rId42" display="https://www.coned.com/_external/cerates/documents/elecPSC10/StatDLM-4.pdf" xr:uid="{E6B8FE59-7BF8-4113-AE80-E24684909E73}"/>
    <hyperlink ref="J36" r:id="rId43" display="https://www.coned.com/_external/cerates/documents/elecPSC10/StatVDER-CR-4.pdf" xr:uid="{15A1603F-7D5A-4E08-9C4F-ECF6A1C74A50}"/>
    <hyperlink ref="K11" r:id="rId44" location="page=517" display="https://www.coned.com/_external/cerates/documents/elecPSC10/electric-tariff.pdf - page=517" xr:uid="{687A0B18-5D14-46DA-ACEE-8C69E1F57322}"/>
    <hyperlink ref="K13" r:id="rId45" location="page=517" display="https://www.coned.com/_external/cerates/documents/elecPSC10/electric-tariff.pdf - page=517" xr:uid="{336CC73A-D9DF-4332-BFEF-DD2FEDCBA1C1}"/>
    <hyperlink ref="K14" r:id="rId46" display="https://www.coned.com/_external/cerates/documents/elecPSC10/StatSDR-10.pdf" xr:uid="{85F38812-7AA9-4849-87E5-94C2D77DD54D}"/>
    <hyperlink ref="K15" r:id="rId47" location="page=153" display="https://www.coned.com/_external/cerates/documents/elecPSC10/electric-tariff.pdf - page=153" xr:uid="{91473FAE-9417-4257-9C7F-E42902BCCE4E}"/>
    <hyperlink ref="K16" r:id="rId48" display="https://www.coned.com/_external/cerates/documents/elecPSC10/StatRDM-27.pdf" xr:uid="{7477AFCF-566C-4A82-B0D4-1BEF75A79E76}"/>
    <hyperlink ref="K17" r:id="rId49" display="https://www.coned.com/_external/cerates/documents/elecPSC10/StatMAC-109.pdf" xr:uid="{8E141F54-BE22-4E5A-8EF0-87521D44E2B6}"/>
    <hyperlink ref="K18" r:id="rId50" display="https://www.coned.com/_external/cerates/documents/elecPSC10/MACAdjCurrentPSCNo10.pdf" xr:uid="{028E89F1-6606-4AC1-8738-31F0684F9A0D}"/>
    <hyperlink ref="K19" r:id="rId51" display="https://www.coned.com/_external/cerates/documents/elecPSC10/MACAdjCurrentPSCNo10.pdf" xr:uid="{6C76DB6A-5755-4856-9CB0-660D796FD1F5}"/>
    <hyperlink ref="K20" r:id="rId52" display="https://www.coned.com/_external/cerates/documents/elecPSC10/StatSBC-11.pdf" xr:uid="{8E13E78D-9AF5-4E70-90E3-22D642FA34AA}"/>
    <hyperlink ref="K22" r:id="rId53" display="https://www.coned.com/_external/cerates/documents/elecPSC10/StatVDER-CR-4.pdf" xr:uid="{36460BE9-DDF4-459C-9517-85B36C2D6C0B}"/>
    <hyperlink ref="K25" r:id="rId54" display="https://www.coned.com/_external/cerates/documents/elecPSC10/StatMFC-111.pdf" xr:uid="{0B2EED0C-4FC2-4104-8C96-684909FADB56}"/>
    <hyperlink ref="K26" r:id="rId55" display="https://www.coned.com/_external/cerates/documents/elecPSC10/StatGRT-20.pdf" xr:uid="{DA1F4E92-8168-4B9A-93C0-E460BB1F40E0}"/>
    <hyperlink ref="K27" r:id="rId56" display="https://www.coned.com/_external/cerates/documents/elecPSC10/StatGRT-20.pdf" xr:uid="{D041B29B-88AE-4525-B6A8-AA1AC97ACBD6}"/>
    <hyperlink ref="K28" r:id="rId57" display="https://www.coned.com/_external/cerates/documents/elecPSC10/MACAdjCurrentPSCNo10.pdf" xr:uid="{42A54D02-DF7C-4CFB-AB99-93AE70B89DA2}"/>
    <hyperlink ref="K29" r:id="rId58" display="https://www.coned.com/_external/cerates/documents/elecPSC10/MSCAdjCurrentPSCNo10.pdf" xr:uid="{52244475-81B8-4E49-BA32-9CD7D8D9D153}"/>
    <hyperlink ref="K30" r:id="rId59" location="page=2" display="https://www.coned.com/_external/cerates/documents/elecPSC10/MSCAdjCurrentPSCNo10.pdf - page=2" xr:uid="{0FC662F0-311C-4D07-8E39-A20D64DA5136}"/>
    <hyperlink ref="K32" r:id="rId60" display="https://www.coned.com/_external/cerates/documents/elecPSC10/StatCESD-1.pdf" xr:uid="{9ECF4D69-2349-4F54-93E7-0F143FE9ABDB}"/>
    <hyperlink ref="K33" r:id="rId61" display="https://www.coned.com/_external/cerates/documents/elecPSC10/StatCESS-5.pdf" xr:uid="{CEC7538F-5FE6-452C-8E62-CAD1C0ACCB65}"/>
    <hyperlink ref="K34" r:id="rId62" display="https://www.coned.com/_external/cerates/documents/elecPSC10/StatDLM-4.pdf" xr:uid="{398B507F-1376-4168-B32E-4CFA56AA16F7}"/>
    <hyperlink ref="K36" r:id="rId63" display="https://www.coned.com/_external/cerates/documents/elecPSC10/StatVDER-CR-4.pdf" xr:uid="{AD64F922-930D-43AE-AEB3-F0788D1E2CB0}"/>
    <hyperlink ref="K9" r:id="rId64" location="page=519" display="https://www.coned.com/_external/cerates/documents/elecPSC10/electric-tariff.pdf - page=519" xr:uid="{E801CB73-DB36-4B0E-B6BA-D63B2D228E76}"/>
    <hyperlink ref="L11" r:id="rId65" location="page=517" display="https://www.coned.com/_external/cerates/documents/elecPSC10/electric-tariff.pdf - page=517" xr:uid="{E84D5950-BA1E-404D-9B20-52D571615717}"/>
    <hyperlink ref="L13" r:id="rId66" location="page=517" display="https://www.coned.com/_external/cerates/documents/elecPSC10/electric-tariff.pdf - page=517" xr:uid="{62EFFBDA-0717-4B6A-81D6-77F0CFD039A2}"/>
    <hyperlink ref="L14" r:id="rId67" display="https://www.coned.com/_external/cerates/documents/elecPSC10/StatSDR-10.pdf" xr:uid="{147B303F-E666-4E25-B182-CDE39AAC1EC5}"/>
    <hyperlink ref="L15" r:id="rId68" location="page=153" display="https://www.coned.com/_external/cerates/documents/elecPSC10/electric-tariff.pdf - page=153" xr:uid="{0D16B9F1-14B0-4CA7-8066-4B36E6E8BF8C}"/>
    <hyperlink ref="L16" r:id="rId69" display="https://www.coned.com/_external/cerates/documents/elecPSC10/StatRDM-27.pdf" xr:uid="{3604EB84-0C23-4833-95AD-9F9DAED61A4B}"/>
    <hyperlink ref="L17" r:id="rId70" display="https://www.coned.com/_external/cerates/documents/elecPSC10/StatMAC-109.pdf" xr:uid="{76A94A6A-51A6-4E7E-AAB6-803E222610E8}"/>
    <hyperlink ref="L18" r:id="rId71" display="https://www.coned.com/_external/cerates/documents/elecPSC10/MACAdjCurrentPSCNo10.pdf" xr:uid="{6764CEA4-D058-4AEC-9645-9993203EF3A2}"/>
    <hyperlink ref="L19" r:id="rId72" display="https://www.coned.com/_external/cerates/documents/elecPSC10/MACAdjCurrentPSCNo10.pdf" xr:uid="{7DDFB57D-7CD9-430F-8AD7-DAE2FA5FBE1D}"/>
    <hyperlink ref="L20" r:id="rId73" display="https://www.coned.com/_external/cerates/documents/elecPSC10/StatSBC-11.pdf" xr:uid="{1D3A584C-2F44-435F-A2E0-9DC9951FC38D}"/>
    <hyperlink ref="L22" r:id="rId74" display="https://www.coned.com/_external/cerates/documents/elecPSC10/StatVDER-CR-4.pdf" xr:uid="{B6CCAD3C-3BBB-42BF-8300-B4E7308BADF7}"/>
    <hyperlink ref="L25" r:id="rId75" display="https://www.coned.com/_external/cerates/documents/elecPSC10/StatMFC-111.pdf" xr:uid="{5C919454-C482-489E-93F6-51A69B13A135}"/>
    <hyperlink ref="L26" r:id="rId76" display="https://www.coned.com/_external/cerates/documents/elecPSC10/StatGRT-20.pdf" xr:uid="{11F04EC1-1938-4821-B8BB-8C666071E3AD}"/>
    <hyperlink ref="L27" r:id="rId77" display="https://www.coned.com/_external/cerates/documents/elecPSC10/StatGRT-21.pdf" xr:uid="{EA059166-DA8A-4B09-8622-80F5C0033468}"/>
    <hyperlink ref="L28" r:id="rId78" display="https://www.coned.com/_external/cerates/documents/elecPSC10/MACAdjCurrentPSCNo10.pdf" xr:uid="{DDF1ED3E-CACD-4F57-B3DD-6FEEBAEBDAC6}"/>
    <hyperlink ref="L29" r:id="rId79" display="https://www.coned.com/_external/cerates/documents/elecPSC10/MSCAdjCurrentPSCNo10.pdf" xr:uid="{D2B13617-9CAC-4BAC-AEA0-22426B3AD10D}"/>
    <hyperlink ref="L30" r:id="rId80" location="page=2" display="https://www.coned.com/_external/cerates/documents/elecPSC10/MSCAdjCurrentPSCNo10.pdf - page=2" xr:uid="{92133D5B-F7E9-4670-940D-0F379D7674CC}"/>
    <hyperlink ref="L32" r:id="rId81" display="https://www.coned.com/_external/cerates/documents/elecPSC10/StatCESD-1.pdf" xr:uid="{4B631BB8-B45F-47DB-B40C-A79DABD2FA3B}"/>
    <hyperlink ref="L33" r:id="rId82" display="https://www.coned.com/_external/cerates/documents/elecPSC10/StatCESS-5.pdf" xr:uid="{D1C0560C-A827-434E-BBF6-64240A9F1522}"/>
    <hyperlink ref="L34" r:id="rId83" display="https://www.coned.com/_external/cerates/documents/elecPSC10/StatDLM-4.pdf" xr:uid="{8EE936D2-C4EA-4242-BDF6-C595D73A08FA}"/>
    <hyperlink ref="L36" r:id="rId84" display="https://www.coned.com/_external/cerates/documents/elecPSC10/StatVDER-CR-4.pdf" xr:uid="{BA462A54-804C-4814-B6E3-6A4965F3C23C}"/>
    <hyperlink ref="L9" r:id="rId85" location="page=519" display="https://www.coned.com/_external/cerates/documents/elecPSC10/electric-tariff.pdf - page=519" xr:uid="{E6F72522-3486-4490-B9D7-E9F4D49297F1}"/>
    <hyperlink ref="M11" r:id="rId86" location="page=517" display="https://www.coned.com/_external/cerates/documents/elecPSC10/electric-tariff.pdf - page=517" xr:uid="{23341DC9-B475-48FB-BFF8-BA924B4A2E47}"/>
    <hyperlink ref="M13" r:id="rId87" location="page=517" display="https://www.coned.com/_external/cerates/documents/elecPSC10/electric-tariff.pdf - page=517" xr:uid="{16DC34C5-E3F9-41D5-84FF-3829B59FEE46}"/>
    <hyperlink ref="M14" r:id="rId88" display="https://www.coned.com/_external/cerates/documents/elecPSC10/StatSDR-10.pdf" xr:uid="{32CCD3C2-647F-40F9-8145-C69EE3A3B35A}"/>
    <hyperlink ref="M15" r:id="rId89" location="page=153" display="https://www.coned.com/_external/cerates/documents/elecPSC10/electric-tariff.pdf - page=153" xr:uid="{3CD5A5BF-3FA1-4B26-9795-4D90673B325C}"/>
    <hyperlink ref="M16" r:id="rId90" display="https://www.coned.com/_external/cerates/documents/elecPSC10/StatRDM-27.pdf" xr:uid="{A6872A1B-5F5C-4964-9F59-1FE45C128AB6}"/>
    <hyperlink ref="M17" r:id="rId91" display="https://www.coned.com/_external/cerates/documents/elecPSC10/StatMAC-109.pdf" xr:uid="{D17B0E42-14D6-4EB3-86FE-1BD3B7A4CA1D}"/>
    <hyperlink ref="M18" r:id="rId92" display="https://www.coned.com/_external/cerates/documents/elecPSC10/MACAdjCurrentPSCNo10.pdf" xr:uid="{2D83DBB7-89B0-4FC1-A4AB-78576EBC9716}"/>
    <hyperlink ref="M19" r:id="rId93" display="https://www.coned.com/_external/cerates/documents/elecPSC10/MACAdjCurrentPSCNo10.pdf" xr:uid="{4C233236-8E1E-4E41-BFB3-986E07590025}"/>
    <hyperlink ref="M20" r:id="rId94" display="https://www.coned.com/_external/cerates/documents/elecPSC10/StatSBC-11.pdf" xr:uid="{11C6D00B-0815-463B-A122-AF1942E4DE69}"/>
    <hyperlink ref="M22" r:id="rId95" display="https://www.coned.com/_external/cerates/documents/elecPSC10/StatVDER-CR-4.pdf" xr:uid="{F30C8410-7521-43D9-8864-B35788193DD5}"/>
    <hyperlink ref="M25" r:id="rId96" display="https://www.coned.com/_external/cerates/documents/elecPSC10/StatMFC-111.pdf" xr:uid="{4D13FB11-3562-4127-953A-443A943E41A2}"/>
    <hyperlink ref="M26" r:id="rId97" display="https://www.coned.com/_external/cerates/documents/elecPSC10/StatGRT-20.pdf" xr:uid="{682A348A-02D0-4BA3-87A2-8CDB420B6DFF}"/>
    <hyperlink ref="M27" r:id="rId98" display="https://www.coned.com/_external/cerates/documents/elecPSC10/StatGRT-21.pdf" xr:uid="{1D27C37D-D4CA-4EE5-9878-3CCD4D85DF38}"/>
    <hyperlink ref="M28" r:id="rId99" display="https://www.coned.com/_external/cerates/documents/elecPSC10/MACAdjCurrentPSCNo10.pdf" xr:uid="{127DD4AE-4AD3-403D-8FB2-05FD283D61E1}"/>
    <hyperlink ref="M29" r:id="rId100" display="https://www.coned.com/_external/cerates/documents/elecPSC10/MSCAdjCurrentPSCNo10.pdf" xr:uid="{0B3886D6-E7F7-4C3A-A342-A42E484CC289}"/>
    <hyperlink ref="M30" r:id="rId101" location="page=2" display="https://www.coned.com/_external/cerates/documents/elecPSC10/MSCAdjCurrentPSCNo10.pdf - page=2" xr:uid="{57930074-B428-4846-98B1-BF5B0BA12A72}"/>
    <hyperlink ref="M32" r:id="rId102" display="https://www.coned.com/_external/cerates/documents/elecPSC10/StatCESD-1.pdf" xr:uid="{23F6E189-7F2A-4364-8F61-69C0B516036A}"/>
    <hyperlink ref="M33" r:id="rId103" display="https://www.coned.com/_external/cerates/documents/elecPSC10/StatCESS-5.pdf" xr:uid="{ECD7EB34-C6C4-4755-8975-7443126B42FD}"/>
    <hyperlink ref="M34" r:id="rId104" display="https://www.coned.com/_external/cerates/documents/elecPSC10/StatDLM-4.pdf" xr:uid="{0495A076-23C8-4093-8FFD-BB0993F5D918}"/>
    <hyperlink ref="M36" r:id="rId105" display="https://www.coned.com/_external/cerates/documents/elecPSC10/StatVDER-CR-4.pdf" xr:uid="{41C5BBA8-6A30-43D2-A4CB-C282F2E7277A}"/>
    <hyperlink ref="M9" r:id="rId106" location="page=519" display="https://www.coned.com/_external/cerates/documents/elecPSC10/electric-tariff.pdf - page=519" xr:uid="{2C4F8203-C97F-4445-9422-8DA0D7C1C552}"/>
  </hyperlinks>
  <pageMargins left="0.5" right="0.5" top="0.5" bottom="0.5" header="0.3" footer="0.3"/>
  <pageSetup scale="66" fitToWidth="0" orientation="landscape" r:id="rId107"/>
  <headerFooter>
    <oddFooter>&amp;L&amp;Z&amp;F</oddFooter>
  </headerFooter>
  <drawing r:id="rId108"/>
  <legacyDrawing r:id="rId10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110" name="Button 2">
              <controlPr defaultSize="0" print="0" autoFill="0" autoPict="0" macro="[0]!Proration">
                <anchor moveWithCells="1">
                  <from>
                    <xdr:col>7</xdr:col>
                    <xdr:colOff>12700</xdr:colOff>
                    <xdr:row>2</xdr:row>
                    <xdr:rowOff>12700</xdr:rowOff>
                  </from>
                  <to>
                    <xdr:col>7</xdr:col>
                    <xdr:colOff>622300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11" name="Button 3">
              <controlPr defaultSize="0" print="0" autoFill="0" autoPict="0" macro="[0]!Refresh">
                <anchor moveWithCells="1" sizeWithCells="1">
                  <from>
                    <xdr:col>7</xdr:col>
                    <xdr:colOff>25400</xdr:colOff>
                    <xdr:row>3</xdr:row>
                    <xdr:rowOff>31750</xdr:rowOff>
                  </from>
                  <to>
                    <xdr:col>7</xdr:col>
                    <xdr:colOff>622300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SC1</vt:lpstr>
      <vt:lpstr>'SC1'!Print_Titles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Koropey, Boris</dc:creator>
  <cp:lastModifiedBy>Koropey, Boris</cp:lastModifiedBy>
  <dcterms:created xsi:type="dcterms:W3CDTF">2021-06-27T14:42:57Z</dcterms:created>
  <dcterms:modified xsi:type="dcterms:W3CDTF">2021-06-28T18:46:01Z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490586b-6766-439a-826f-fa6da183971c_Enabled">
    <vt:lpwstr>true</vt:lpwstr>
  </property>
  <property fmtid="{D5CDD505-2E9C-101B-9397-08002B2CF9AE}" pid="3" name="MSIP_Label_6490586b-6766-439a-826f-fa6da183971c_SetDate">
    <vt:lpwstr>2021-06-27T14:43:20Z</vt:lpwstr>
  </property>
  <property fmtid="{D5CDD505-2E9C-101B-9397-08002B2CF9AE}" pid="4" name="MSIP_Label_6490586b-6766-439a-826f-fa6da183971c_Method">
    <vt:lpwstr>Standard</vt:lpwstr>
  </property>
  <property fmtid="{D5CDD505-2E9C-101B-9397-08002B2CF9AE}" pid="5" name="MSIP_Label_6490586b-6766-439a-826f-fa6da183971c_Name">
    <vt:lpwstr>General</vt:lpwstr>
  </property>
  <property fmtid="{D5CDD505-2E9C-101B-9397-08002B2CF9AE}" pid="6" name="MSIP_Label_6490586b-6766-439a-826f-fa6da183971c_SiteId">
    <vt:lpwstr>e9aef9b7-25ca-4518-a881-33e546773136</vt:lpwstr>
  </property>
  <property fmtid="{D5CDD505-2E9C-101B-9397-08002B2CF9AE}" pid="7" name="MSIP_Label_6490586b-6766-439a-826f-fa6da183971c_ActionId">
    <vt:lpwstr>cd6b8ba6-dae7-4045-a85b-00000f89638d</vt:lpwstr>
  </property>
  <property fmtid="{D5CDD505-2E9C-101B-9397-08002B2CF9AE}" pid="8" name="MSIP_Label_6490586b-6766-439a-826f-fa6da183971c_ContentBits">
    <vt:lpwstr>0</vt:lpwstr>
  </property>
</Properties>
</file>