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externalLinks/externalLink1.xml" ContentType="application/vnd.openxmlformats-officedocument.spreadsheetml.externalLink+xml"/>
  <Override PartName="/xl/externalLinks/externalLink2.xml" ContentType="application/vnd.openxmlformats-officedocument.spreadsheetml.externalLink+xml"/>
  <Override PartName="/xl/externalLinks/externalLink3.xml" ContentType="application/vnd.openxmlformats-officedocument.spreadsheetml.externalLink+xml"/>
  <Override PartName="/xl/externalLinks/externalLink4.xml" ContentType="application/vnd.openxmlformats-officedocument.spreadsheetml.externalLink+xml"/>
  <Override PartName="/xl/externalLinks/externalLink5.xml" ContentType="application/vnd.openxmlformats-officedocument.spreadsheetml.externalLink+xml"/>
  <Override PartName="/xl/externalLinks/externalLink6.xml" ContentType="application/vnd.openxmlformats-officedocument.spreadsheetml.externalLink+xml"/>
  <Override PartName="/xl/externalLinks/externalLink7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omments1.xml" ContentType="application/vnd.openxmlformats-officedocument.spreadsheetml.comments+xml"/>
  <Override PartName="/xl/drawings/drawing2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3426" codeName="{4D1C537B-E38A-612A-F078-A93A15B4B7F4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KOROPEYB\Desktop\crackers\sandbox\"/>
    </mc:Choice>
  </mc:AlternateContent>
  <xr:revisionPtr revIDLastSave="0" documentId="13_ncr:1_{03402B4B-3434-4C42-AD97-1219095FAC20}" xr6:coauthVersionLast="45" xr6:coauthVersionMax="45" xr10:uidLastSave="{00000000-0000-0000-0000-000000000000}"/>
  <bookViews>
    <workbookView xWindow="-110" yWindow="-110" windowWidth="22780" windowHeight="14660" activeTab="2" xr2:uid="{432F3B63-B25B-4C4E-ADEA-D84D0BBBD4EA}"/>
  </bookViews>
  <sheets>
    <sheet name="Benefit-Cost" sheetId="1" r:id="rId1"/>
    <sheet name="returns_stdev_correl" sheetId="2" r:id="rId2"/>
    <sheet name="portVar_9AssetModel" sheetId="3" r:id="rId3"/>
  </sheets>
  <externalReferences>
    <externalReference r:id="rId4"/>
    <externalReference r:id="rId5"/>
    <externalReference r:id="rId6"/>
    <externalReference r:id="rId7"/>
    <externalReference r:id="rId8"/>
    <externalReference r:id="rId9"/>
    <externalReference r:id="rId10"/>
  </externalReferences>
  <definedNames>
    <definedName name="___thinkcellREMAAAAAAAAEAAAARM3YEr2Vska_PC_IFuLITA" hidden="1">'[1]LCOE Calculation (fixed)'!$P$93:$W$101</definedName>
    <definedName name="__123Graph_A" hidden="1">[2]Assum!$B$14:$B$22</definedName>
    <definedName name="__123Graph_B" hidden="1">[2]Assum!$C$14:$C$22</definedName>
    <definedName name="__123Graph_C" hidden="1">[2]Assum!$D$14:$D$22</definedName>
    <definedName name="__123Graph_D" hidden="1">[2]Assum!$E$14:$E$22</definedName>
    <definedName name="__123Graph_E" hidden="1">[2]Assum!$F$14:$F$20</definedName>
    <definedName name="__FDS_HYPERLINK_TOGGLE_STATE__" hidden="1">"ON"</definedName>
    <definedName name="_Fill" hidden="1">#REF!</definedName>
    <definedName name="_Order1" hidden="1">255</definedName>
    <definedName name="_Order2" hidden="1">255</definedName>
    <definedName name="_Table2_In1" hidden="1">#REF!</definedName>
    <definedName name="_Table2_In2" hidden="1">#REF!</definedName>
    <definedName name="_Table2_Out" hidden="1">#REF!</definedName>
    <definedName name="_Table3_In2" hidden="1">#REF!</definedName>
    <definedName name="a" hidden="1">[2]Assum!$D$14:$D$22</definedName>
    <definedName name="Active_Project_IRR">[3]Analysis!$C$22</definedName>
    <definedName name="Active_Project_NPV">[3]Analysis!$C$23</definedName>
    <definedName name="ActiveAssetType">[3]Control!$D$8</definedName>
    <definedName name="ActiveState">[3]Control!$D$10</definedName>
    <definedName name="ActiveTerritory">[3]Control!$D$9</definedName>
    <definedName name="AnalysisStartQuarter">[3]Control!$D$178</definedName>
    <definedName name="AnalysisStartQuarterOptions">[4]ValidationOptions!$B$3:$B$166</definedName>
    <definedName name="anscount" hidden="1">1</definedName>
    <definedName name="AssetType">[3]ValidationOptions!$B$340:$B$355</definedName>
    <definedName name="Basis_For_Pricing_Options">[3]ValidationOptions!$B$232:$B$233</definedName>
    <definedName name="BonusEligible">[3]DepreciationInputs!$B$3:$I$3</definedName>
    <definedName name="Comp" hidden="1">[5]capcost!#REF!</definedName>
    <definedName name="Company">[3]ValidationOptions!$C$186:$C$193</definedName>
    <definedName name="Cwvu.GREY_ALL." hidden="1">#REF!</definedName>
    <definedName name="d" hidden="1">[2]Assum!$F$14:$F$20</definedName>
    <definedName name="dd" hidden="1">#REF!</definedName>
    <definedName name="DEC_ProgramSizeMW">'[6]FL Pricing'!$D$9</definedName>
    <definedName name="DEFRateofReturnOptions">[3]ValidationOptions!$B$363:$B$364</definedName>
    <definedName name="DEP_ProgramSizeMW">#REF!</definedName>
    <definedName name="DiscountRate">[3]Control!$D$180</definedName>
    <definedName name="eighteenMWfourHR">returns_stdev_correl!$AA$8:$AA$87</definedName>
    <definedName name="eighteenMWtwoHR">returns_stdev_correl!$AY$8:$AY$87</definedName>
    <definedName name="f" hidden="1">#REF!</definedName>
    <definedName name="fd" hidden="1">{#N/A,#N/A,FALSE,"GIS"}</definedName>
    <definedName name="fourPtFiveMWfourHR">returns_stdev_correl!$I$8:$I$87</definedName>
    <definedName name="fourPtFiveMWtwoHR">returns_stdev_correl!$AG$8:$AG$87</definedName>
    <definedName name="Initial_Rate_Case_Test_Period_End_Options">[3]ValidationOptions!$B$240:$B$320</definedName>
    <definedName name="IQ_1_4_FAMILY_JUNIOR_LIENS_CHARGE_OFFS_FDIC" hidden="1">"c6605"</definedName>
    <definedName name="IQ_1_4_FAMILY_JUNIOR_LIENS_NET_CHARGE_OFFS_FDIC" hidden="1">"c6643"</definedName>
    <definedName name="IQ_1_4_FAMILY_JUNIOR_LIENS_RECOVERIES_FDIC" hidden="1">"c6624"</definedName>
    <definedName name="IQ_1_4_FAMILY_SENIOR_LIENS_CHARGE_OFFS_FDIC" hidden="1">"c6604"</definedName>
    <definedName name="IQ_1_4_FAMILY_SENIOR_LIENS_NET_CHARGE_OFFS_FDIC" hidden="1">"c6642"</definedName>
    <definedName name="IQ_1_4_FAMILY_SENIOR_LIENS_RECOVERIES_FDIC" hidden="1">"c6623"</definedName>
    <definedName name="IQ_1_4_HOME_EQUITY_NET_LOANS_FDIC" hidden="1">"c6441"</definedName>
    <definedName name="IQ_1_4_RESIDENTIAL_FIRST_LIENS_NET_LOANS_FDIC" hidden="1">"c6439"</definedName>
    <definedName name="IQ_1_4_RESIDENTIAL_JUNIOR_LIENS_NET_LOANS_FDIC" hidden="1">"c6440"</definedName>
    <definedName name="IQ_1_4_RESIDENTIAL_LOANS_FDIC" hidden="1">"c6310"</definedName>
    <definedName name="IQ_30YR_FIXED_MORTGAGE" hidden="1">"c6811"</definedName>
    <definedName name="IQ_30YR_FIXED_MORTGAGE_FC" hidden="1">"c7691"</definedName>
    <definedName name="IQ_30YR_FIXED_MORTGAGE_POP" hidden="1">"c7031"</definedName>
    <definedName name="IQ_30YR_FIXED_MORTGAGE_POP_FC" hidden="1">"c7911"</definedName>
    <definedName name="IQ_30YR_FIXED_MORTGAGE_YOY" hidden="1">"c7251"</definedName>
    <definedName name="IQ_30YR_FIXED_MORTGAGE_YOY_FC" hidden="1">"c8131"</definedName>
    <definedName name="IQ_ACCOUNT_CHANGE" hidden="1">"c1449"</definedName>
    <definedName name="IQ_ACCOUNTS_PAY" hidden="1">"c1343"</definedName>
    <definedName name="IQ_ACCR_INT_PAY" hidden="1">"c1"</definedName>
    <definedName name="IQ_ACCR_INT_PAY_CF" hidden="1">"c2"</definedName>
    <definedName name="IQ_ACCR_INT_RECEIV" hidden="1">"c3"</definedName>
    <definedName name="IQ_ACCR_INT_RECEIV_CF" hidden="1">"c4"</definedName>
    <definedName name="IQ_ACCRUED_EXP" hidden="1">"c1341"</definedName>
    <definedName name="IQ_ACCT_RECV_10YR_ANN_CAGR" hidden="1">"c6159"</definedName>
    <definedName name="IQ_ACCT_RECV_10YR_ANN_GROWTH" hidden="1">"c1924"</definedName>
    <definedName name="IQ_ACCT_RECV_1YR_ANN_GROWTH" hidden="1">"c1919"</definedName>
    <definedName name="IQ_ACCT_RECV_2YR_ANN_CAGR" hidden="1">"c6155"</definedName>
    <definedName name="IQ_ACCT_RECV_2YR_ANN_GROWTH" hidden="1">"c1920"</definedName>
    <definedName name="IQ_ACCT_RECV_3YR_ANN_CAGR" hidden="1">"c6156"</definedName>
    <definedName name="IQ_ACCT_RECV_3YR_ANN_GROWTH" hidden="1">"c1921"</definedName>
    <definedName name="IQ_ACCT_RECV_5YR_ANN_CAGR" hidden="1">"c6157"</definedName>
    <definedName name="IQ_ACCT_RECV_5YR_ANN_GROWTH" hidden="1">"c1922"</definedName>
    <definedName name="IQ_ACCT_RECV_7YR_ANN_CAGR" hidden="1">"c6158"</definedName>
    <definedName name="IQ_ACCT_RECV_7YR_ANN_GROWTH" hidden="1">"c1923"</definedName>
    <definedName name="IQ_ACCUM_DEP" hidden="1">"c1340"</definedName>
    <definedName name="IQ_ACCUMULATED_PENSION_OBLIGATION" hidden="1">"c2244"</definedName>
    <definedName name="IQ_ACCUMULATED_PENSION_OBLIGATION_DOMESTIC" hidden="1">"c2657"</definedName>
    <definedName name="IQ_ACCUMULATED_PENSION_OBLIGATION_FOREIGN" hidden="1">"c2665"</definedName>
    <definedName name="IQ_ACQ_COST_SUB" hidden="1">"c2125"</definedName>
    <definedName name="IQ_ACQ_COSTS_CAPITALIZED" hidden="1">"c5"</definedName>
    <definedName name="IQ_ACQUIRE_REAL_ESTATE_CF" hidden="1">"c6"</definedName>
    <definedName name="IQ_ACQUIRED_BY_REPORTING_BANK_FDIC" hidden="1">"c6535"</definedName>
    <definedName name="IQ_ACQUISITION_RE_ASSETS" hidden="1">"c1628"</definedName>
    <definedName name="IQ_ACTUAL_PRODUCTION_ALUM" hidden="1">"c9247"</definedName>
    <definedName name="IQ_ACTUAL_PRODUCTION_CATHODE_COP" hidden="1">"c9192"</definedName>
    <definedName name="IQ_ACTUAL_PRODUCTION_COAL" hidden="1">"c9821"</definedName>
    <definedName name="IQ_ACTUAL_PRODUCTION_COP" hidden="1">"c9191"</definedName>
    <definedName name="IQ_ACTUAL_PRODUCTION_DIAM" hidden="1">"c9671"</definedName>
    <definedName name="IQ_ACTUAL_PRODUCTION_GOLD" hidden="1">"c9032"</definedName>
    <definedName name="IQ_ACTUAL_PRODUCTION_IRON" hidden="1">"c9406"</definedName>
    <definedName name="IQ_ACTUAL_PRODUCTION_LEAD" hidden="1">"c9459"</definedName>
    <definedName name="IQ_ACTUAL_PRODUCTION_MANG" hidden="1">"c9512"</definedName>
    <definedName name="IQ_ACTUAL_PRODUCTION_MET_COAL" hidden="1">"c9761"</definedName>
    <definedName name="IQ_ACTUAL_PRODUCTION_MOLYB" hidden="1">"c9724"</definedName>
    <definedName name="IQ_ACTUAL_PRODUCTION_NICK" hidden="1">"c9300"</definedName>
    <definedName name="IQ_ACTUAL_PRODUCTION_PLAT" hidden="1">"c9138"</definedName>
    <definedName name="IQ_ACTUAL_PRODUCTION_SILVER" hidden="1">"c9085"</definedName>
    <definedName name="IQ_ACTUAL_PRODUCTION_STEAM" hidden="1">"c9791"</definedName>
    <definedName name="IQ_ACTUAL_PRODUCTION_TITAN" hidden="1">"c9565"</definedName>
    <definedName name="IQ_ACTUAL_PRODUCTION_URAN" hidden="1">"c9618"</definedName>
    <definedName name="IQ_ACTUAL_PRODUCTION_ZINC" hidden="1">"c9353"</definedName>
    <definedName name="IQ_AD" hidden="1">"c7"</definedName>
    <definedName name="IQ_ADD_PAID_IN" hidden="1">"c1344"</definedName>
    <definedName name="IQ_ADDITIONAL_NON_INT_INC_FDIC" hidden="1">"c6574"</definedName>
    <definedName name="IQ_ADJ_AVG_BANK_ASSETS" hidden="1">"c2671"</definedName>
    <definedName name="IQ_ADJUSTABLE_RATE_LOANS_FDIC" hidden="1">"c6375"</definedName>
    <definedName name="IQ_ADJUSTED_NAV_COVERED" hidden="1">"c9963"</definedName>
    <definedName name="IQ_ADJUSTED_NAV_GROUP" hidden="1">"c9949"</definedName>
    <definedName name="IQ_ADMIN_RATIO" hidden="1">"c2784"</definedName>
    <definedName name="IQ_ADVERTISING" hidden="1">"c2246"</definedName>
    <definedName name="IQ_ADVERTISING_MARKETING" hidden="1">"c1566"</definedName>
    <definedName name="IQ_AE" hidden="1">"c8"</definedName>
    <definedName name="IQ_AE_BNK" hidden="1">"c9"</definedName>
    <definedName name="IQ_AE_BR" hidden="1">"c10"</definedName>
    <definedName name="IQ_AE_FIN" hidden="1">"c11"</definedName>
    <definedName name="IQ_AE_INS" hidden="1">"c12"</definedName>
    <definedName name="IQ_AE_RE" hidden="1">"c6195"</definedName>
    <definedName name="IQ_AE_REIT" hidden="1">"c13"</definedName>
    <definedName name="IQ_AE_UTI" hidden="1">"c14"</definedName>
    <definedName name="IQ_AFFO" hidden="1">"c8756"</definedName>
    <definedName name="IQ_AFFO_PER_SHARE_BASIC" hidden="1">"c8869"</definedName>
    <definedName name="IQ_AFFO_PER_SHARE_DILUTED" hidden="1">"c8870"</definedName>
    <definedName name="IQ_AFTER_TAX_INCOME_FDIC" hidden="1">"c6583"</definedName>
    <definedName name="IQ_AGENCY" hidden="1">"c8960"</definedName>
    <definedName name="IQ_AGRICULTURAL_PRODUCTION_CHARGE_OFFS_FDIC" hidden="1">"c6597"</definedName>
    <definedName name="IQ_AGRICULTURAL_PRODUCTION_CHARGE_OFFS_LESS_THAN_300M_FDIC" hidden="1">"c6655"</definedName>
    <definedName name="IQ_AGRICULTURAL_PRODUCTION_NET_CHARGE_OFFS_FDIC" hidden="1">"c6635"</definedName>
    <definedName name="IQ_AGRICULTURAL_PRODUCTION_NET_CHARGE_OFFS_LESS_THAN_300M_FDIC" hidden="1">"c6657"</definedName>
    <definedName name="IQ_AGRICULTURAL_PRODUCTION_RECOVERIES_FDIC" hidden="1">"c6616"</definedName>
    <definedName name="IQ_AGRICULTURAL_PRODUCTION_RECOVERIES_LESS_THAN_300M_FDIC" hidden="1">"c6656"</definedName>
    <definedName name="IQ_AH_EARNED" hidden="1">"c2744"</definedName>
    <definedName name="IQ_AH_POLICY_BENEFITS_EXP" hidden="1">"c2789"</definedName>
    <definedName name="IQ_AIR_AIRPLANES_NOT_IN_SERVICE" hidden="1">"c2842"</definedName>
    <definedName name="IQ_AIR_AIRPLANES_SUBLEASED" hidden="1">"c2841"</definedName>
    <definedName name="IQ_AIR_ASK" hidden="1">"c2813"</definedName>
    <definedName name="IQ_AIR_ASK_INCREASE" hidden="1">"c2826"</definedName>
    <definedName name="IQ_AIR_ASM" hidden="1">"c2812"</definedName>
    <definedName name="IQ_AIR_ASM_INCREASE" hidden="1">"c2825"</definedName>
    <definedName name="IQ_AIR_AVG_AGE" hidden="1">"c2843"</definedName>
    <definedName name="IQ_AIR_AVG_PSGR_FARE" hidden="1">"c10029"</definedName>
    <definedName name="IQ_AIR_BREAK_EVEN_FACTOR" hidden="1">"c2822"</definedName>
    <definedName name="IQ_AIR_CAPITAL_LEASE" hidden="1">"c2833"</definedName>
    <definedName name="IQ_AIR_COMPLETION_FACTOR" hidden="1">"c2824"</definedName>
    <definedName name="IQ_AIR_ENPLANED_PSGRS" hidden="1">"c2809"</definedName>
    <definedName name="IQ_AIR_FUEL_CONSUMED" hidden="1">"c2806"</definedName>
    <definedName name="IQ_AIR_FUEL_CONSUMED_L" hidden="1">"c2807"</definedName>
    <definedName name="IQ_AIR_FUEL_COST" hidden="1">"c2803"</definedName>
    <definedName name="IQ_AIR_FUEL_COST_L" hidden="1">"c2804"</definedName>
    <definedName name="IQ_AIR_FUEL_EXP" hidden="1">"c2802"</definedName>
    <definedName name="IQ_AIR_FUEL_EXP_PERCENT" hidden="1">"c2805"</definedName>
    <definedName name="IQ_AIR_LEASED" hidden="1">"c2835"</definedName>
    <definedName name="IQ_AIR_LOAD_FACTOR" hidden="1">"c2823"</definedName>
    <definedName name="IQ_AIR_NEW_AIRPLANES" hidden="1">"c2839"</definedName>
    <definedName name="IQ_AIR_NUMBER_HRS_FLOWN" hidden="1">"c10037"</definedName>
    <definedName name="IQ_AIR_NUMBER_OPERATING_AIRCRAFT_AVG" hidden="1">"c10035"</definedName>
    <definedName name="IQ_AIR_NUMBER_TRIPS_FLOWN" hidden="1">"c10030"</definedName>
    <definedName name="IQ_AIR_OPER_EXP_ASK" hidden="1">"c2821"</definedName>
    <definedName name="IQ_AIR_OPER_EXP_ASM" hidden="1">"c2820"</definedName>
    <definedName name="IQ_AIR_OPER_LEASE" hidden="1">"c2834"</definedName>
    <definedName name="IQ_AIR_OPER_REV_YIELD_ASK" hidden="1">"c2819"</definedName>
    <definedName name="IQ_AIR_OPER_REV_YIELD_ASM" hidden="1">"c2818"</definedName>
    <definedName name="IQ_AIR_OPEX_PER_ASK_EXCL_FUEL" hidden="1">"c10034"</definedName>
    <definedName name="IQ_AIR_OPEX_PER_ASM_EXCL_FUEL" hidden="1">"c10033"</definedName>
    <definedName name="IQ_AIR_OPTIONS" hidden="1">"c2837"</definedName>
    <definedName name="IQ_AIR_ORDERS" hidden="1">"c2836"</definedName>
    <definedName name="IQ_AIR_OWNED" hidden="1">"c2832"</definedName>
    <definedName name="IQ_AIR_PERCENTAGE_SALES_VIA_INTERNET" hidden="1">"c10036"</definedName>
    <definedName name="IQ_AIR_PSGR_HAUL_AVG_LENGTH_KM" hidden="1">"c10032"</definedName>
    <definedName name="IQ_AIR_PSGR_HAUL_AVG_LENGTH_MILES" hidden="1">"c10031"</definedName>
    <definedName name="IQ_AIR_PSGR_REV_YIELD_ASK" hidden="1">"c2817"</definedName>
    <definedName name="IQ_AIR_PSGR_REV_YIELD_ASM" hidden="1">"c2816"</definedName>
    <definedName name="IQ_AIR_PSGR_REV_YIELD_RPK" hidden="1">"c2815"</definedName>
    <definedName name="IQ_AIR_PSGR_REV_YIELD_RPM" hidden="1">"c2814"</definedName>
    <definedName name="IQ_AIR_PURCHASE_RIGHTS" hidden="1">"c2838"</definedName>
    <definedName name="IQ_AIR_RETIRED_AIRPLANES" hidden="1">"c2840"</definedName>
    <definedName name="IQ_AIR_REV_PSGRS_CARRIED" hidden="1">"c2808"</definedName>
    <definedName name="IQ_AIR_REV_SCHEDULED_SERVICE" hidden="1">"c2830"</definedName>
    <definedName name="IQ_AIR_RPK" hidden="1">"c2811"</definedName>
    <definedName name="IQ_AIR_RPM" hidden="1">"c2810"</definedName>
    <definedName name="IQ_AIR_STAGE_LENGTH" hidden="1">"c2828"</definedName>
    <definedName name="IQ_AIR_STAGE_LENGTH_KM" hidden="1">"c2829"</definedName>
    <definedName name="IQ_AIR_TOTAL" hidden="1">"c2831"</definedName>
    <definedName name="IQ_AIR_UTILIZATION" hidden="1">"c2827"</definedName>
    <definedName name="IQ_ALLOW_BORROW_CONST" hidden="1">"c15"</definedName>
    <definedName name="IQ_ALLOW_CONST" hidden="1">"c1342"</definedName>
    <definedName name="IQ_ALLOW_DOUBT_ACCT" hidden="1">"c2092"</definedName>
    <definedName name="IQ_ALLOW_EQUITY_CONST" hidden="1">"c16"</definedName>
    <definedName name="IQ_ALLOW_LL" hidden="1">"c17"</definedName>
    <definedName name="IQ_ALLOWANCE_10YR_ANN_CAGR" hidden="1">"c6035"</definedName>
    <definedName name="IQ_ALLOWANCE_10YR_ANN_GROWTH" hidden="1">"c18"</definedName>
    <definedName name="IQ_ALLOWANCE_1YR_ANN_GROWTH" hidden="1">"c19"</definedName>
    <definedName name="IQ_ALLOWANCE_2YR_ANN_CAGR" hidden="1">"c6036"</definedName>
    <definedName name="IQ_ALLOWANCE_2YR_ANN_GROWTH" hidden="1">"c20"</definedName>
    <definedName name="IQ_ALLOWANCE_3YR_ANN_CAGR" hidden="1">"c6037"</definedName>
    <definedName name="IQ_ALLOWANCE_3YR_ANN_GROWTH" hidden="1">"c21"</definedName>
    <definedName name="IQ_ALLOWANCE_5YR_ANN_CAGR" hidden="1">"c6038"</definedName>
    <definedName name="IQ_ALLOWANCE_5YR_ANN_GROWTH" hidden="1">"c22"</definedName>
    <definedName name="IQ_ALLOWANCE_7YR_ANN_CAGR" hidden="1">"c6039"</definedName>
    <definedName name="IQ_ALLOWANCE_7YR_ANN_GROWTH" hidden="1">"c23"</definedName>
    <definedName name="IQ_ALLOWANCE_CHARGE_OFFS" hidden="1">"c24"</definedName>
    <definedName name="IQ_ALLOWANCE_NON_PERF_LOANS" hidden="1">"c25"</definedName>
    <definedName name="IQ_ALLOWANCE_TOTAL_LOANS" hidden="1">"c26"</definedName>
    <definedName name="IQ_AMENDED_BALANCE_PREVIOUS_YR_FDIC" hidden="1">"c6499"</definedName>
    <definedName name="IQ_AMORT_EXPENSE_FDIC" hidden="1">"c6677"</definedName>
    <definedName name="IQ_AMORTIZATION" hidden="1">"c1591"</definedName>
    <definedName name="IQ_AMORTIZED_COST_FDIC" hidden="1">"c6426"</definedName>
    <definedName name="IQ_AMT_OUT" hidden="1">"c2145"</definedName>
    <definedName name="IQ_ANNU_DISTRIBUTION_UNIT" hidden="1">"c3004"</definedName>
    <definedName name="IQ_ANNUAL_PREMIUM_EQUIVALENT_NEW_BUSINESS" hidden="1">"c9972"</definedName>
    <definedName name="IQ_ANNUALIZED_DIVIDEND" hidden="1">"c1579"</definedName>
    <definedName name="IQ_ANNUITY_LIAB" hidden="1">"c27"</definedName>
    <definedName name="IQ_ANNUITY_PAY" hidden="1">"c28"</definedName>
    <definedName name="IQ_ANNUITY_POLICY_EXP" hidden="1">"c29"</definedName>
    <definedName name="IQ_ANNUITY_REC" hidden="1">"c30"</definedName>
    <definedName name="IQ_ANNUITY_REV" hidden="1">"c31"</definedName>
    <definedName name="IQ_AP" hidden="1">"c32"</definedName>
    <definedName name="IQ_AP_BNK" hidden="1">"c33"</definedName>
    <definedName name="IQ_AP_BR" hidden="1">"c34"</definedName>
    <definedName name="IQ_AP_FIN" hidden="1">"c35"</definedName>
    <definedName name="IQ_AP_INS" hidden="1">"c36"</definedName>
    <definedName name="IQ_AP_RE" hidden="1">"c6196"</definedName>
    <definedName name="IQ_AP_REIT" hidden="1">"c37"</definedName>
    <definedName name="IQ_AP_UTI" hidden="1">"c38"</definedName>
    <definedName name="IQ_APIC" hidden="1">"c39"</definedName>
    <definedName name="IQ_AR" hidden="1">"c40"</definedName>
    <definedName name="IQ_AR_BR" hidden="1">"c41"</definedName>
    <definedName name="IQ_AR_LT" hidden="1">"c42"</definedName>
    <definedName name="IQ_AR_RE" hidden="1">"c6197"</definedName>
    <definedName name="IQ_AR_REIT" hidden="1">"c43"</definedName>
    <definedName name="IQ_AR_TURNS" hidden="1">"c44"</definedName>
    <definedName name="IQ_AR_UTI" hidden="1">"c45"</definedName>
    <definedName name="IQ_ARPU" hidden="1">"c2126"</definedName>
    <definedName name="IQ_ASSET_BACKED_FDIC" hidden="1">"c6301"</definedName>
    <definedName name="IQ_ASSET_MGMT_FEE" hidden="1">"c46"</definedName>
    <definedName name="IQ_ASSET_TURNS" hidden="1">"c47"</definedName>
    <definedName name="IQ_ASSET_WRITEDOWN" hidden="1">"c48"</definedName>
    <definedName name="IQ_ASSET_WRITEDOWN_BNK" hidden="1">"c49"</definedName>
    <definedName name="IQ_ASSET_WRITEDOWN_BR" hidden="1">"c50"</definedName>
    <definedName name="IQ_ASSET_WRITEDOWN_CF" hidden="1">"c51"</definedName>
    <definedName name="IQ_ASSET_WRITEDOWN_CF_BNK" hidden="1">"c52"</definedName>
    <definedName name="IQ_ASSET_WRITEDOWN_CF_BR" hidden="1">"c53"</definedName>
    <definedName name="IQ_ASSET_WRITEDOWN_CF_FIN" hidden="1">"c54"</definedName>
    <definedName name="IQ_ASSET_WRITEDOWN_CF_INS" hidden="1">"c55"</definedName>
    <definedName name="IQ_ASSET_WRITEDOWN_CF_RE" hidden="1">"c6198"</definedName>
    <definedName name="IQ_ASSET_WRITEDOWN_CF_REIT" hidden="1">"c56"</definedName>
    <definedName name="IQ_ASSET_WRITEDOWN_CF_UTI" hidden="1">"c57"</definedName>
    <definedName name="IQ_ASSET_WRITEDOWN_FIN" hidden="1">"c58"</definedName>
    <definedName name="IQ_ASSET_WRITEDOWN_INS" hidden="1">"c59"</definedName>
    <definedName name="IQ_ASSET_WRITEDOWN_RE" hidden="1">"c6199"</definedName>
    <definedName name="IQ_ASSET_WRITEDOWN_REIT" hidden="1">"c60"</definedName>
    <definedName name="IQ_ASSET_WRITEDOWN_UTI" hidden="1">"c61"</definedName>
    <definedName name="IQ_ASSETS_AP" hidden="1">"c8883"</definedName>
    <definedName name="IQ_ASSETS_AP_ABS" hidden="1">"c8902"</definedName>
    <definedName name="IQ_ASSETS_CAP_LEASE_DEPR" hidden="1">"c2068"</definedName>
    <definedName name="IQ_ASSETS_CAP_LEASE_GROSS" hidden="1">"c2069"</definedName>
    <definedName name="IQ_ASSETS_HELD_FDIC" hidden="1">"c6305"</definedName>
    <definedName name="IQ_ASSETS_NAME_AP" hidden="1">"c8921"</definedName>
    <definedName name="IQ_ASSETS_NAME_AP_ABS" hidden="1">"c8940"</definedName>
    <definedName name="IQ_ASSETS_OPER_LEASE_DEPR" hidden="1">"c2070"</definedName>
    <definedName name="IQ_ASSETS_OPER_LEASE_GROSS" hidden="1">"c2071"</definedName>
    <definedName name="IQ_ASSETS_PER_EMPLOYEE_FDIC" hidden="1">"c6737"</definedName>
    <definedName name="IQ_ASSETS_SOLD_1_4_FAMILY_LOANS_FDIC" hidden="1">"c6686"</definedName>
    <definedName name="IQ_ASSETS_SOLD_AUTO_LOANS_FDIC" hidden="1">"c6680"</definedName>
    <definedName name="IQ_ASSETS_SOLD_CL_LOANS_FDIC" hidden="1">"c6681"</definedName>
    <definedName name="IQ_ASSETS_SOLD_CREDIT_CARDS_RECEIVABLES_FDIC" hidden="1">"c6683"</definedName>
    <definedName name="IQ_ASSETS_SOLD_HOME_EQUITY_LINES_FDIC" hidden="1">"c6684"</definedName>
    <definedName name="IQ_ASSETS_SOLD_OTHER_CONSUMER_LOANS_FDIC" hidden="1">"c6682"</definedName>
    <definedName name="IQ_ASSETS_SOLD_OTHER_LOANS_FDIC" hidden="1">"c6685"</definedName>
    <definedName name="IQ_ASSUMED_AH_EARNED" hidden="1">"c2741"</definedName>
    <definedName name="IQ_ASSUMED_EARNED" hidden="1">"c2731"</definedName>
    <definedName name="IQ_ASSUMED_LIFE_EARNED" hidden="1">"c2736"</definedName>
    <definedName name="IQ_ASSUMED_LIFE_IN_FORCE" hidden="1">"c2766"</definedName>
    <definedName name="IQ_ASSUMED_PC_EARNED" hidden="1">"c2746"</definedName>
    <definedName name="IQ_ASSUMED_WRITTEN" hidden="1">"c2725"</definedName>
    <definedName name="IQ_AUDITOR_NAME" hidden="1">"c1539"</definedName>
    <definedName name="IQ_AUDITOR_OPINION" hidden="1">"c1540"</definedName>
    <definedName name="IQ_AUM" hidden="1">"c10043"</definedName>
    <definedName name="IQ_AUM_EQUITY_FUNDS" hidden="1">"c10039"</definedName>
    <definedName name="IQ_AUM_FIXED_INCOME_FUNDS" hidden="1">"c10040"</definedName>
    <definedName name="IQ_AUM_MONEY_MARKET_FUNDS" hidden="1">"c10041"</definedName>
    <definedName name="IQ_AUM_OTHER" hidden="1">"c10042"</definedName>
    <definedName name="IQ_AUTO_REGIST_NEW" hidden="1">"c6923"</definedName>
    <definedName name="IQ_AUTO_REGIST_NEW_APR" hidden="1">"c7583"</definedName>
    <definedName name="IQ_AUTO_REGIST_NEW_APR_FC" hidden="1">"c8463"</definedName>
    <definedName name="IQ_AUTO_REGIST_NEW_FC" hidden="1">"c7803"</definedName>
    <definedName name="IQ_AUTO_REGIST_NEW_POP" hidden="1">"c7143"</definedName>
    <definedName name="IQ_AUTO_REGIST_NEW_POP_FC" hidden="1">"c8023"</definedName>
    <definedName name="IQ_AUTO_REGIST_NEW_YOY" hidden="1">"c7363"</definedName>
    <definedName name="IQ_AUTO_REGIST_NEW_YOY_FC" hidden="1">"c8243"</definedName>
    <definedName name="IQ_AUTO_SALES_DOM" hidden="1">"c6852"</definedName>
    <definedName name="IQ_AUTO_SALES_DOM_APR" hidden="1">"c7512"</definedName>
    <definedName name="IQ_AUTO_SALES_DOM_APR_FC" hidden="1">"c8392"</definedName>
    <definedName name="IQ_AUTO_SALES_DOM_FC" hidden="1">"c7732"</definedName>
    <definedName name="IQ_AUTO_SALES_DOM_POP" hidden="1">"c7072"</definedName>
    <definedName name="IQ_AUTO_SALES_DOM_POP_FC" hidden="1">"c7952"</definedName>
    <definedName name="IQ_AUTO_SALES_DOM_YOY" hidden="1">"c7292"</definedName>
    <definedName name="IQ_AUTO_SALES_DOM_YOY_FC" hidden="1">"c8172"</definedName>
    <definedName name="IQ_AUTO_SALES_FOREIGN" hidden="1">"c6873"</definedName>
    <definedName name="IQ_AUTO_SALES_FOREIGN_APR" hidden="1">"c7533"</definedName>
    <definedName name="IQ_AUTO_SALES_FOREIGN_APR_FC" hidden="1">"c8413"</definedName>
    <definedName name="IQ_AUTO_SALES_FOREIGN_FC" hidden="1">"c7753"</definedName>
    <definedName name="IQ_AUTO_SALES_FOREIGN_POP" hidden="1">"c7093"</definedName>
    <definedName name="IQ_AUTO_SALES_FOREIGN_POP_FC" hidden="1">"c7973"</definedName>
    <definedName name="IQ_AUTO_SALES_FOREIGN_YOY" hidden="1">"c7313"</definedName>
    <definedName name="IQ_AUTO_SALES_FOREIGN_YOY_FC" hidden="1">"c8193"</definedName>
    <definedName name="IQ_AUTO_WRITTEN" hidden="1">"c62"</definedName>
    <definedName name="IQ_AVAILABLE_FOR_SALE_FDIC" hidden="1">"c6409"</definedName>
    <definedName name="IQ_AVERAGE_ASSETS_FDIC" hidden="1">"c6362"</definedName>
    <definedName name="IQ_AVERAGE_ASSETS_QUART_FDIC" hidden="1">"c6363"</definedName>
    <definedName name="IQ_AVERAGE_EARNING_ASSETS_FDIC" hidden="1">"c6748"</definedName>
    <definedName name="IQ_AVERAGE_EQUITY_FDIC" hidden="1">"c6749"</definedName>
    <definedName name="IQ_AVERAGE_LOANS_FDIC" hidden="1">"c6750"</definedName>
    <definedName name="IQ_AVG_BANK_ASSETS" hidden="1">"c2072"</definedName>
    <definedName name="IQ_AVG_BANK_LOANS" hidden="1">"c2073"</definedName>
    <definedName name="IQ_AVG_BROKER_REC" hidden="1">"c63"</definedName>
    <definedName name="IQ_AVG_BROKER_REC_CIQ" hidden="1">"c3612"</definedName>
    <definedName name="IQ_AVG_BROKER_REC_NO" hidden="1">"c64"</definedName>
    <definedName name="IQ_AVG_BROKER_REC_NO_CIQ" hidden="1">"c4657"</definedName>
    <definedName name="IQ_AVG_CALORIFIC_VALUE_COAL" hidden="1">"c9828"</definedName>
    <definedName name="IQ_AVG_CALORIFIC_VALUE_MET_COAL" hidden="1">"c9764"</definedName>
    <definedName name="IQ_AVG_CALORIFIC_VALUE_STEAM" hidden="1">"c9794"</definedName>
    <definedName name="IQ_AVG_DAILY_VOL" hidden="1">"c65"</definedName>
    <definedName name="IQ_AVG_EMPLOYEES" hidden="1">"c6019"</definedName>
    <definedName name="IQ_AVG_GRADE_ALUM" hidden="1">"c9254"</definedName>
    <definedName name="IQ_AVG_GRADE_COP" hidden="1">"c9201"</definedName>
    <definedName name="IQ_AVG_GRADE_DIAM" hidden="1">"c9678"</definedName>
    <definedName name="IQ_AVG_GRADE_GOLD" hidden="1">"c9039"</definedName>
    <definedName name="IQ_AVG_GRADE_IRON" hidden="1">"c9413"</definedName>
    <definedName name="IQ_AVG_GRADE_LEAD" hidden="1">"c9466"</definedName>
    <definedName name="IQ_AVG_GRADE_MANG" hidden="1">"c9519"</definedName>
    <definedName name="IQ_AVG_GRADE_MOLYB" hidden="1">"c9731"</definedName>
    <definedName name="IQ_AVG_GRADE_NICK" hidden="1">"c9307"</definedName>
    <definedName name="IQ_AVG_GRADE_PLAT" hidden="1">"c9145"</definedName>
    <definedName name="IQ_AVG_GRADE_SILVER" hidden="1">"c9092"</definedName>
    <definedName name="IQ_AVG_GRADE_TITAN" hidden="1">"c9572"</definedName>
    <definedName name="IQ_AVG_GRADE_URAN" hidden="1">"c9625"</definedName>
    <definedName name="IQ_AVG_GRADE_ZINC" hidden="1">"c9360"</definedName>
    <definedName name="IQ_AVG_INDUSTRY_REC_CIQ" hidden="1">"c4984"</definedName>
    <definedName name="IQ_AVG_INT_BEAR_LIAB" hidden="1">"c66"</definedName>
    <definedName name="IQ_AVG_INT_BEAR_LIAB_10YR_ANN_CAGR" hidden="1">"c6040"</definedName>
    <definedName name="IQ_AVG_INT_BEAR_LIAB_10YR_ANN_GROWTH" hidden="1">"c67"</definedName>
    <definedName name="IQ_AVG_INT_BEAR_LIAB_1YR_ANN_GROWTH" hidden="1">"c68"</definedName>
    <definedName name="IQ_AVG_INT_BEAR_LIAB_2YR_ANN_CAGR" hidden="1">"c6041"</definedName>
    <definedName name="IQ_AVG_INT_BEAR_LIAB_2YR_ANN_GROWTH" hidden="1">"c69"</definedName>
    <definedName name="IQ_AVG_INT_BEAR_LIAB_3YR_ANN_CAGR" hidden="1">"c6042"</definedName>
    <definedName name="IQ_AVG_INT_BEAR_LIAB_3YR_ANN_GROWTH" hidden="1">"c70"</definedName>
    <definedName name="IQ_AVG_INT_BEAR_LIAB_5YR_ANN_CAGR" hidden="1">"c6043"</definedName>
    <definedName name="IQ_AVG_INT_BEAR_LIAB_5YR_ANN_GROWTH" hidden="1">"c71"</definedName>
    <definedName name="IQ_AVG_INT_BEAR_LIAB_7YR_ANN_CAGR" hidden="1">"c6044"</definedName>
    <definedName name="IQ_AVG_INT_BEAR_LIAB_7YR_ANN_GROWTH" hidden="1">"c72"</definedName>
    <definedName name="IQ_AVG_INT_EARN_ASSETS" hidden="1">"c73"</definedName>
    <definedName name="IQ_AVG_INT_EARN_ASSETS_10YR_ANN_CAGR" hidden="1">"c6045"</definedName>
    <definedName name="IQ_AVG_INT_EARN_ASSETS_10YR_ANN_GROWTH" hidden="1">"c74"</definedName>
    <definedName name="IQ_AVG_INT_EARN_ASSETS_1YR_ANN_GROWTH" hidden="1">"c75"</definedName>
    <definedName name="IQ_AVG_INT_EARN_ASSETS_2YR_ANN_CAGR" hidden="1">"c6046"</definedName>
    <definedName name="IQ_AVG_INT_EARN_ASSETS_2YR_ANN_GROWTH" hidden="1">"c76"</definedName>
    <definedName name="IQ_AVG_INT_EARN_ASSETS_3YR_ANN_CAGR" hidden="1">"c6047"</definedName>
    <definedName name="IQ_AVG_INT_EARN_ASSETS_3YR_ANN_GROWTH" hidden="1">"c77"</definedName>
    <definedName name="IQ_AVG_INT_EARN_ASSETS_5YR_ANN_CAGR" hidden="1">"c6048"</definedName>
    <definedName name="IQ_AVG_INT_EARN_ASSETS_5YR_ANN_GROWTH" hidden="1">"c78"</definedName>
    <definedName name="IQ_AVG_INT_EARN_ASSETS_7YR_ANN_CAGR" hidden="1">"c6049"</definedName>
    <definedName name="IQ_AVG_INT_EARN_ASSETS_7YR_ANN_GROWTH" hidden="1">"c79"</definedName>
    <definedName name="IQ_AVG_MKTCAP" hidden="1">"c80"</definedName>
    <definedName name="IQ_AVG_PRICE" hidden="1">"c81"</definedName>
    <definedName name="IQ_AVG_PRODUCTION_PER_MINE_ALUM" hidden="1">"c9249"</definedName>
    <definedName name="IQ_AVG_PRODUCTION_PER_MINE_COAL" hidden="1">"c9823"</definedName>
    <definedName name="IQ_AVG_PRODUCTION_PER_MINE_COP" hidden="1">"c9194"</definedName>
    <definedName name="IQ_AVG_PRODUCTION_PER_MINE_DIAM" hidden="1">"c9673"</definedName>
    <definedName name="IQ_AVG_PRODUCTION_PER_MINE_GOLD" hidden="1">"c9034"</definedName>
    <definedName name="IQ_AVG_PRODUCTION_PER_MINE_IRON" hidden="1">"c9408"</definedName>
    <definedName name="IQ_AVG_PRODUCTION_PER_MINE_LEAD" hidden="1">"c9461"</definedName>
    <definedName name="IQ_AVG_PRODUCTION_PER_MINE_MANG" hidden="1">"c9514"</definedName>
    <definedName name="IQ_AVG_PRODUCTION_PER_MINE_MOLYB" hidden="1">"c9726"</definedName>
    <definedName name="IQ_AVG_PRODUCTION_PER_MINE_NICK" hidden="1">"c9302"</definedName>
    <definedName name="IQ_AVG_PRODUCTION_PER_MINE_PLAT" hidden="1">"c9140"</definedName>
    <definedName name="IQ_AVG_PRODUCTION_PER_MINE_SILVER" hidden="1">"c9087"</definedName>
    <definedName name="IQ_AVG_PRODUCTION_PER_MINE_TITAN" hidden="1">"c9567"</definedName>
    <definedName name="IQ_AVG_PRODUCTION_PER_MINE_URAN" hidden="1">"c9620"</definedName>
    <definedName name="IQ_AVG_PRODUCTION_PER_MINE_ZINC" hidden="1">"c9355"</definedName>
    <definedName name="IQ_AVG_REAL_PRICE_POST_TREAT_REFINING_ALUM" hidden="1">"c9259"</definedName>
    <definedName name="IQ_AVG_REAL_PRICE_POST_TREAT_REFINING_COP" hidden="1">"c9206"</definedName>
    <definedName name="IQ_AVG_REAL_PRICE_POST_TREAT_REFINING_DIAM" hidden="1">"c9683"</definedName>
    <definedName name="IQ_AVG_REAL_PRICE_POST_TREAT_REFINING_GOLD" hidden="1">"c9044"</definedName>
    <definedName name="IQ_AVG_REAL_PRICE_POST_TREAT_REFINING_IRON" hidden="1">"c9418"</definedName>
    <definedName name="IQ_AVG_REAL_PRICE_POST_TREAT_REFINING_LEAD" hidden="1">"c9471"</definedName>
    <definedName name="IQ_AVG_REAL_PRICE_POST_TREAT_REFINING_MANG" hidden="1">"c9524"</definedName>
    <definedName name="IQ_AVG_REAL_PRICE_POST_TREAT_REFINING_MOLYB" hidden="1">"c9736"</definedName>
    <definedName name="IQ_AVG_REAL_PRICE_POST_TREAT_REFINING_NICK" hidden="1">"c9311"</definedName>
    <definedName name="IQ_AVG_REAL_PRICE_POST_TREAT_REFINING_PLAT" hidden="1">"c9150"</definedName>
    <definedName name="IQ_AVG_REAL_PRICE_POST_TREAT_REFINING_SILVER" hidden="1">"c9097"</definedName>
    <definedName name="IQ_AVG_REAL_PRICE_POST_TREAT_REFINING_TITAN" hidden="1">"c9577"</definedName>
    <definedName name="IQ_AVG_REAL_PRICE_POST_TREAT_REFINING_URAN" hidden="1">"c9630"</definedName>
    <definedName name="IQ_AVG_REAL_PRICE_POST_TREAT_REFINING_ZINC" hidden="1">"c9365"</definedName>
    <definedName name="IQ_AVG_REAL_PRICE_PRE_TREAT_REFINING_ALUM" hidden="1">"c9258"</definedName>
    <definedName name="IQ_AVG_REAL_PRICE_PRE_TREAT_REFINING_COP" hidden="1">"c9205"</definedName>
    <definedName name="IQ_AVG_REAL_PRICE_PRE_TREAT_REFINING_DIAM" hidden="1">"c9682"</definedName>
    <definedName name="IQ_AVG_REAL_PRICE_PRE_TREAT_REFINING_GOLD" hidden="1">"c9043"</definedName>
    <definedName name="IQ_AVG_REAL_PRICE_PRE_TREAT_REFINING_IRON" hidden="1">"c9417"</definedName>
    <definedName name="IQ_AVG_REAL_PRICE_PRE_TREAT_REFINING_LEAD" hidden="1">"c9470"</definedName>
    <definedName name="IQ_AVG_REAL_PRICE_PRE_TREAT_REFINING_MANG" hidden="1">"c9523"</definedName>
    <definedName name="IQ_AVG_REAL_PRICE_PRE_TREAT_REFINING_MOLYB" hidden="1">"c9735"</definedName>
    <definedName name="IQ_AVG_REAL_PRICE_PRE_TREAT_REFINING_NICK" hidden="1">"c9312"</definedName>
    <definedName name="IQ_AVG_REAL_PRICE_PRE_TREAT_REFINING_PLAT" hidden="1">"c9149"</definedName>
    <definedName name="IQ_AVG_REAL_PRICE_PRE_TREAT_REFINING_SILVER" hidden="1">"c9096"</definedName>
    <definedName name="IQ_AVG_REAL_PRICE_PRE_TREAT_REFINING_TITAN" hidden="1">"c9576"</definedName>
    <definedName name="IQ_AVG_REAL_PRICE_PRE_TREAT_REFINING_URAN" hidden="1">"c9629"</definedName>
    <definedName name="IQ_AVG_REAL_PRICE_PRE_TREAT_REFINING_ZINC" hidden="1">"c9364"</definedName>
    <definedName name="IQ_AVG_REALIZED_PRICE_AFTER_HEDGING_ALUM" hidden="1">"c9257"</definedName>
    <definedName name="IQ_AVG_REALIZED_PRICE_AFTER_HEDGING_COAL" hidden="1">"c9830"</definedName>
    <definedName name="IQ_AVG_REALIZED_PRICE_AFTER_HEDGING_COP" hidden="1">"c9204"</definedName>
    <definedName name="IQ_AVG_REALIZED_PRICE_AFTER_HEDGING_DIAM" hidden="1">"c9681"</definedName>
    <definedName name="IQ_AVG_REALIZED_PRICE_AFTER_HEDGING_GOLD" hidden="1">"c9042"</definedName>
    <definedName name="IQ_AVG_REALIZED_PRICE_AFTER_HEDGING_IRON" hidden="1">"c9416"</definedName>
    <definedName name="IQ_AVG_REALIZED_PRICE_AFTER_HEDGING_LEAD" hidden="1">"c9469"</definedName>
    <definedName name="IQ_AVG_REALIZED_PRICE_AFTER_HEDGING_MANG" hidden="1">"c9522"</definedName>
    <definedName name="IQ_AVG_REALIZED_PRICE_AFTER_HEDGING_MET_COAL" hidden="1">"c9766"</definedName>
    <definedName name="IQ_AVG_REALIZED_PRICE_AFTER_HEDGING_MOLYB" hidden="1">"c9734"</definedName>
    <definedName name="IQ_AVG_REALIZED_PRICE_AFTER_HEDGING_NICK" hidden="1">"c9310"</definedName>
    <definedName name="IQ_AVG_REALIZED_PRICE_AFTER_HEDGING_PLAT" hidden="1">"c9148"</definedName>
    <definedName name="IQ_AVG_REALIZED_PRICE_AFTER_HEDGING_SILVER" hidden="1">"c9095"</definedName>
    <definedName name="IQ_AVG_REALIZED_PRICE_AFTER_HEDGING_STEAM" hidden="1">"c9796"</definedName>
    <definedName name="IQ_AVG_REALIZED_PRICE_AFTER_HEDGING_TITAN" hidden="1">"c9575"</definedName>
    <definedName name="IQ_AVG_REALIZED_PRICE_AFTER_HEDGING_URAN" hidden="1">"c9628"</definedName>
    <definedName name="IQ_AVG_REALIZED_PRICE_AFTER_HEDGING_ZINC" hidden="1">"c9363"</definedName>
    <definedName name="IQ_AVG_REALIZED_PRICE_BEFORE_HEDGING_ALUM" hidden="1">"c9256"</definedName>
    <definedName name="IQ_AVG_REALIZED_PRICE_BEFORE_HEDGING_COAL" hidden="1">"c9829"</definedName>
    <definedName name="IQ_AVG_REALIZED_PRICE_BEFORE_HEDGING_COP" hidden="1">"c9203"</definedName>
    <definedName name="IQ_AVG_REALIZED_PRICE_BEFORE_HEDGING_DIAM" hidden="1">"c9680"</definedName>
    <definedName name="IQ_AVG_REALIZED_PRICE_BEFORE_HEDGING_GOLD" hidden="1">"c9041"</definedName>
    <definedName name="IQ_AVG_REALIZED_PRICE_BEFORE_HEDGING_IRON" hidden="1">"c9415"</definedName>
    <definedName name="IQ_AVG_REALIZED_PRICE_BEFORE_HEDGING_LEAD" hidden="1">"c9468"</definedName>
    <definedName name="IQ_AVG_REALIZED_PRICE_BEFORE_HEDGING_MANG" hidden="1">"c9521"</definedName>
    <definedName name="IQ_AVG_REALIZED_PRICE_BEFORE_HEDGING_MET_COAL" hidden="1">"c9765"</definedName>
    <definedName name="IQ_AVG_REALIZED_PRICE_BEFORE_HEDGING_MOLYB" hidden="1">"c9733"</definedName>
    <definedName name="IQ_AVG_REALIZED_PRICE_BEFORE_HEDGING_NICK" hidden="1">"c9309"</definedName>
    <definedName name="IQ_AVG_REALIZED_PRICE_BEFORE_HEDGING_PLAT" hidden="1">"c9147"</definedName>
    <definedName name="IQ_AVG_REALIZED_PRICE_BEFORE_HEDGING_SILVER" hidden="1">"c9094"</definedName>
    <definedName name="IQ_AVG_REALIZED_PRICE_BEFORE_HEDGING_STEAM" hidden="1">"c9795"</definedName>
    <definedName name="IQ_AVG_REALIZED_PRICE_BEFORE_HEDGING_TITAN" hidden="1">"c9574"</definedName>
    <definedName name="IQ_AVG_REALIZED_PRICE_BEFORE_HEDGING_URAN" hidden="1">"c9627"</definedName>
    <definedName name="IQ_AVG_REALIZED_PRICE_BEFORE_HEDGING_ZINC" hidden="1">"c9362"</definedName>
    <definedName name="IQ_AVG_SHAREOUTSTANDING" hidden="1">"c83"</definedName>
    <definedName name="IQ_AVG_TEMP_EMPLOYEES" hidden="1">"c6020"</definedName>
    <definedName name="IQ_AVG_TEV" hidden="1">"c84"</definedName>
    <definedName name="IQ_AVG_VOLUME" hidden="1">"c1346"</definedName>
    <definedName name="IQ_AVG_WAGES" hidden="1">"c6812"</definedName>
    <definedName name="IQ_AVG_WAGES_APR" hidden="1">"c7472"</definedName>
    <definedName name="IQ_AVG_WAGES_APR_FC" hidden="1">"c8352"</definedName>
    <definedName name="IQ_AVG_WAGES_FC" hidden="1">"c7692"</definedName>
    <definedName name="IQ_AVG_WAGES_POP" hidden="1">"c7032"</definedName>
    <definedName name="IQ_AVG_WAGES_POP_FC" hidden="1">"c7912"</definedName>
    <definedName name="IQ_AVG_WAGES_YOY" hidden="1">"c7252"</definedName>
    <definedName name="IQ_AVG_WAGES_YOY_FC" hidden="1">"c8132"</definedName>
    <definedName name="IQ_BALANCE_GOODS_APR_FC_UNUSED_UNUSED_UNUSED" hidden="1">"c8353"</definedName>
    <definedName name="IQ_BALANCE_GOODS_APR_UNUSED_UNUSED_UNUSED" hidden="1">"c7473"</definedName>
    <definedName name="IQ_BALANCE_GOODS_FC_UNUSED_UNUSED_UNUSED" hidden="1">"c7693"</definedName>
    <definedName name="IQ_BALANCE_GOODS_POP_FC_UNUSED_UNUSED_UNUSED" hidden="1">"c7913"</definedName>
    <definedName name="IQ_BALANCE_GOODS_POP_UNUSED_UNUSED_UNUSED" hidden="1">"c7033"</definedName>
    <definedName name="IQ_BALANCE_GOODS_REAL" hidden="1">"c6952"</definedName>
    <definedName name="IQ_BALANCE_GOODS_REAL_APR" hidden="1">"c7612"</definedName>
    <definedName name="IQ_BALANCE_GOODS_REAL_APR_FC" hidden="1">"c8492"</definedName>
    <definedName name="IQ_BALANCE_GOODS_REAL_FC" hidden="1">"c7832"</definedName>
    <definedName name="IQ_BALANCE_GOODS_REAL_POP" hidden="1">"c7172"</definedName>
    <definedName name="IQ_BALANCE_GOODS_REAL_POP_FC" hidden="1">"c8052"</definedName>
    <definedName name="IQ_BALANCE_GOODS_REAL_SAAR" hidden="1">"c6953"</definedName>
    <definedName name="IQ_BALANCE_GOODS_REAL_SAAR_APR" hidden="1">"c7613"</definedName>
    <definedName name="IQ_BALANCE_GOODS_REAL_SAAR_APR_FC" hidden="1">"c8493"</definedName>
    <definedName name="IQ_BALANCE_GOODS_REAL_SAAR_FC" hidden="1">"c7833"</definedName>
    <definedName name="IQ_BALANCE_GOODS_REAL_SAAR_POP" hidden="1">"c7173"</definedName>
    <definedName name="IQ_BALANCE_GOODS_REAL_SAAR_POP_FC" hidden="1">"c8053"</definedName>
    <definedName name="IQ_BALANCE_GOODS_REAL_SAAR_USD_APR_FC" hidden="1">"c11893"</definedName>
    <definedName name="IQ_BALANCE_GOODS_REAL_SAAR_USD_FC" hidden="1">"c11890"</definedName>
    <definedName name="IQ_BALANCE_GOODS_REAL_SAAR_USD_POP_FC" hidden="1">"c11891"</definedName>
    <definedName name="IQ_BALANCE_GOODS_REAL_SAAR_USD_YOY_FC" hidden="1">"c11892"</definedName>
    <definedName name="IQ_BALANCE_GOODS_REAL_SAAR_YOY" hidden="1">"c7393"</definedName>
    <definedName name="IQ_BALANCE_GOODS_REAL_SAAR_YOY_FC" hidden="1">"c8273"</definedName>
    <definedName name="IQ_BALANCE_GOODS_REAL_USD_APR_FC" hidden="1">"c11889"</definedName>
    <definedName name="IQ_BALANCE_GOODS_REAL_USD_FC" hidden="1">"c11886"</definedName>
    <definedName name="IQ_BALANCE_GOODS_REAL_USD_POP_FC" hidden="1">"c11887"</definedName>
    <definedName name="IQ_BALANCE_GOODS_REAL_USD_YOY_FC" hidden="1">"c11888"</definedName>
    <definedName name="IQ_BALANCE_GOODS_REAL_YOY" hidden="1">"c7392"</definedName>
    <definedName name="IQ_BALANCE_GOODS_REAL_YOY_FC" hidden="1">"c8272"</definedName>
    <definedName name="IQ_BALANCE_GOODS_SAAR" hidden="1">"c6814"</definedName>
    <definedName name="IQ_BALANCE_GOODS_SAAR_APR" hidden="1">"c7474"</definedName>
    <definedName name="IQ_BALANCE_GOODS_SAAR_APR_FC" hidden="1">"c8354"</definedName>
    <definedName name="IQ_BALANCE_GOODS_SAAR_FC" hidden="1">"c7694"</definedName>
    <definedName name="IQ_BALANCE_GOODS_SAAR_POP" hidden="1">"c7034"</definedName>
    <definedName name="IQ_BALANCE_GOODS_SAAR_POP_FC" hidden="1">"c7914"</definedName>
    <definedName name="IQ_BALANCE_GOODS_SAAR_USD_APR_FC" hidden="1">"c11762"</definedName>
    <definedName name="IQ_BALANCE_GOODS_SAAR_USD_FC" hidden="1">"c11759"</definedName>
    <definedName name="IQ_BALANCE_GOODS_SAAR_USD_POP_FC" hidden="1">"c11760"</definedName>
    <definedName name="IQ_BALANCE_GOODS_SAAR_USD_YOY_FC" hidden="1">"c11761"</definedName>
    <definedName name="IQ_BALANCE_GOODS_SAAR_YOY" hidden="1">"c7254"</definedName>
    <definedName name="IQ_BALANCE_GOODS_SAAR_YOY_FC" hidden="1">"c8134"</definedName>
    <definedName name="IQ_BALANCE_GOODS_UNUSED_UNUSED_UNUSED" hidden="1">"c6813"</definedName>
    <definedName name="IQ_BALANCE_GOODS_USD_APR_FC" hidden="1">"c11758"</definedName>
    <definedName name="IQ_BALANCE_GOODS_USD_FC" hidden="1">"c11755"</definedName>
    <definedName name="IQ_BALANCE_GOODS_USD_POP_FC" hidden="1">"c11756"</definedName>
    <definedName name="IQ_BALANCE_GOODS_USD_YOY_FC" hidden="1">"c11757"</definedName>
    <definedName name="IQ_BALANCE_GOODS_YOY_FC_UNUSED_UNUSED_UNUSED" hidden="1">"c8133"</definedName>
    <definedName name="IQ_BALANCE_GOODS_YOY_UNUSED_UNUSED_UNUSED" hidden="1">"c7253"</definedName>
    <definedName name="IQ_BALANCE_SERV_APR_FC_UNUSED_UNUSED_UNUSED" hidden="1">"c8355"</definedName>
    <definedName name="IQ_BALANCE_SERV_APR_UNUSED_UNUSED_UNUSED" hidden="1">"c7475"</definedName>
    <definedName name="IQ_BALANCE_SERV_FC_UNUSED_UNUSED_UNUSED" hidden="1">"c7695"</definedName>
    <definedName name="IQ_BALANCE_SERV_POP_FC_UNUSED_UNUSED_UNUSED" hidden="1">"c7915"</definedName>
    <definedName name="IQ_BALANCE_SERV_POP_UNUSED_UNUSED_UNUSED" hidden="1">"c7035"</definedName>
    <definedName name="IQ_BALANCE_SERV_SAAR" hidden="1">"c6816"</definedName>
    <definedName name="IQ_BALANCE_SERV_SAAR_APR" hidden="1">"c7476"</definedName>
    <definedName name="IQ_BALANCE_SERV_SAAR_APR_FC" hidden="1">"c8356"</definedName>
    <definedName name="IQ_BALANCE_SERV_SAAR_FC" hidden="1">"c7696"</definedName>
    <definedName name="IQ_BALANCE_SERV_SAAR_POP" hidden="1">"c7036"</definedName>
    <definedName name="IQ_BALANCE_SERV_SAAR_POP_FC" hidden="1">"c7916"</definedName>
    <definedName name="IQ_BALANCE_SERV_SAAR_YOY" hidden="1">"c7256"</definedName>
    <definedName name="IQ_BALANCE_SERV_SAAR_YOY_FC" hidden="1">"c8136"</definedName>
    <definedName name="IQ_BALANCE_SERV_UNUSED_UNUSED_UNUSED" hidden="1">"c6815"</definedName>
    <definedName name="IQ_BALANCE_SERV_USD_APR_FC" hidden="1">"c11766"</definedName>
    <definedName name="IQ_BALANCE_SERV_USD_FC" hidden="1">"c11763"</definedName>
    <definedName name="IQ_BALANCE_SERV_USD_POP_FC" hidden="1">"c11764"</definedName>
    <definedName name="IQ_BALANCE_SERV_USD_YOY_FC" hidden="1">"c11765"</definedName>
    <definedName name="IQ_BALANCE_SERV_YOY_FC_UNUSED_UNUSED_UNUSED" hidden="1">"c8135"</definedName>
    <definedName name="IQ_BALANCE_SERV_YOY_UNUSED_UNUSED_UNUSED" hidden="1">"c7255"</definedName>
    <definedName name="IQ_BALANCE_SERVICES_REAL" hidden="1">"c6954"</definedName>
    <definedName name="IQ_BALANCE_SERVICES_REAL_APR" hidden="1">"c7614"</definedName>
    <definedName name="IQ_BALANCE_SERVICES_REAL_APR_FC" hidden="1">"c8494"</definedName>
    <definedName name="IQ_BALANCE_SERVICES_REAL_FC" hidden="1">"c7834"</definedName>
    <definedName name="IQ_BALANCE_SERVICES_REAL_POP" hidden="1">"c7174"</definedName>
    <definedName name="IQ_BALANCE_SERVICES_REAL_POP_FC" hidden="1">"c8054"</definedName>
    <definedName name="IQ_BALANCE_SERVICES_REAL_SAAR" hidden="1">"c6955"</definedName>
    <definedName name="IQ_BALANCE_SERVICES_REAL_SAAR_APR" hidden="1">"c7615"</definedName>
    <definedName name="IQ_BALANCE_SERVICES_REAL_SAAR_APR_FC" hidden="1">"c8495"</definedName>
    <definedName name="IQ_BALANCE_SERVICES_REAL_SAAR_FC" hidden="1">"c7835"</definedName>
    <definedName name="IQ_BALANCE_SERVICES_REAL_SAAR_POP" hidden="1">"c7175"</definedName>
    <definedName name="IQ_BALANCE_SERVICES_REAL_SAAR_POP_FC" hidden="1">"c8055"</definedName>
    <definedName name="IQ_BALANCE_SERVICES_REAL_SAAR_YOY" hidden="1">"c7395"</definedName>
    <definedName name="IQ_BALANCE_SERVICES_REAL_SAAR_YOY_FC" hidden="1">"c8275"</definedName>
    <definedName name="IQ_BALANCE_SERVICES_REAL_USD_APR_FC" hidden="1">"c11897"</definedName>
    <definedName name="IQ_BALANCE_SERVICES_REAL_USD_FC" hidden="1">"c11894"</definedName>
    <definedName name="IQ_BALANCE_SERVICES_REAL_USD_POP_FC" hidden="1">"c11895"</definedName>
    <definedName name="IQ_BALANCE_SERVICES_REAL_USD_YOY_FC" hidden="1">"c11896"</definedName>
    <definedName name="IQ_BALANCE_SERVICES_REAL_YOY" hidden="1">"c7394"</definedName>
    <definedName name="IQ_BALANCE_SERVICES_REAL_YOY_FC" hidden="1">"c8274"</definedName>
    <definedName name="IQ_BALANCE_TRADE_APR_FC_UNUSED_UNUSED_UNUSED" hidden="1">"c8357"</definedName>
    <definedName name="IQ_BALANCE_TRADE_APR_UNUSED_UNUSED_UNUSED" hidden="1">"c7477"</definedName>
    <definedName name="IQ_BALANCE_TRADE_FC_UNUSED_UNUSED_UNUSED" hidden="1">"c7697"</definedName>
    <definedName name="IQ_BALANCE_TRADE_POP_FC_UNUSED_UNUSED_UNUSED" hidden="1">"c7917"</definedName>
    <definedName name="IQ_BALANCE_TRADE_POP_UNUSED_UNUSED_UNUSED" hidden="1">"c7037"</definedName>
    <definedName name="IQ_BALANCE_TRADE_REAL" hidden="1">"c6956"</definedName>
    <definedName name="IQ_BALANCE_TRADE_REAL_APR" hidden="1">"c7616"</definedName>
    <definedName name="IQ_BALANCE_TRADE_REAL_APR_FC" hidden="1">"c8496"</definedName>
    <definedName name="IQ_BALANCE_TRADE_REAL_FC" hidden="1">"c7836"</definedName>
    <definedName name="IQ_BALANCE_TRADE_REAL_POP" hidden="1">"c7176"</definedName>
    <definedName name="IQ_BALANCE_TRADE_REAL_POP_FC" hidden="1">"c8056"</definedName>
    <definedName name="IQ_BALANCE_TRADE_REAL_SAAR" hidden="1">"c6957"</definedName>
    <definedName name="IQ_BALANCE_TRADE_REAL_SAAR_APR" hidden="1">"c7617"</definedName>
    <definedName name="IQ_BALANCE_TRADE_REAL_SAAR_APR_FC" hidden="1">"c8497"</definedName>
    <definedName name="IQ_BALANCE_TRADE_REAL_SAAR_FC" hidden="1">"c7837"</definedName>
    <definedName name="IQ_BALANCE_TRADE_REAL_SAAR_POP" hidden="1">"c7177"</definedName>
    <definedName name="IQ_BALANCE_TRADE_REAL_SAAR_POP_FC" hidden="1">"c8057"</definedName>
    <definedName name="IQ_BALANCE_TRADE_REAL_SAAR_USD_APR_FC" hidden="1">"c11905"</definedName>
    <definedName name="IQ_BALANCE_TRADE_REAL_SAAR_USD_FC" hidden="1">"c11902"</definedName>
    <definedName name="IQ_BALANCE_TRADE_REAL_SAAR_USD_POP_FC" hidden="1">"c11903"</definedName>
    <definedName name="IQ_BALANCE_TRADE_REAL_SAAR_USD_YOY_FC" hidden="1">"c11904"</definedName>
    <definedName name="IQ_BALANCE_TRADE_REAL_SAAR_YOY" hidden="1">"c7397"</definedName>
    <definedName name="IQ_BALANCE_TRADE_REAL_SAAR_YOY_FC" hidden="1">"c8277"</definedName>
    <definedName name="IQ_BALANCE_TRADE_REAL_USD_APR_FC" hidden="1">"c11901"</definedName>
    <definedName name="IQ_BALANCE_TRADE_REAL_USD_FC" hidden="1">"c11898"</definedName>
    <definedName name="IQ_BALANCE_TRADE_REAL_USD_POP_FC" hidden="1">"c11899"</definedName>
    <definedName name="IQ_BALANCE_TRADE_REAL_USD_YOY_FC" hidden="1">"c11900"</definedName>
    <definedName name="IQ_BALANCE_TRADE_REAL_YOY" hidden="1">"c7396"</definedName>
    <definedName name="IQ_BALANCE_TRADE_REAL_YOY_FC" hidden="1">"c8276"</definedName>
    <definedName name="IQ_BALANCE_TRADE_SAAR" hidden="1">"c6818"</definedName>
    <definedName name="IQ_BALANCE_TRADE_SAAR_APR" hidden="1">"c7478"</definedName>
    <definedName name="IQ_BALANCE_TRADE_SAAR_APR_FC" hidden="1">"c8358"</definedName>
    <definedName name="IQ_BALANCE_TRADE_SAAR_FC" hidden="1">"c7698"</definedName>
    <definedName name="IQ_BALANCE_TRADE_SAAR_POP" hidden="1">"c7038"</definedName>
    <definedName name="IQ_BALANCE_TRADE_SAAR_POP_FC" hidden="1">"c7918"</definedName>
    <definedName name="IQ_BALANCE_TRADE_SAAR_USD_APR_FC" hidden="1">"c11774"</definedName>
    <definedName name="IQ_BALANCE_TRADE_SAAR_USD_FC" hidden="1">"c11771"</definedName>
    <definedName name="IQ_BALANCE_TRADE_SAAR_USD_POP_FC" hidden="1">"c11772"</definedName>
    <definedName name="IQ_BALANCE_TRADE_SAAR_USD_YOY_FC" hidden="1">"c11773"</definedName>
    <definedName name="IQ_BALANCE_TRADE_SAAR_YOY" hidden="1">"c7258"</definedName>
    <definedName name="IQ_BALANCE_TRADE_SAAR_YOY_FC" hidden="1">"c8138"</definedName>
    <definedName name="IQ_BALANCE_TRADE_UNUSED_UNUSED_UNUSED" hidden="1">"c6817"</definedName>
    <definedName name="IQ_BALANCE_TRADE_USD_APR_FC" hidden="1">"c11770"</definedName>
    <definedName name="IQ_BALANCE_TRADE_USD_FC" hidden="1">"c11767"</definedName>
    <definedName name="IQ_BALANCE_TRADE_USD_POP_FC" hidden="1">"c11768"</definedName>
    <definedName name="IQ_BALANCE_TRADE_USD_YOY_FC" hidden="1">"c11769"</definedName>
    <definedName name="IQ_BALANCE_TRADE_YOY_FC_UNUSED_UNUSED_UNUSED" hidden="1">"c8137"</definedName>
    <definedName name="IQ_BALANCE_TRADE_YOY_UNUSED_UNUSED_UNUSED" hidden="1">"c7257"</definedName>
    <definedName name="IQ_BALANCES_DUE_DEPOSITORY_INSTITUTIONS_FDIC" hidden="1">"c6389"</definedName>
    <definedName name="IQ_BALANCES_DUE_FOREIGN_FDIC" hidden="1">"c6391"</definedName>
    <definedName name="IQ_BALANCES_DUE_FRB_FDIC" hidden="1">"c6393"</definedName>
    <definedName name="IQ_BANK_BENEFICIARY_FDIC" hidden="1">"c6505"</definedName>
    <definedName name="IQ_BANK_DEBT" hidden="1">"c2544"</definedName>
    <definedName name="IQ_BANK_DEBT_PCT" hidden="1">"c2545"</definedName>
    <definedName name="IQ_BANK_GUARANTOR_FDIC" hidden="1">"c6506"</definedName>
    <definedName name="IQ_BANK_PREMISES_FDIC" hidden="1">"c6329"</definedName>
    <definedName name="IQ_BANK_SECURITIZATION_1_4_FAMILY_LOANS_FDIC" hidden="1">"c6721"</definedName>
    <definedName name="IQ_BANK_SECURITIZATION_AUTO_LOANS_FDIC" hidden="1">"c6715"</definedName>
    <definedName name="IQ_BANK_SECURITIZATION_CL_LOANS_FDIC" hidden="1">"c6716"</definedName>
    <definedName name="IQ_BANK_SECURITIZATION_CREDIT_CARDS_RECEIVABLES_FDIC" hidden="1">"c6718"</definedName>
    <definedName name="IQ_BANK_SECURITIZATION_HOME_EQUITY_LINES_FDIC" hidden="1">"c6719"</definedName>
    <definedName name="IQ_BANK_SECURITIZATION_OTHER_CONSUMER_LOANS_FDIC" hidden="1">"c6717"</definedName>
    <definedName name="IQ_BANK_SECURITIZATION_OTHER_LOANS_FDIC" hidden="1">"c6720"</definedName>
    <definedName name="IQ_BANKS_FOREIGN_COUNTRIES_TOTAL_DEPOSITS_FDIC" hidden="1">"c6475"</definedName>
    <definedName name="IQ_BASIC_EPS_EXCL" hidden="1">"c85"</definedName>
    <definedName name="IQ_BASIC_EPS_INCL" hidden="1">"c86"</definedName>
    <definedName name="IQ_BASIC_NORMAL_EPS" hidden="1">"c1592"</definedName>
    <definedName name="IQ_BASIC_WEIGHT" hidden="1">"c87"</definedName>
    <definedName name="IQ_BENCHMARK_SECURITY" hidden="1">"c2154"</definedName>
    <definedName name="IQ_BENCHMARK_SPRD" hidden="1">"c2153"</definedName>
    <definedName name="IQ_BENCHMARK_YIELD" hidden="1">"c8955"</definedName>
    <definedName name="IQ_BETA" hidden="1">"c2133"</definedName>
    <definedName name="IQ_BETA_1YR" hidden="1">"c1966"</definedName>
    <definedName name="IQ_BETA_1YR_RSQ" hidden="1">"c2132"</definedName>
    <definedName name="IQ_BETA_2YR" hidden="1">"c1965"</definedName>
    <definedName name="IQ_BETA_2YR_RSQ" hidden="1">"c2131"</definedName>
    <definedName name="IQ_BETA_5YR" hidden="1">"c88"</definedName>
    <definedName name="IQ_BETA_5YR_RSQ" hidden="1">"c2130"</definedName>
    <definedName name="IQ_BIG_INT_BEAR_CD" hidden="1">"c11749"</definedName>
    <definedName name="IQ_BOARD_MEMBER" hidden="1">"c96"</definedName>
    <definedName name="IQ_BOARD_MEMBER_BACKGROUND" hidden="1">"c2101"</definedName>
    <definedName name="IQ_BOARD_MEMBER_TITLE" hidden="1">"c97"</definedName>
    <definedName name="IQ_BOND_COUPON" hidden="1">"c2183"</definedName>
    <definedName name="IQ_BOND_COUPON_TYPE" hidden="1">"c2184"</definedName>
    <definedName name="IQ_BOND_PRICE" hidden="1">"c2162"</definedName>
    <definedName name="IQ_BROK_COMISSION" hidden="1">"c98"</definedName>
    <definedName name="IQ_BROK_COMMISSION" hidden="1">"c3514"</definedName>
    <definedName name="IQ_BROKERED_DEPOSITS_FDIC" hidden="1">"c6486"</definedName>
    <definedName name="IQ_BUDGET_BALANCE_APR_FC_UNUSED_UNUSED_UNUSED" hidden="1">"c8359"</definedName>
    <definedName name="IQ_BUDGET_BALANCE_APR_UNUSED_UNUSED_UNUSED" hidden="1">"c7479"</definedName>
    <definedName name="IQ_BUDGET_BALANCE_FC_UNUSED_UNUSED_UNUSED" hidden="1">"c7699"</definedName>
    <definedName name="IQ_BUDGET_BALANCE_POP_FC_UNUSED_UNUSED_UNUSED" hidden="1">"c7919"</definedName>
    <definedName name="IQ_BUDGET_BALANCE_POP_UNUSED_UNUSED_UNUSED" hidden="1">"c7039"</definedName>
    <definedName name="IQ_BUDGET_BALANCE_SAAR" hidden="1">"c6820"</definedName>
    <definedName name="IQ_BUDGET_BALANCE_SAAR_APR" hidden="1">"c7480"</definedName>
    <definedName name="IQ_BUDGET_BALANCE_SAAR_APR_FC" hidden="1">"c8360"</definedName>
    <definedName name="IQ_BUDGET_BALANCE_SAAR_FC" hidden="1">"c7700"</definedName>
    <definedName name="IQ_BUDGET_BALANCE_SAAR_POP" hidden="1">"c7040"</definedName>
    <definedName name="IQ_BUDGET_BALANCE_SAAR_POP_FC" hidden="1">"c7920"</definedName>
    <definedName name="IQ_BUDGET_BALANCE_SAAR_YOY" hidden="1">"c7260"</definedName>
    <definedName name="IQ_BUDGET_BALANCE_SAAR_YOY_FC" hidden="1">"c8140"</definedName>
    <definedName name="IQ_BUDGET_BALANCE_UNUSED_UNUSED_UNUSED" hidden="1">"c6819"</definedName>
    <definedName name="IQ_BUDGET_BALANCE_YOY_FC_UNUSED_UNUSED_UNUSED" hidden="1">"c8139"</definedName>
    <definedName name="IQ_BUDGET_BALANCE_YOY_UNUSED_UNUSED_UNUSED" hidden="1">"c7259"</definedName>
    <definedName name="IQ_BUDGET_RECEIPTS_APR_FC_UNUSED_UNUSED_UNUSED" hidden="1">"c8361"</definedName>
    <definedName name="IQ_BUDGET_RECEIPTS_APR_UNUSED_UNUSED_UNUSED" hidden="1">"c7481"</definedName>
    <definedName name="IQ_BUDGET_RECEIPTS_FC_UNUSED_UNUSED_UNUSED" hidden="1">"c7701"</definedName>
    <definedName name="IQ_BUDGET_RECEIPTS_POP_FC_UNUSED_UNUSED_UNUSED" hidden="1">"c7921"</definedName>
    <definedName name="IQ_BUDGET_RECEIPTS_POP_UNUSED_UNUSED_UNUSED" hidden="1">"c7041"</definedName>
    <definedName name="IQ_BUDGET_RECEIPTS_UNUSED_UNUSED_UNUSED" hidden="1">"c6821"</definedName>
    <definedName name="IQ_BUDGET_RECEIPTS_YOY_FC_UNUSED_UNUSED_UNUSED" hidden="1">"c8141"</definedName>
    <definedName name="IQ_BUDGET_RECEIPTS_YOY_UNUSED_UNUSED_UNUSED" hidden="1">"c7261"</definedName>
    <definedName name="IQ_BUDGET_SPENDING" hidden="1">"c6822"</definedName>
    <definedName name="IQ_BUDGET_SPENDING_APR" hidden="1">"c7482"</definedName>
    <definedName name="IQ_BUDGET_SPENDING_APR_FC" hidden="1">"c8362"</definedName>
    <definedName name="IQ_BUDGET_SPENDING_FC" hidden="1">"c7702"</definedName>
    <definedName name="IQ_BUDGET_SPENDING_POP" hidden="1">"c7042"</definedName>
    <definedName name="IQ_BUDGET_SPENDING_POP_FC" hidden="1">"c7922"</definedName>
    <definedName name="IQ_BUDGET_SPENDING_REAL" hidden="1">"c6958"</definedName>
    <definedName name="IQ_BUDGET_SPENDING_REAL_APR" hidden="1">"c7618"</definedName>
    <definedName name="IQ_BUDGET_SPENDING_REAL_APR_FC" hidden="1">"c8498"</definedName>
    <definedName name="IQ_BUDGET_SPENDING_REAL_FC" hidden="1">"c7838"</definedName>
    <definedName name="IQ_BUDGET_SPENDING_REAL_POP" hidden="1">"c7178"</definedName>
    <definedName name="IQ_BUDGET_SPENDING_REAL_POP_FC" hidden="1">"c8058"</definedName>
    <definedName name="IQ_BUDGET_SPENDING_REAL_SAAR" hidden="1">"c6959"</definedName>
    <definedName name="IQ_BUDGET_SPENDING_REAL_SAAR_APR" hidden="1">"c7619"</definedName>
    <definedName name="IQ_BUDGET_SPENDING_REAL_SAAR_APR_FC" hidden="1">"c8499"</definedName>
    <definedName name="IQ_BUDGET_SPENDING_REAL_SAAR_FC" hidden="1">"c7839"</definedName>
    <definedName name="IQ_BUDGET_SPENDING_REAL_SAAR_POP" hidden="1">"c7179"</definedName>
    <definedName name="IQ_BUDGET_SPENDING_REAL_SAAR_POP_FC" hidden="1">"c8059"</definedName>
    <definedName name="IQ_BUDGET_SPENDING_REAL_SAAR_USD" hidden="1">"c11906"</definedName>
    <definedName name="IQ_BUDGET_SPENDING_REAL_SAAR_USD_APR" hidden="1">"c11909"</definedName>
    <definedName name="IQ_BUDGET_SPENDING_REAL_SAAR_USD_POP" hidden="1">"c11907"</definedName>
    <definedName name="IQ_BUDGET_SPENDING_REAL_SAAR_USD_YOY" hidden="1">"c11908"</definedName>
    <definedName name="IQ_BUDGET_SPENDING_REAL_SAAR_YOY" hidden="1">"c7399"</definedName>
    <definedName name="IQ_BUDGET_SPENDING_REAL_SAAR_YOY_FC" hidden="1">"c8279"</definedName>
    <definedName name="IQ_BUDGET_SPENDING_REAL_YOY" hidden="1">"c7398"</definedName>
    <definedName name="IQ_BUDGET_SPENDING_REAL_YOY_FC" hidden="1">"c8278"</definedName>
    <definedName name="IQ_BUDGET_SPENDING_SAAR" hidden="1">"c6823"</definedName>
    <definedName name="IQ_BUDGET_SPENDING_SAAR_APR" hidden="1">"c7483"</definedName>
    <definedName name="IQ_BUDGET_SPENDING_SAAR_APR_FC" hidden="1">"c8363"</definedName>
    <definedName name="IQ_BUDGET_SPENDING_SAAR_FC" hidden="1">"c7703"</definedName>
    <definedName name="IQ_BUDGET_SPENDING_SAAR_POP" hidden="1">"c7043"</definedName>
    <definedName name="IQ_BUDGET_SPENDING_SAAR_POP_FC" hidden="1">"c7923"</definedName>
    <definedName name="IQ_BUDGET_SPENDING_SAAR_USD_APR_FC" hidden="1">"c11782"</definedName>
    <definedName name="IQ_BUDGET_SPENDING_SAAR_USD_FC" hidden="1">"c11779"</definedName>
    <definedName name="IQ_BUDGET_SPENDING_SAAR_USD_POP_FC" hidden="1">"c11780"</definedName>
    <definedName name="IQ_BUDGET_SPENDING_SAAR_USD_YOY_FC" hidden="1">"c11781"</definedName>
    <definedName name="IQ_BUDGET_SPENDING_SAAR_YOY" hidden="1">"c7263"</definedName>
    <definedName name="IQ_BUDGET_SPENDING_SAAR_YOY_FC" hidden="1">"c8143"</definedName>
    <definedName name="IQ_BUDGET_SPENDING_USD_APR_FC" hidden="1">"c11778"</definedName>
    <definedName name="IQ_BUDGET_SPENDING_USD_FC" hidden="1">"c11775"</definedName>
    <definedName name="IQ_BUDGET_SPENDING_USD_POP_FC" hidden="1">"c11776"</definedName>
    <definedName name="IQ_BUDGET_SPENDING_USD_YOY_FC" hidden="1">"c11777"</definedName>
    <definedName name="IQ_BUDGET_SPENDING_YOY" hidden="1">"c7262"</definedName>
    <definedName name="IQ_BUDGET_SPENDING_YOY_FC" hidden="1">"c8142"</definedName>
    <definedName name="IQ_BUILDINGS" hidden="1">"c99"</definedName>
    <definedName name="IQ_BUS_SEG_ASSETS" hidden="1">"c4067"</definedName>
    <definedName name="IQ_BUS_SEG_ASSETS_ABS" hidden="1">"c4089"</definedName>
    <definedName name="IQ_BUS_SEG_ASSETS_TOTAL" hidden="1">"c4112"</definedName>
    <definedName name="IQ_BUS_SEG_CAPEX" hidden="1">"c4079"</definedName>
    <definedName name="IQ_BUS_SEG_CAPEX_ABS" hidden="1">"c4101"</definedName>
    <definedName name="IQ_BUS_SEG_CAPEX_TOTAL" hidden="1">"c4116"</definedName>
    <definedName name="IQ_BUS_SEG_DA" hidden="1">"c4078"</definedName>
    <definedName name="IQ_BUS_SEG_DA_ABS" hidden="1">"c4100"</definedName>
    <definedName name="IQ_BUS_SEG_DA_TOTAL" hidden="1">"c4115"</definedName>
    <definedName name="IQ_BUS_SEG_EARNINGS_OP" hidden="1">"c4063"</definedName>
    <definedName name="IQ_BUS_SEG_EARNINGS_OP_ABS" hidden="1">"c4085"</definedName>
    <definedName name="IQ_BUS_SEG_EARNINGS_OP_TOTAL" hidden="1">"c4108"</definedName>
    <definedName name="IQ_BUS_SEG_EBT" hidden="1">"c4064"</definedName>
    <definedName name="IQ_BUS_SEG_EBT_ABS" hidden="1">"c4086"</definedName>
    <definedName name="IQ_BUS_SEG_EBT_TOTAL" hidden="1">"c4110"</definedName>
    <definedName name="IQ_BUS_SEG_GP" hidden="1">"c4066"</definedName>
    <definedName name="IQ_BUS_SEG_GP_ABS" hidden="1">"c4088"</definedName>
    <definedName name="IQ_BUS_SEG_GP_TOTAL" hidden="1">"c4109"</definedName>
    <definedName name="IQ_BUS_SEG_INC_TAX" hidden="1">"c4077"</definedName>
    <definedName name="IQ_BUS_SEG_INC_TAX_ABS" hidden="1">"c4099"</definedName>
    <definedName name="IQ_BUS_SEG_INC_TAX_TOTAL" hidden="1">"c4114"</definedName>
    <definedName name="IQ_BUS_SEG_INTEREST_EXP" hidden="1">"c4076"</definedName>
    <definedName name="IQ_BUS_SEG_INTEREST_EXP_ABS" hidden="1">"c4098"</definedName>
    <definedName name="IQ_BUS_SEG_INTEREST_EXP_TOTAL" hidden="1">"c4113"</definedName>
    <definedName name="IQ_BUS_SEG_NAME" hidden="1">"c5482"</definedName>
    <definedName name="IQ_BUS_SEG_NAME_ABS" hidden="1">"c5483"</definedName>
    <definedName name="IQ_BUS_SEG_NI" hidden="1">"c4065"</definedName>
    <definedName name="IQ_BUS_SEG_NI_ABS" hidden="1">"c4087"</definedName>
    <definedName name="IQ_BUS_SEG_NI_TOTAL" hidden="1">"c4111"</definedName>
    <definedName name="IQ_BUS_SEG_OPER_INC" hidden="1">"c4062"</definedName>
    <definedName name="IQ_BUS_SEG_OPER_INC_ABS" hidden="1">"c4084"</definedName>
    <definedName name="IQ_BUS_SEG_OPER_INC_TOTAL" hidden="1">"c4107"</definedName>
    <definedName name="IQ_BUS_SEG_REV" hidden="1">"c4068"</definedName>
    <definedName name="IQ_BUS_SEG_REV_ABS" hidden="1">"c4090"</definedName>
    <definedName name="IQ_BUS_SEG_REV_TOTAL" hidden="1">"c4106"</definedName>
    <definedName name="IQ_BUSINESS_DESCRIPTION" hidden="1">"c322"</definedName>
    <definedName name="IQ_BV_ACT_OR_EST_CIQ" hidden="1">"c5068"</definedName>
    <definedName name="IQ_BV_OVER_SHARES" hidden="1">"c1349"</definedName>
    <definedName name="IQ_BV_SHARE" hidden="1">"c100"</definedName>
    <definedName name="IQ_CA_AP" hidden="1">"c8881"</definedName>
    <definedName name="IQ_CA_AP_ABS" hidden="1">"c8900"</definedName>
    <definedName name="IQ_CA_NAME_AP" hidden="1">"c8919"</definedName>
    <definedName name="IQ_CA_NAME_AP_ABS" hidden="1">"c8938"</definedName>
    <definedName name="IQ_CABLE_ARPU" hidden="1">"c2869"</definedName>
    <definedName name="IQ_CABLE_ARPU_ANALOG" hidden="1">"c2864"</definedName>
    <definedName name="IQ_CABLE_ARPU_BASIC" hidden="1">"c2866"</definedName>
    <definedName name="IQ_CABLE_ARPU_BBAND" hidden="1">"c2867"</definedName>
    <definedName name="IQ_CABLE_ARPU_DIG" hidden="1">"c2865"</definedName>
    <definedName name="IQ_CABLE_ARPU_PHONE" hidden="1">"c2868"</definedName>
    <definedName name="IQ_CABLE_BASIC_PENETRATION" hidden="1">"c2850"</definedName>
    <definedName name="IQ_CABLE_BBAND_PENETRATION" hidden="1">"c2852"</definedName>
    <definedName name="IQ_CABLE_BBAND_PENETRATION_THP" hidden="1">"c2851"</definedName>
    <definedName name="IQ_CABLE_CHURN" hidden="1">"c2874"</definedName>
    <definedName name="IQ_CABLE_CHURN_BASIC" hidden="1">"c2871"</definedName>
    <definedName name="IQ_CABLE_CHURN_BBAND" hidden="1">"c2872"</definedName>
    <definedName name="IQ_CABLE_CHURN_DIG" hidden="1">"c2870"</definedName>
    <definedName name="IQ_CABLE_CHURN_PHONE" hidden="1">"c2873"</definedName>
    <definedName name="IQ_CABLE_HOMES_PER_MILE" hidden="1">"c2849"</definedName>
    <definedName name="IQ_CABLE_HP_BBAND" hidden="1">"c2845"</definedName>
    <definedName name="IQ_CABLE_HP_DIG" hidden="1">"c2844"</definedName>
    <definedName name="IQ_CABLE_HP_PHONE" hidden="1">"c2846"</definedName>
    <definedName name="IQ_CABLE_MILES_PASSED" hidden="1">"c2848"</definedName>
    <definedName name="IQ_CABLE_OTHER_REV" hidden="1">"c2882"</definedName>
    <definedName name="IQ_CABLE_PHONE_PENETRATION" hidden="1">"c2853"</definedName>
    <definedName name="IQ_CABLE_PROGRAMMING_COSTS" hidden="1">"c2884"</definedName>
    <definedName name="IQ_CABLE_REV_ADVERT" hidden="1">"c2880"</definedName>
    <definedName name="IQ_CABLE_REV_ANALOG" hidden="1">"c2875"</definedName>
    <definedName name="IQ_CABLE_REV_BASIC" hidden="1">"c2877"</definedName>
    <definedName name="IQ_CABLE_REV_BBAND" hidden="1">"c2878"</definedName>
    <definedName name="IQ_CABLE_REV_COMMERCIAL" hidden="1">"c2881"</definedName>
    <definedName name="IQ_CABLE_REV_DIG" hidden="1">"c2876"</definedName>
    <definedName name="IQ_CABLE_REV_PHONE" hidden="1">"c2879"</definedName>
    <definedName name="IQ_CABLE_RGU" hidden="1">"c2863"</definedName>
    <definedName name="IQ_CABLE_SUBS_ANALOG" hidden="1">"c2855"</definedName>
    <definedName name="IQ_CABLE_SUBS_BASIC" hidden="1">"c2857"</definedName>
    <definedName name="IQ_CABLE_SUBS_BBAND" hidden="1">"c2858"</definedName>
    <definedName name="IQ_CABLE_SUBS_BUNDLED" hidden="1">"c2861"</definedName>
    <definedName name="IQ_CABLE_SUBS_DIG" hidden="1">"c2856"</definedName>
    <definedName name="IQ_CABLE_SUBS_NON_VIDEO" hidden="1">"c2860"</definedName>
    <definedName name="IQ_CABLE_SUBS_PHONE" hidden="1">"c2859"</definedName>
    <definedName name="IQ_CABLE_SUBS_TOTAL" hidden="1">"c2862"</definedName>
    <definedName name="IQ_CABLE_THP" hidden="1">"c2847"</definedName>
    <definedName name="IQ_CABLE_TOTAL_PENETRATION" hidden="1">"c2854"</definedName>
    <definedName name="IQ_CABLE_TOTAL_REV" hidden="1">"c2883"</definedName>
    <definedName name="IQ_CAL_Q" hidden="1">"c101"</definedName>
    <definedName name="IQ_CAL_Q_EST" hidden="1">"c6796"</definedName>
    <definedName name="IQ_CAL_Q_EST_CIQ" hidden="1">"c6808"</definedName>
    <definedName name="IQ_CAL_Y" hidden="1">"c102"</definedName>
    <definedName name="IQ_CAL_Y_EST" hidden="1">"c6797"</definedName>
    <definedName name="IQ_CAL_Y_EST_CIQ" hidden="1">"c6809"</definedName>
    <definedName name="IQ_CALC_TYPE_BS" hidden="1">"c3086"</definedName>
    <definedName name="IQ_CALC_TYPE_CF" hidden="1">"c3085"</definedName>
    <definedName name="IQ_CALC_TYPE_IS" hidden="1">"c3084"</definedName>
    <definedName name="IQ_CALL_DATE_SCHEDULE" hidden="1">"c2481"</definedName>
    <definedName name="IQ_CALL_FEATURE" hidden="1">"c2197"</definedName>
    <definedName name="IQ_CALL_PRICE_SCHEDULE" hidden="1">"c2482"</definedName>
    <definedName name="IQ_CALLABLE" hidden="1">"c2196"</definedName>
    <definedName name="IQ_CAP_LOSS_CF_1YR" hidden="1">"c3474"</definedName>
    <definedName name="IQ_CAP_LOSS_CF_2YR" hidden="1">"c3475"</definedName>
    <definedName name="IQ_CAP_LOSS_CF_3YR" hidden="1">"c3476"</definedName>
    <definedName name="IQ_CAP_LOSS_CF_4YR" hidden="1">"c3477"</definedName>
    <definedName name="IQ_CAP_LOSS_CF_5YR" hidden="1">"c3478"</definedName>
    <definedName name="IQ_CAP_LOSS_CF_AFTER_FIVE" hidden="1">"c3479"</definedName>
    <definedName name="IQ_CAP_LOSS_CF_MAX_YEAR" hidden="1">"c3482"</definedName>
    <definedName name="IQ_CAP_LOSS_CF_NO_EXP" hidden="1">"c3480"</definedName>
    <definedName name="IQ_CAP_LOSS_CF_TOTAL" hidden="1">"c3481"</definedName>
    <definedName name="IQ_CAP_UTIL_RATE" hidden="1">"c6824"</definedName>
    <definedName name="IQ_CAP_UTIL_RATE_POP" hidden="1">"c7044"</definedName>
    <definedName name="IQ_CAP_UTIL_RATE_YOY" hidden="1">"c7264"</definedName>
    <definedName name="IQ_CAPEX" hidden="1">"c103"</definedName>
    <definedName name="IQ_CAPEX_10YR_ANN_CAGR" hidden="1">"c6050"</definedName>
    <definedName name="IQ_CAPEX_10YR_ANN_GROWTH" hidden="1">"c104"</definedName>
    <definedName name="IQ_CAPEX_1YR_ANN_GROWTH" hidden="1">"c105"</definedName>
    <definedName name="IQ_CAPEX_2YR_ANN_CAGR" hidden="1">"c6051"</definedName>
    <definedName name="IQ_CAPEX_2YR_ANN_GROWTH" hidden="1">"c106"</definedName>
    <definedName name="IQ_CAPEX_3YR_ANN_CAGR" hidden="1">"c6052"</definedName>
    <definedName name="IQ_CAPEX_3YR_ANN_GROWTH" hidden="1">"c107"</definedName>
    <definedName name="IQ_CAPEX_5YR_ANN_CAGR" hidden="1">"c6053"</definedName>
    <definedName name="IQ_CAPEX_5YR_ANN_GROWTH" hidden="1">"c108"</definedName>
    <definedName name="IQ_CAPEX_7YR_ANN_CAGR" hidden="1">"c6054"</definedName>
    <definedName name="IQ_CAPEX_7YR_ANN_GROWTH" hidden="1">"c109"</definedName>
    <definedName name="IQ_CAPEX_BNK" hidden="1">"c110"</definedName>
    <definedName name="IQ_CAPEX_BR" hidden="1">"c111"</definedName>
    <definedName name="IQ_CAPEX_FIN" hidden="1">"c112"</definedName>
    <definedName name="IQ_CAPEX_INS" hidden="1">"c113"</definedName>
    <definedName name="IQ_CAPEX_UTI" hidden="1">"c114"</definedName>
    <definedName name="IQ_CAPITAL_LEASE" hidden="1">"c1350"</definedName>
    <definedName name="IQ_CAPITAL_LEASES" hidden="1">"c115"</definedName>
    <definedName name="IQ_CAPITAL_LEASES_TOTAL" hidden="1">"c3031"</definedName>
    <definedName name="IQ_CAPITAL_LEASES_TOTAL_PCT" hidden="1">"c2506"</definedName>
    <definedName name="IQ_CAPITAL_RAISED_PERIOD_COVERED" hidden="1">"c9959"</definedName>
    <definedName name="IQ_CAPITAL_RAISED_PERIOD_GROUP" hidden="1">"c9945"</definedName>
    <definedName name="IQ_CAPITALIZED_INTEREST" hidden="1">"c2076"</definedName>
    <definedName name="IQ_CAPITALIZED_INTEREST_BOP" hidden="1">"c3459"</definedName>
    <definedName name="IQ_CAPITALIZED_INTEREST_EOP" hidden="1">"c3464"</definedName>
    <definedName name="IQ_CAPITALIZED_INTEREST_EXP" hidden="1">"c3461"</definedName>
    <definedName name="IQ_CAPITALIZED_INTEREST_OTHER_ADJ" hidden="1">"c3463"</definedName>
    <definedName name="IQ_CAPITALIZED_INTEREST_WRITE_OFF" hidden="1">"c3462"</definedName>
    <definedName name="IQ_CASH" hidden="1">"c1458"</definedName>
    <definedName name="IQ_CASH_ACQUIRE_CF" hidden="1">"c116"</definedName>
    <definedName name="IQ_CASH_CONVERSION" hidden="1">"c117"</definedName>
    <definedName name="IQ_CASH_COST_ALUM" hidden="1">"c9252"</definedName>
    <definedName name="IQ_CASH_COST_COAL" hidden="1">"c9825"</definedName>
    <definedName name="IQ_CASH_COST_COP" hidden="1">"c9199"</definedName>
    <definedName name="IQ_CASH_COST_DIAM" hidden="1">"c9676"</definedName>
    <definedName name="IQ_CASH_COST_GOLD" hidden="1">"c9037"</definedName>
    <definedName name="IQ_CASH_COST_IRON" hidden="1">"c9411"</definedName>
    <definedName name="IQ_CASH_COST_LEAD" hidden="1">"c9464"</definedName>
    <definedName name="IQ_CASH_COST_MANG" hidden="1">"c9517"</definedName>
    <definedName name="IQ_CASH_COST_MET_COAL" hidden="1">"c9762"</definedName>
    <definedName name="IQ_CASH_COST_MOLYB" hidden="1">"c9729"</definedName>
    <definedName name="IQ_CASH_COST_NICK" hidden="1">"c9305"</definedName>
    <definedName name="IQ_CASH_COST_PLAT" hidden="1">"c9143"</definedName>
    <definedName name="IQ_CASH_COST_SILVER" hidden="1">"c9090"</definedName>
    <definedName name="IQ_CASH_COST_STEAM" hidden="1">"c9792"</definedName>
    <definedName name="IQ_CASH_COST_TITAN" hidden="1">"c9570"</definedName>
    <definedName name="IQ_CASH_COST_URAN" hidden="1">"c9623"</definedName>
    <definedName name="IQ_CASH_COST_ZINC" hidden="1">"c9358"</definedName>
    <definedName name="IQ_CASH_DIVIDENDS_NET_INCOME_FDIC" hidden="1">"c6738"</definedName>
    <definedName name="IQ_CASH_DUE_BANKS" hidden="1">"c1351"</definedName>
    <definedName name="IQ_CASH_EQUIV" hidden="1">"c118"</definedName>
    <definedName name="IQ_CASH_FINAN" hidden="1">"c119"</definedName>
    <definedName name="IQ_CASH_FINAN_AP" hidden="1">"c8890"</definedName>
    <definedName name="IQ_CASH_FINAN_AP_ABS" hidden="1">"c8909"</definedName>
    <definedName name="IQ_CASH_FINAN_NAME_AP" hidden="1">"c8928"</definedName>
    <definedName name="IQ_CASH_FINAN_NAME_AP_ABS" hidden="1">"c8947"</definedName>
    <definedName name="IQ_CASH_FINAN_SUBTOTAL_AP" hidden="1">"c10111"</definedName>
    <definedName name="IQ_CASH_FLOW_ACT_OR_EST_CIQ" hidden="1">"c4566"</definedName>
    <definedName name="IQ_CASH_IN_PROCESS_FDIC" hidden="1">"c6386"</definedName>
    <definedName name="IQ_CASH_INTEREST" hidden="1">"c120"</definedName>
    <definedName name="IQ_CASH_INTEREST_FINAN" hidden="1">"c6295"</definedName>
    <definedName name="IQ_CASH_INTEREST_INVEST" hidden="1">"c6294"</definedName>
    <definedName name="IQ_CASH_INTEREST_OPER" hidden="1">"c6293"</definedName>
    <definedName name="IQ_CASH_INVEST" hidden="1">"c121"</definedName>
    <definedName name="IQ_CASH_INVEST_AP" hidden="1">"c8889"</definedName>
    <definedName name="IQ_CASH_INVEST_AP_ABS" hidden="1">"c8908"</definedName>
    <definedName name="IQ_CASH_INVEST_NAME_AP" hidden="1">"c8927"</definedName>
    <definedName name="IQ_CASH_INVEST_NAME_AP_ABS" hidden="1">"c8946"</definedName>
    <definedName name="IQ_CASH_INVEST_SUBTOTAL_AP" hidden="1">"c8991"</definedName>
    <definedName name="IQ_CASH_OPER" hidden="1">"c122"</definedName>
    <definedName name="IQ_CASH_OPER_ACT_OR_EST_CIQ" hidden="1">"c4576"</definedName>
    <definedName name="IQ_CASH_OPER_AP" hidden="1">"c8888"</definedName>
    <definedName name="IQ_CASH_OPER_AP_ABS" hidden="1">"c8907"</definedName>
    <definedName name="IQ_CASH_OPER_NAME_AP" hidden="1">"c8926"</definedName>
    <definedName name="IQ_CASH_OPER_NAME_AP_ABS" hidden="1">"c8945"</definedName>
    <definedName name="IQ_CASH_OPER_SUBTOTAL_AP" hidden="1">"c8990"</definedName>
    <definedName name="IQ_CASH_OTHER_ADJ_AP" hidden="1">"c8891"</definedName>
    <definedName name="IQ_CASH_OTHER_ADJ_AP_ABS" hidden="1">"c8910"</definedName>
    <definedName name="IQ_CASH_OTHER_ADJ_NAME_AP" hidden="1">"c8929"</definedName>
    <definedName name="IQ_CASH_OTHER_ADJ_NAME_AP_ABS" hidden="1">"c8948"</definedName>
    <definedName name="IQ_CASH_SEGREG" hidden="1">"c123"</definedName>
    <definedName name="IQ_CASH_SHARE" hidden="1">"c1911"</definedName>
    <definedName name="IQ_CASH_ST" hidden="1">"c1355"</definedName>
    <definedName name="IQ_CASH_ST_INVEST" hidden="1">"c124"</definedName>
    <definedName name="IQ_CASH_TAXES" hidden="1">"c125"</definedName>
    <definedName name="IQ_CASH_TAXES_FINAN" hidden="1">"c6292"</definedName>
    <definedName name="IQ_CASH_TAXES_INVEST" hidden="1">"c6291"</definedName>
    <definedName name="IQ_CASH_TAXES_OPER" hidden="1">"c6290"</definedName>
    <definedName name="IQ_CCE_FDIC" hidden="1">"c6296"</definedName>
    <definedName name="IQ_CDS_5YR_CIQID" hidden="1">"c11751"</definedName>
    <definedName name="IQ_CDS_ASK" hidden="1">"c6027"</definedName>
    <definedName name="IQ_CDS_BID" hidden="1">"c6026"</definedName>
    <definedName name="IQ_CDS_CURRENCY" hidden="1">"c6031"</definedName>
    <definedName name="IQ_CDS_EVAL_DATE" hidden="1">"c6029"</definedName>
    <definedName name="IQ_CDS_MID" hidden="1">"c6028"</definedName>
    <definedName name="IQ_CDS_NAME" hidden="1">"c6034"</definedName>
    <definedName name="IQ_CDS_TERM" hidden="1">"c6030"</definedName>
    <definedName name="IQ_CDS_TYPE" hidden="1">"c6025"</definedName>
    <definedName name="IQ_CEDED_AH_EARNED" hidden="1">"c2743"</definedName>
    <definedName name="IQ_CEDED_CLAIM_EXP_INCUR" hidden="1">"c2756"</definedName>
    <definedName name="IQ_CEDED_CLAIM_EXP_PAID" hidden="1">"c2759"</definedName>
    <definedName name="IQ_CEDED_CLAIM_EXP_RES" hidden="1">"c2753"</definedName>
    <definedName name="IQ_CEDED_EARNED" hidden="1">"c2733"</definedName>
    <definedName name="IQ_CEDED_LIFE_EARNED" hidden="1">"c2738"</definedName>
    <definedName name="IQ_CEDED_LIFE_IN_FORCE" hidden="1">"c2768"</definedName>
    <definedName name="IQ_CEDED_PC_EARNED" hidden="1">"c2748"</definedName>
    <definedName name="IQ_CEDED_WRITTEN" hidden="1">"c2727"</definedName>
    <definedName name="IQ_CFO_10YR_ANN_CAGR" hidden="1">"c6055"</definedName>
    <definedName name="IQ_CFO_10YR_ANN_GROWTH" hidden="1">"c126"</definedName>
    <definedName name="IQ_CFO_1YR_ANN_GROWTH" hidden="1">"c127"</definedName>
    <definedName name="IQ_CFO_2YR_ANN_CAGR" hidden="1">"c6056"</definedName>
    <definedName name="IQ_CFO_2YR_ANN_GROWTH" hidden="1">"c128"</definedName>
    <definedName name="IQ_CFO_3YR_ANN_CAGR" hidden="1">"c6057"</definedName>
    <definedName name="IQ_CFO_3YR_ANN_GROWTH" hidden="1">"c129"</definedName>
    <definedName name="IQ_CFO_5YR_ANN_CAGR" hidden="1">"c6058"</definedName>
    <definedName name="IQ_CFO_5YR_ANN_GROWTH" hidden="1">"c130"</definedName>
    <definedName name="IQ_CFO_7YR_ANN_CAGR" hidden="1">"c6059"</definedName>
    <definedName name="IQ_CFO_7YR_ANN_GROWTH" hidden="1">"c131"</definedName>
    <definedName name="IQ_CFO_CURRENT_LIAB" hidden="1">"c132"</definedName>
    <definedName name="IQ_CH" hidden="1">110000</definedName>
    <definedName name="IQ_CHANGE_AP" hidden="1">"c133"</definedName>
    <definedName name="IQ_CHANGE_AP_BNK" hidden="1">"c134"</definedName>
    <definedName name="IQ_CHANGE_AP_BR" hidden="1">"c135"</definedName>
    <definedName name="IQ_CHANGE_AP_FIN" hidden="1">"c136"</definedName>
    <definedName name="IQ_CHANGE_AP_INS" hidden="1">"c137"</definedName>
    <definedName name="IQ_CHANGE_AP_RE" hidden="1">"c6200"</definedName>
    <definedName name="IQ_CHANGE_AP_REIT" hidden="1">"c138"</definedName>
    <definedName name="IQ_CHANGE_AP_UTI" hidden="1">"c139"</definedName>
    <definedName name="IQ_CHANGE_AR" hidden="1">"c140"</definedName>
    <definedName name="IQ_CHANGE_AR_BNK" hidden="1">"c141"</definedName>
    <definedName name="IQ_CHANGE_AR_BR" hidden="1">"c142"</definedName>
    <definedName name="IQ_CHANGE_AR_FIN" hidden="1">"c143"</definedName>
    <definedName name="IQ_CHANGE_AR_INS" hidden="1">"c144"</definedName>
    <definedName name="IQ_CHANGE_AR_RE" hidden="1">"c6201"</definedName>
    <definedName name="IQ_CHANGE_AR_REIT" hidden="1">"c145"</definedName>
    <definedName name="IQ_CHANGE_AR_UTI" hidden="1">"c146"</definedName>
    <definedName name="IQ_CHANGE_DEF_TAX" hidden="1">"c147"</definedName>
    <definedName name="IQ_CHANGE_DEPOSIT_ACCT" hidden="1">"c148"</definedName>
    <definedName name="IQ_CHANGE_INC_TAX" hidden="1">"c149"</definedName>
    <definedName name="IQ_CHANGE_INS_RES_LIAB" hidden="1">"c150"</definedName>
    <definedName name="IQ_CHANGE_INVENT" hidden="1">"c6826"</definedName>
    <definedName name="IQ_CHANGE_INVENT_APR" hidden="1">"c7486"</definedName>
    <definedName name="IQ_CHANGE_INVENT_POP" hidden="1">"c7046"</definedName>
    <definedName name="IQ_CHANGE_INVENT_REAL_APR_FC_UNUSED_UNUSED_UNUSED" hidden="1">"c8500"</definedName>
    <definedName name="IQ_CHANGE_INVENT_REAL_APR_UNUSED_UNUSED_UNUSED" hidden="1">"c7620"</definedName>
    <definedName name="IQ_CHANGE_INVENT_REAL_FC_UNUSED_UNUSED_UNUSED" hidden="1">"c7840"</definedName>
    <definedName name="IQ_CHANGE_INVENT_REAL_POP_FC_UNUSED_UNUSED_UNUSED" hidden="1">"c8060"</definedName>
    <definedName name="IQ_CHANGE_INVENT_REAL_POP_UNUSED_UNUSED_UNUSED" hidden="1">"c7180"</definedName>
    <definedName name="IQ_CHANGE_INVENT_REAL_SAAR" hidden="1">"c6962"</definedName>
    <definedName name="IQ_CHANGE_INVENT_REAL_SAAR_APR" hidden="1">"c7622"</definedName>
    <definedName name="IQ_CHANGE_INVENT_REAL_SAAR_APR_FC" hidden="1">"c8502"</definedName>
    <definedName name="IQ_CHANGE_INVENT_REAL_SAAR_FC" hidden="1">"c7842"</definedName>
    <definedName name="IQ_CHANGE_INVENT_REAL_SAAR_POP" hidden="1">"c7182"</definedName>
    <definedName name="IQ_CHANGE_INVENT_REAL_SAAR_POP_FC" hidden="1">"c8062"</definedName>
    <definedName name="IQ_CHANGE_INVENT_REAL_SAAR_USD_APR_FC" hidden="1">"c11917"</definedName>
    <definedName name="IQ_CHANGE_INVENT_REAL_SAAR_USD_FC" hidden="1">"c11914"</definedName>
    <definedName name="IQ_CHANGE_INVENT_REAL_SAAR_USD_POP_FC" hidden="1">"c11915"</definedName>
    <definedName name="IQ_CHANGE_INVENT_REAL_SAAR_USD_YOY_FC" hidden="1">"c11916"</definedName>
    <definedName name="IQ_CHANGE_INVENT_REAL_SAAR_YOY" hidden="1">"c7402"</definedName>
    <definedName name="IQ_CHANGE_INVENT_REAL_SAAR_YOY_FC" hidden="1">"c8282"</definedName>
    <definedName name="IQ_CHANGE_INVENT_REAL_UNUSED_UNUSED_UNUSED" hidden="1">"c6960"</definedName>
    <definedName name="IQ_CHANGE_INVENT_REAL_USD_APR_FC" hidden="1">"c11913"</definedName>
    <definedName name="IQ_CHANGE_INVENT_REAL_USD_FC" hidden="1">"c11910"</definedName>
    <definedName name="IQ_CHANGE_INVENT_REAL_USD_POP_FC" hidden="1">"c11911"</definedName>
    <definedName name="IQ_CHANGE_INVENT_REAL_USD_YOY_FC" hidden="1">"c11912"</definedName>
    <definedName name="IQ_CHANGE_INVENT_REAL_YOY_FC_UNUSED_UNUSED_UNUSED" hidden="1">"c8280"</definedName>
    <definedName name="IQ_CHANGE_INVENT_REAL_YOY_UNUSED_UNUSED_UNUSED" hidden="1">"c7400"</definedName>
    <definedName name="IQ_CHANGE_INVENT_SAAR" hidden="1">"c6827"</definedName>
    <definedName name="IQ_CHANGE_INVENT_SAAR_APR" hidden="1">"c7487"</definedName>
    <definedName name="IQ_CHANGE_INVENT_SAAR_APR_FC" hidden="1">"c8367"</definedName>
    <definedName name="IQ_CHANGE_INVENT_SAAR_FC" hidden="1">"c7707"</definedName>
    <definedName name="IQ_CHANGE_INVENT_SAAR_POP" hidden="1">"c7047"</definedName>
    <definedName name="IQ_CHANGE_INVENT_SAAR_POP_FC" hidden="1">"c7927"</definedName>
    <definedName name="IQ_CHANGE_INVENT_SAAR_YOY" hidden="1">"c7267"</definedName>
    <definedName name="IQ_CHANGE_INVENT_SAAR_YOY_FC" hidden="1">"c8147"</definedName>
    <definedName name="IQ_CHANGE_INVENT_YOY" hidden="1">"c7266"</definedName>
    <definedName name="IQ_CHANGE_INVENTORY" hidden="1">"c151"</definedName>
    <definedName name="IQ_CHANGE_NET_OPER_ASSETS" hidden="1">"c3592"</definedName>
    <definedName name="IQ_CHANGE_NET_WORKING_CAPITAL" hidden="1">"c1909"</definedName>
    <definedName name="IQ_CHANGE_OTHER_NET_OPER_ASSETS" hidden="1">"c3593"</definedName>
    <definedName name="IQ_CHANGE_OTHER_NET_OPER_ASSETS_BNK" hidden="1">"c3594"</definedName>
    <definedName name="IQ_CHANGE_OTHER_NET_OPER_ASSETS_BR" hidden="1">"c3595"</definedName>
    <definedName name="IQ_CHANGE_OTHER_NET_OPER_ASSETS_FIN" hidden="1">"c3596"</definedName>
    <definedName name="IQ_CHANGE_OTHER_NET_OPER_ASSETS_INS" hidden="1">"c3597"</definedName>
    <definedName name="IQ_CHANGE_OTHER_NET_OPER_ASSETS_RE" hidden="1">"c6285"</definedName>
    <definedName name="IQ_CHANGE_OTHER_NET_OPER_ASSETS_REIT" hidden="1">"c3598"</definedName>
    <definedName name="IQ_CHANGE_OTHER_NET_OPER_ASSETS_UTI" hidden="1">"c3599"</definedName>
    <definedName name="IQ_CHANGE_OTHER_WORK_CAP" hidden="1">"c152"</definedName>
    <definedName name="IQ_CHANGE_OTHER_WORK_CAP_BNK" hidden="1">"c153"</definedName>
    <definedName name="IQ_CHANGE_OTHER_WORK_CAP_BR" hidden="1">"c154"</definedName>
    <definedName name="IQ_CHANGE_OTHER_WORK_CAP_FIN" hidden="1">"c155"</definedName>
    <definedName name="IQ_CHANGE_OTHER_WORK_CAP_INS" hidden="1">"c156"</definedName>
    <definedName name="IQ_CHANGE_OTHER_WORK_CAP_REIT" hidden="1">"c157"</definedName>
    <definedName name="IQ_CHANGE_OTHER_WORK_CAP_UTI" hidden="1">"c158"</definedName>
    <definedName name="IQ_CHANGE_PRIVATE_INVENT" hidden="1">"c6828"</definedName>
    <definedName name="IQ_CHANGE_PRIVATE_INVENT_APR" hidden="1">"c7488"</definedName>
    <definedName name="IQ_CHANGE_PRIVATE_INVENT_APR_FC" hidden="1">"c8368"</definedName>
    <definedName name="IQ_CHANGE_PRIVATE_INVENT_FC" hidden="1">"c7708"</definedName>
    <definedName name="IQ_CHANGE_PRIVATE_INVENT_POP" hidden="1">"c7048"</definedName>
    <definedName name="IQ_CHANGE_PRIVATE_INVENT_POP_FC" hidden="1">"c7928"</definedName>
    <definedName name="IQ_CHANGE_PRIVATE_INVENT_YOY" hidden="1">"c7268"</definedName>
    <definedName name="IQ_CHANGE_PRIVATE_INVENT_YOY_FC" hidden="1">"c8148"</definedName>
    <definedName name="IQ_CHANGE_TRADING_ASSETS" hidden="1">"c159"</definedName>
    <definedName name="IQ_CHANGE_UNEARN_REV" hidden="1">"c160"</definedName>
    <definedName name="IQ_CHANGE_WORK_CAP" hidden="1">"c161"</definedName>
    <definedName name="IQ_CHANGES_WORK_CAP" hidden="1">"c1357"</definedName>
    <definedName name="IQ_CHARGE_OFFS_1_4_FAMILY_FDIC" hidden="1">"c6756"</definedName>
    <definedName name="IQ_CHARGE_OFFS_1_4_FAMILY_LOANS_FDIC" hidden="1">"c6714"</definedName>
    <definedName name="IQ_CHARGE_OFFS_AUTO_LOANS_FDIC" hidden="1">"c6708"</definedName>
    <definedName name="IQ_CHARGE_OFFS_CL_LOANS_FDIC" hidden="1">"c6709"</definedName>
    <definedName name="IQ_CHARGE_OFFS_COMMERCIAL_INDUSTRIAL_FDIC" hidden="1">"c6759"</definedName>
    <definedName name="IQ_CHARGE_OFFS_COMMERCIAL_RE_FDIC" hidden="1">"c6754"</definedName>
    <definedName name="IQ_CHARGE_OFFS_COMMERCIAL_RE_NOT_SECURED_FDIC" hidden="1">"c6764"</definedName>
    <definedName name="IQ_CHARGE_OFFS_CONSTRUCTION_DEVELOPMENT_FDIC" hidden="1">"c6753"</definedName>
    <definedName name="IQ_CHARGE_OFFS_CREDIT_CARDS_FDIC" hidden="1">"c6761"</definedName>
    <definedName name="IQ_CHARGE_OFFS_CREDIT_CARDS_RECEIVABLES_FDIC" hidden="1">"c6711"</definedName>
    <definedName name="IQ_CHARGE_OFFS_GROSS" hidden="1">"c162"</definedName>
    <definedName name="IQ_CHARGE_OFFS_HOME_EQUITY_FDIC" hidden="1">"c6757"</definedName>
    <definedName name="IQ_CHARGE_OFFS_HOME_EQUITY_LINES_FDIC" hidden="1">"c6712"</definedName>
    <definedName name="IQ_CHARGE_OFFS_INDIVIDUALS_FDIC" hidden="1">"c6760"</definedName>
    <definedName name="IQ_CHARGE_OFFS_MULTI_FAMILY_FDIC" hidden="1">"c6755"</definedName>
    <definedName name="IQ_CHARGE_OFFS_NET" hidden="1">"c163"</definedName>
    <definedName name="IQ_CHARGE_OFFS_OTHER_1_4_FAMILY_FDIC" hidden="1">"c6758"</definedName>
    <definedName name="IQ_CHARGE_OFFS_OTHER_CONSUMER_LOANS_FDIC" hidden="1">"c6710"</definedName>
    <definedName name="IQ_CHARGE_OFFS_OTHER_INDIVIDUAL_FDIC" hidden="1">"c6762"</definedName>
    <definedName name="IQ_CHARGE_OFFS_OTHER_LOANS_FDIC" hidden="1">"c6763"</definedName>
    <definedName name="IQ_CHARGE_OFFS_OTHER_LOANS_OTHER_FDIC" hidden="1">"c6713"</definedName>
    <definedName name="IQ_CHARGE_OFFS_RE_LOANS_FDIC" hidden="1">"c6752"</definedName>
    <definedName name="IQ_CHARGE_OFFS_RECOVERED" hidden="1">"c164"</definedName>
    <definedName name="IQ_CHARGE_OFFS_TOTAL_AVG_LOANS" hidden="1">"c165"</definedName>
    <definedName name="IQ_CHICAGO_PMI" hidden="1">"c6829"</definedName>
    <definedName name="IQ_CHICAGO_PMI_APR" hidden="1">"c7489"</definedName>
    <definedName name="IQ_CHICAGO_PMI_APR_FC" hidden="1">"c8369"</definedName>
    <definedName name="IQ_CHICAGO_PMI_FC" hidden="1">"c7709"</definedName>
    <definedName name="IQ_CHICAGO_PMI_POP" hidden="1">"c7049"</definedName>
    <definedName name="IQ_CHICAGO_PMI_POP_FC" hidden="1">"c7929"</definedName>
    <definedName name="IQ_CHICAGO_PMI_YOY" hidden="1">"c7269"</definedName>
    <definedName name="IQ_CHICAGO_PMI_YOY_FC" hidden="1">"c8149"</definedName>
    <definedName name="IQ_CITY" hidden="1">"c166"</definedName>
    <definedName name="IQ_CL_AP" hidden="1">"c8884"</definedName>
    <definedName name="IQ_CL_AP_ABS" hidden="1">"c8903"</definedName>
    <definedName name="IQ_CL_DUE_AFTER_FIVE" hidden="1">"c167"</definedName>
    <definedName name="IQ_CL_DUE_CY" hidden="1">"c168"</definedName>
    <definedName name="IQ_CL_DUE_CY1" hidden="1">"c169"</definedName>
    <definedName name="IQ_CL_DUE_CY2" hidden="1">"c170"</definedName>
    <definedName name="IQ_CL_DUE_CY3" hidden="1">"c171"</definedName>
    <definedName name="IQ_CL_DUE_CY4" hidden="1">"c172"</definedName>
    <definedName name="IQ_CL_DUE_NEXT_FIVE" hidden="1">"c173"</definedName>
    <definedName name="IQ_CL_NAME_AP" hidden="1">"c8922"</definedName>
    <definedName name="IQ_CL_NAME_AP_ABS" hidden="1">"c8941"</definedName>
    <definedName name="IQ_CL_OBLIGATION_IMMEDIATE" hidden="1">"c2253"</definedName>
    <definedName name="IQ_CLASSA_OPTIONS_BEG_OS" hidden="1">"c2679"</definedName>
    <definedName name="IQ_CLASSA_OPTIONS_CANCELLED" hidden="1">"c2682"</definedName>
    <definedName name="IQ_CLASSA_OPTIONS_END_OS" hidden="1">"c2683"</definedName>
    <definedName name="IQ_CLASSA_OPTIONS_EXERCISABLE_END_OS" hidden="1">"c5809"</definedName>
    <definedName name="IQ_CLASSA_OPTIONS_EXERCISED" hidden="1">"c2681"</definedName>
    <definedName name="IQ_CLASSA_OPTIONS_GRANTED" hidden="1">"c2680"</definedName>
    <definedName name="IQ_CLASSA_OPTIONS_STRIKE_PRICE_BEG_OS" hidden="1">"c5810"</definedName>
    <definedName name="IQ_CLASSA_OPTIONS_STRIKE_PRICE_CANCELLED" hidden="1">"c5812"</definedName>
    <definedName name="IQ_CLASSA_OPTIONS_STRIKE_PRICE_EXERCISABLE" hidden="1">"c5813"</definedName>
    <definedName name="IQ_CLASSA_OPTIONS_STRIKE_PRICE_EXERCISED" hidden="1">"c5811"</definedName>
    <definedName name="IQ_CLASSA_OPTIONS_STRIKE_PRICE_OS" hidden="1">"c2684"</definedName>
    <definedName name="IQ_CLASSA_OUTSTANDING_BS_DATE" hidden="1">"c1971"</definedName>
    <definedName name="IQ_CLASSA_OUTSTANDING_FILING_DATE" hidden="1">"c1973"</definedName>
    <definedName name="IQ_CLASSA_STRIKE_PRICE_GRANTED" hidden="1">"c2685"</definedName>
    <definedName name="IQ_CLASSA_WARRANTS_BEG_OS" hidden="1">"c2705"</definedName>
    <definedName name="IQ_CLASSA_WARRANTS_CANCELLED" hidden="1">"c2708"</definedName>
    <definedName name="IQ_CLASSA_WARRANTS_END_OS" hidden="1">"c2709"</definedName>
    <definedName name="IQ_CLASSA_WARRANTS_EXERCISED" hidden="1">"c2707"</definedName>
    <definedName name="IQ_CLASSA_WARRANTS_ISSUED" hidden="1">"c2706"</definedName>
    <definedName name="IQ_CLASSA_WARRANTS_STRIKE_PRICE_ISSUED" hidden="1">"c2711"</definedName>
    <definedName name="IQ_CLASSA_WARRANTS_STRIKE_PRICE_OS" hidden="1">"c2710"</definedName>
    <definedName name="IQ_CLOSEPRICE" hidden="1">"c174"</definedName>
    <definedName name="IQ_CLOSEPRICE_ADJ" hidden="1">"c2115"</definedName>
    <definedName name="IQ_CMO_FDIC" hidden="1">"c6406"</definedName>
    <definedName name="IQ_COGS" hidden="1">"c175"</definedName>
    <definedName name="IQ_COLLATERAL_TYPE" hidden="1">"c8954"</definedName>
    <definedName name="IQ_COLLECTION_DOMESTIC_FDIC" hidden="1">"c6387"</definedName>
    <definedName name="IQ_COMBINED_RATIO" hidden="1">"c176"</definedName>
    <definedName name="IQ_COMMERCIAL_BANKS_DEPOSITS_FOREIGN_FDIC" hidden="1">"c6480"</definedName>
    <definedName name="IQ_COMMERCIAL_BANKS_LOANS_FDIC" hidden="1">"c6434"</definedName>
    <definedName name="IQ_COMMERCIAL_BANKS_NONTRANSACTION_ACCOUNTS_FDIC" hidden="1">"c6548"</definedName>
    <definedName name="IQ_COMMERCIAL_BANKS_TOTAL_DEPOSITS_FDIC" hidden="1">"c6474"</definedName>
    <definedName name="IQ_COMMERCIAL_BANKS_TOTAL_LOANS_FOREIGN_FDIC" hidden="1">"c6444"</definedName>
    <definedName name="IQ_COMMERCIAL_BANKS_TRANSACTION_ACCOUNTS_FDIC" hidden="1">"c6540"</definedName>
    <definedName name="IQ_COMMERCIAL_DOM" hidden="1">"c177"</definedName>
    <definedName name="IQ_COMMERCIAL_FIRE_WRITTEN" hidden="1">"c178"</definedName>
    <definedName name="IQ_COMMERCIAL_INDUSTRIAL_CHARGE_OFFS_FDIC" hidden="1">"c6598"</definedName>
    <definedName name="IQ_COMMERCIAL_INDUSTRIAL_LOANS_NET_FDIC" hidden="1">"c6317"</definedName>
    <definedName name="IQ_COMMERCIAL_INDUSTRIAL_NET_CHARGE_OFFS_FDIC" hidden="1">"c6636"</definedName>
    <definedName name="IQ_COMMERCIAL_INDUSTRIAL_RECOVERIES_FDIC" hidden="1">"c6617"</definedName>
    <definedName name="IQ_COMMERCIAL_INDUSTRIAL_TOTAL_LOANS_FOREIGN_FDIC" hidden="1">"c6451"</definedName>
    <definedName name="IQ_COMMERCIAL_MORT" hidden="1">"c179"</definedName>
    <definedName name="IQ_COMMERCIAL_RE_CONSTRUCTION_LAND_DEV_FDIC" hidden="1">"c6526"</definedName>
    <definedName name="IQ_COMMERCIAL_RE_LOANS_FDIC" hidden="1">"c6312"</definedName>
    <definedName name="IQ_COMMISS_FEES" hidden="1">"c180"</definedName>
    <definedName name="IQ_COMMISSION_DEF" hidden="1">"c181"</definedName>
    <definedName name="IQ_COMMITMENTS_MATURITY_EXCEEDING_1YR_FDIC" hidden="1">"c6531"</definedName>
    <definedName name="IQ_COMMITMENTS_NOT_SECURED_RE_FDIC" hidden="1">"c6528"</definedName>
    <definedName name="IQ_COMMITMENTS_SECURED_RE_FDIC" hidden="1">"c6527"</definedName>
    <definedName name="IQ_COMMODITY_EXPOSURES_FDIC" hidden="1">"c6665"</definedName>
    <definedName name="IQ_COMMON" hidden="1">"c182"</definedName>
    <definedName name="IQ_COMMON_APIC" hidden="1">"c183"</definedName>
    <definedName name="IQ_COMMON_APIC_BNK" hidden="1">"c184"</definedName>
    <definedName name="IQ_COMMON_APIC_BR" hidden="1">"c185"</definedName>
    <definedName name="IQ_COMMON_APIC_FIN" hidden="1">"c186"</definedName>
    <definedName name="IQ_COMMON_APIC_INS" hidden="1">"c187"</definedName>
    <definedName name="IQ_COMMON_APIC_RE" hidden="1">"c6202"</definedName>
    <definedName name="IQ_COMMON_APIC_REIT" hidden="1">"c188"</definedName>
    <definedName name="IQ_COMMON_APIC_UTI" hidden="1">"c189"</definedName>
    <definedName name="IQ_COMMON_DIV" hidden="1">"c3006"</definedName>
    <definedName name="IQ_COMMON_DIV_CF" hidden="1">"c190"</definedName>
    <definedName name="IQ_COMMON_EQUITY_10YR_ANN_CAGR" hidden="1">"c6060"</definedName>
    <definedName name="IQ_COMMON_EQUITY_10YR_ANN_GROWTH" hidden="1">"c191"</definedName>
    <definedName name="IQ_COMMON_EQUITY_1YR_ANN_GROWTH" hidden="1">"c192"</definedName>
    <definedName name="IQ_COMMON_EQUITY_2YR_ANN_CAGR" hidden="1">"c6061"</definedName>
    <definedName name="IQ_COMMON_EQUITY_2YR_ANN_GROWTH" hidden="1">"c193"</definedName>
    <definedName name="IQ_COMMON_EQUITY_3YR_ANN_CAGR" hidden="1">"c6062"</definedName>
    <definedName name="IQ_COMMON_EQUITY_3YR_ANN_GROWTH" hidden="1">"c194"</definedName>
    <definedName name="IQ_COMMON_EQUITY_5YR_ANN_CAGR" hidden="1">"c6063"</definedName>
    <definedName name="IQ_COMMON_EQUITY_5YR_ANN_GROWTH" hidden="1">"c195"</definedName>
    <definedName name="IQ_COMMON_EQUITY_7YR_ANN_CAGR" hidden="1">"c6064"</definedName>
    <definedName name="IQ_COMMON_EQUITY_7YR_ANN_GROWTH" hidden="1">"c196"</definedName>
    <definedName name="IQ_COMMON_FDIC" hidden="1">"c6350"</definedName>
    <definedName name="IQ_COMMON_ISSUED" hidden="1">"c197"</definedName>
    <definedName name="IQ_COMMON_ISSUED_BNK" hidden="1">"c198"</definedName>
    <definedName name="IQ_COMMON_ISSUED_BR" hidden="1">"c199"</definedName>
    <definedName name="IQ_COMMON_ISSUED_FIN" hidden="1">"c200"</definedName>
    <definedName name="IQ_COMMON_ISSUED_INS" hidden="1">"c201"</definedName>
    <definedName name="IQ_COMMON_ISSUED_RE" hidden="1">"c6203"</definedName>
    <definedName name="IQ_COMMON_ISSUED_REIT" hidden="1">"c202"</definedName>
    <definedName name="IQ_COMMON_ISSUED_UTI" hidden="1">"c203"</definedName>
    <definedName name="IQ_COMMON_PER_ADR" hidden="1">"c204"</definedName>
    <definedName name="IQ_COMMON_PREF_DIV_CF" hidden="1">"c205"</definedName>
    <definedName name="IQ_COMMON_REP" hidden="1">"c206"</definedName>
    <definedName name="IQ_COMMON_REP_BNK" hidden="1">"c207"</definedName>
    <definedName name="IQ_COMMON_REP_BR" hidden="1">"c208"</definedName>
    <definedName name="IQ_COMMON_REP_FIN" hidden="1">"c209"</definedName>
    <definedName name="IQ_COMMON_REP_INS" hidden="1">"c210"</definedName>
    <definedName name="IQ_COMMON_REP_RE" hidden="1">"c6204"</definedName>
    <definedName name="IQ_COMMON_REP_REIT" hidden="1">"c211"</definedName>
    <definedName name="IQ_COMMON_REP_UTI" hidden="1">"c212"</definedName>
    <definedName name="IQ_COMMON_STOCK" hidden="1">"c1358"</definedName>
    <definedName name="IQ_COMP_BENEFITS" hidden="1">"c213"</definedName>
    <definedName name="IQ_COMPANY_ADDRESS" hidden="1">"c214"</definedName>
    <definedName name="IQ_COMPANY_ID" hidden="1">"c3513"</definedName>
    <definedName name="IQ_COMPANY_NAME" hidden="1">"c215"</definedName>
    <definedName name="IQ_COMPANY_NAME_LONG" hidden="1">"c1585"</definedName>
    <definedName name="IQ_COMPANY_NOTE" hidden="1">"c6792"</definedName>
    <definedName name="IQ_COMPANY_PHONE" hidden="1">"c216"</definedName>
    <definedName name="IQ_COMPANY_STATUS" hidden="1">"c2097"</definedName>
    <definedName name="IQ_COMPANY_STREET1" hidden="1">"c217"</definedName>
    <definedName name="IQ_COMPANY_STREET2" hidden="1">"c218"</definedName>
    <definedName name="IQ_COMPANY_TICKER" hidden="1">"c219"</definedName>
    <definedName name="IQ_COMPANY_TYPE" hidden="1">"c2096"</definedName>
    <definedName name="IQ_COMPANY_WEBSITE" hidden="1">"c220"</definedName>
    <definedName name="IQ_COMPANY_ZIP" hidden="1">"c221"</definedName>
    <definedName name="IQ_COMPOSITE_CYCLICAL_IND" hidden="1">"c6830"</definedName>
    <definedName name="IQ_COMPOSITE_CYCLICAL_IND_APR" hidden="1">"c7490"</definedName>
    <definedName name="IQ_COMPOSITE_CYCLICAL_IND_APR_FC" hidden="1">"c8370"</definedName>
    <definedName name="IQ_COMPOSITE_CYCLICAL_IND_FC" hidden="1">"c7710"</definedName>
    <definedName name="IQ_COMPOSITE_CYCLICAL_IND_POP" hidden="1">"c7050"</definedName>
    <definedName name="IQ_COMPOSITE_CYCLICAL_IND_POP_FC" hidden="1">"c7930"</definedName>
    <definedName name="IQ_COMPOSITE_CYCLICAL_IND_YOY" hidden="1">"c7270"</definedName>
    <definedName name="IQ_COMPOSITE_CYCLICAL_IND_YOY_FC" hidden="1">"c8150"</definedName>
    <definedName name="IQ_CONSOL_BEDS" hidden="1">"c8782"</definedName>
    <definedName name="IQ_CONSOL_PROP_OPERATIONAL" hidden="1">"c8758"</definedName>
    <definedName name="IQ_CONSOL_PROP_OTHER_OWNED" hidden="1">"c8760"</definedName>
    <definedName name="IQ_CONSOL_PROP_TOTAL" hidden="1">"c8761"</definedName>
    <definedName name="IQ_CONSOL_PROP_UNDEVELOPED" hidden="1">"c8759"</definedName>
    <definedName name="IQ_CONSOL_ROOMS" hidden="1">"c8786"</definedName>
    <definedName name="IQ_CONSOL_SQ_FT_OPERATIONAL" hidden="1">"c8774"</definedName>
    <definedName name="IQ_CONSOL_SQ_FT_OTHER_OWNED" hidden="1">"c8776"</definedName>
    <definedName name="IQ_CONSOL_SQ_FT_TOTAL" hidden="1">"c8777"</definedName>
    <definedName name="IQ_CONSOL_SQ_FT_UNDEVELOPED" hidden="1">"c8775"</definedName>
    <definedName name="IQ_CONSOL_UNITS_OPERATIONAL" hidden="1">"c8766"</definedName>
    <definedName name="IQ_CONSOL_UNITS_OTHER_OWNED" hidden="1">"c8768"</definedName>
    <definedName name="IQ_CONSOL_UNITS_TOTAL" hidden="1">"c8769"</definedName>
    <definedName name="IQ_CONSOL_UNITS_UNDEVELOPED" hidden="1">"c8767"</definedName>
    <definedName name="IQ_CONSTRUCTION_DEV_LOANS_FDIC" hidden="1">"c6313"</definedName>
    <definedName name="IQ_CONSTRUCTION_LAND_DEVELOPMENT_CHARGE_OFFS_FDIC" hidden="1">"c6594"</definedName>
    <definedName name="IQ_CONSTRUCTION_LAND_DEVELOPMENT_NET_CHARGE_OFFS_FDIC" hidden="1">"c6632"</definedName>
    <definedName name="IQ_CONSTRUCTION_LAND_DEVELOPMENT_RECOVERIES_FDIC" hidden="1">"c6613"</definedName>
    <definedName name="IQ_CONSTRUCTION_LOANS" hidden="1">"c222"</definedName>
    <definedName name="IQ_CONSUMER_COMFORT" hidden="1">"c6831"</definedName>
    <definedName name="IQ_CONSUMER_COMFORT_APR" hidden="1">"c7491"</definedName>
    <definedName name="IQ_CONSUMER_COMFORT_APR_FC" hidden="1">"c8371"</definedName>
    <definedName name="IQ_CONSUMER_COMFORT_FC" hidden="1">"c7711"</definedName>
    <definedName name="IQ_CONSUMER_COMFORT_POP" hidden="1">"c7051"</definedName>
    <definedName name="IQ_CONSUMER_COMFORT_POP_FC" hidden="1">"c7931"</definedName>
    <definedName name="IQ_CONSUMER_CONFIDENCE" hidden="1">"c6832"</definedName>
    <definedName name="IQ_CONSUMER_CONFIDENCE_APR" hidden="1">"c7492"</definedName>
    <definedName name="IQ_CONSUMER_CONFIDENCE_APR_FC" hidden="1">"c8372"</definedName>
    <definedName name="IQ_CONSUMER_CONFIDENCE_FC" hidden="1">"c7712"</definedName>
    <definedName name="IQ_CONSUMER_CONFIDENCE_POP" hidden="1">"c7052"</definedName>
    <definedName name="IQ_CONSUMER_CONFIDENCE_POP_FC" hidden="1">"c7932"</definedName>
    <definedName name="IQ_CONSUMER_CONFIDENCE_YOY" hidden="1">"c7272"</definedName>
    <definedName name="IQ_CONSUMER_CONFIDENCE_YOY_FC" hidden="1">"c8152"</definedName>
    <definedName name="IQ_CONSUMER_LENDING" hidden="1">"c6833"</definedName>
    <definedName name="IQ_CONSUMER_LENDING_APR" hidden="1">"c7493"</definedName>
    <definedName name="IQ_CONSUMER_LENDING_APR_FC" hidden="1">"c8373"</definedName>
    <definedName name="IQ_CONSUMER_LENDING_FC" hidden="1">"c7713"</definedName>
    <definedName name="IQ_CONSUMER_LENDING_GROSS" hidden="1">"c6878"</definedName>
    <definedName name="IQ_CONSUMER_LENDING_GROSS_APR" hidden="1">"c7538"</definedName>
    <definedName name="IQ_CONSUMER_LENDING_GROSS_APR_FC" hidden="1">"c8418"</definedName>
    <definedName name="IQ_CONSUMER_LENDING_GROSS_FC" hidden="1">"c7758"</definedName>
    <definedName name="IQ_CONSUMER_LENDING_GROSS_POP" hidden="1">"c7098"</definedName>
    <definedName name="IQ_CONSUMER_LENDING_GROSS_POP_FC" hidden="1">"c7978"</definedName>
    <definedName name="IQ_CONSUMER_LENDING_GROSS_YOY" hidden="1">"c7318"</definedName>
    <definedName name="IQ_CONSUMER_LENDING_GROSS_YOY_FC" hidden="1">"c8198"</definedName>
    <definedName name="IQ_CONSUMER_LENDING_NET" hidden="1">"c6922"</definedName>
    <definedName name="IQ_CONSUMER_LENDING_NET_APR" hidden="1">"c7582"</definedName>
    <definedName name="IQ_CONSUMER_LENDING_NET_APR_FC" hidden="1">"c8462"</definedName>
    <definedName name="IQ_CONSUMER_LENDING_NET_FC" hidden="1">"c7802"</definedName>
    <definedName name="IQ_CONSUMER_LENDING_NET_POP" hidden="1">"c7142"</definedName>
    <definedName name="IQ_CONSUMER_LENDING_NET_POP_FC" hidden="1">"c8022"</definedName>
    <definedName name="IQ_CONSUMER_LENDING_NET_YOY" hidden="1">"c7362"</definedName>
    <definedName name="IQ_CONSUMER_LENDING_NET_YOY_FC" hidden="1">"c8242"</definedName>
    <definedName name="IQ_CONSUMER_LENDING_POP" hidden="1">"c7053"</definedName>
    <definedName name="IQ_CONSUMER_LENDING_POP_FC" hidden="1">"c7933"</definedName>
    <definedName name="IQ_CONSUMER_LENDING_TOTAL" hidden="1">"c7018"</definedName>
    <definedName name="IQ_CONSUMER_LENDING_TOTAL_APR" hidden="1">"c7678"</definedName>
    <definedName name="IQ_CONSUMER_LENDING_TOTAL_APR_FC" hidden="1">"c8558"</definedName>
    <definedName name="IQ_CONSUMER_LENDING_TOTAL_FC" hidden="1">"c7898"</definedName>
    <definedName name="IQ_CONSUMER_LENDING_TOTAL_POP" hidden="1">"c7238"</definedName>
    <definedName name="IQ_CONSUMER_LENDING_TOTAL_POP_FC" hidden="1">"c8118"</definedName>
    <definedName name="IQ_CONSUMER_LENDING_TOTAL_YOY" hidden="1">"c7458"</definedName>
    <definedName name="IQ_CONSUMER_LENDING_TOTAL_YOY_FC" hidden="1">"c8338"</definedName>
    <definedName name="IQ_CONSUMER_LENDING_YOY" hidden="1">"c7273"</definedName>
    <definedName name="IQ_CONSUMER_LENDING_YOY_FC" hidden="1">"c8153"</definedName>
    <definedName name="IQ_CONSUMER_LOANS" hidden="1">"c223"</definedName>
    <definedName name="IQ_CONSUMER_SPENDING" hidden="1">"c6834"</definedName>
    <definedName name="IQ_CONSUMER_SPENDING_APR" hidden="1">"c7494"</definedName>
    <definedName name="IQ_CONSUMER_SPENDING_APR_FC" hidden="1">"c8374"</definedName>
    <definedName name="IQ_CONSUMER_SPENDING_DURABLE" hidden="1">"c6835"</definedName>
    <definedName name="IQ_CONSUMER_SPENDING_DURABLE_APR" hidden="1">"c7495"</definedName>
    <definedName name="IQ_CONSUMER_SPENDING_DURABLE_APR_FC" hidden="1">"c8375"</definedName>
    <definedName name="IQ_CONSUMER_SPENDING_DURABLE_FC" hidden="1">"c7715"</definedName>
    <definedName name="IQ_CONSUMER_SPENDING_DURABLE_POP" hidden="1">"c7055"</definedName>
    <definedName name="IQ_CONSUMER_SPENDING_DURABLE_POP_FC" hidden="1">"c7935"</definedName>
    <definedName name="IQ_CONSUMER_SPENDING_DURABLE_REAL" hidden="1">"c6964"</definedName>
    <definedName name="IQ_CONSUMER_SPENDING_DURABLE_REAL_APR" hidden="1">"c7624"</definedName>
    <definedName name="IQ_CONSUMER_SPENDING_DURABLE_REAL_APR_FC" hidden="1">"c8504"</definedName>
    <definedName name="IQ_CONSUMER_SPENDING_DURABLE_REAL_FC" hidden="1">"c7844"</definedName>
    <definedName name="IQ_CONSUMER_SPENDING_DURABLE_REAL_POP" hidden="1">"c7184"</definedName>
    <definedName name="IQ_CONSUMER_SPENDING_DURABLE_REAL_POP_FC" hidden="1">"c8064"</definedName>
    <definedName name="IQ_CONSUMER_SPENDING_DURABLE_REAL_SAAR" hidden="1">"c6965"</definedName>
    <definedName name="IQ_CONSUMER_SPENDING_DURABLE_REAL_SAAR_APR" hidden="1">"c7625"</definedName>
    <definedName name="IQ_CONSUMER_SPENDING_DURABLE_REAL_SAAR_APR_FC" hidden="1">"c8505"</definedName>
    <definedName name="IQ_CONSUMER_SPENDING_DURABLE_REAL_SAAR_FC" hidden="1">"c7845"</definedName>
    <definedName name="IQ_CONSUMER_SPENDING_DURABLE_REAL_SAAR_POP" hidden="1">"c7185"</definedName>
    <definedName name="IQ_CONSUMER_SPENDING_DURABLE_REAL_SAAR_POP_FC" hidden="1">"c8065"</definedName>
    <definedName name="IQ_CONSUMER_SPENDING_DURABLE_REAL_SAAR_YOY" hidden="1">"c7405"</definedName>
    <definedName name="IQ_CONSUMER_SPENDING_DURABLE_REAL_SAAR_YOY_FC" hidden="1">"c8285"</definedName>
    <definedName name="IQ_CONSUMER_SPENDING_DURABLE_REAL_YOY" hidden="1">"c7404"</definedName>
    <definedName name="IQ_CONSUMER_SPENDING_DURABLE_REAL_YOY_FC" hidden="1">"c8284"</definedName>
    <definedName name="IQ_CONSUMER_SPENDING_DURABLE_YOY" hidden="1">"c7275"</definedName>
    <definedName name="IQ_CONSUMER_SPENDING_DURABLE_YOY_FC" hidden="1">"c8155"</definedName>
    <definedName name="IQ_CONSUMER_SPENDING_FC" hidden="1">"c7714"</definedName>
    <definedName name="IQ_CONSUMER_SPENDING_NONDURABLE" hidden="1">"c6836"</definedName>
    <definedName name="IQ_CONSUMER_SPENDING_NONDURABLE_APR" hidden="1">"c7496"</definedName>
    <definedName name="IQ_CONSUMER_SPENDING_NONDURABLE_APR_FC" hidden="1">"c8376"</definedName>
    <definedName name="IQ_CONSUMER_SPENDING_NONDURABLE_FC" hidden="1">"c7716"</definedName>
    <definedName name="IQ_CONSUMER_SPENDING_NONDURABLE_POP" hidden="1">"c7056"</definedName>
    <definedName name="IQ_CONSUMER_SPENDING_NONDURABLE_POP_FC" hidden="1">"c7936"</definedName>
    <definedName name="IQ_CONSUMER_SPENDING_NONDURABLE_REAL" hidden="1">"c6966"</definedName>
    <definedName name="IQ_CONSUMER_SPENDING_NONDURABLE_REAL_APR" hidden="1">"c7626"</definedName>
    <definedName name="IQ_CONSUMER_SPENDING_NONDURABLE_REAL_APR_FC" hidden="1">"c8506"</definedName>
    <definedName name="IQ_CONSUMER_SPENDING_NONDURABLE_REAL_FC" hidden="1">"c7846"</definedName>
    <definedName name="IQ_CONSUMER_SPENDING_NONDURABLE_REAL_POP" hidden="1">"c7186"</definedName>
    <definedName name="IQ_CONSUMER_SPENDING_NONDURABLE_REAL_POP_FC" hidden="1">"c8066"</definedName>
    <definedName name="IQ_CONSUMER_SPENDING_NONDURABLE_REAL_SAAR" hidden="1">"c6967"</definedName>
    <definedName name="IQ_CONSUMER_SPENDING_NONDURABLE_REAL_SAAR_APR" hidden="1">"c7627"</definedName>
    <definedName name="IQ_CONSUMER_SPENDING_NONDURABLE_REAL_SAAR_APR_FC" hidden="1">"c8507"</definedName>
    <definedName name="IQ_CONSUMER_SPENDING_NONDURABLE_REAL_SAAR_FC" hidden="1">"c7847"</definedName>
    <definedName name="IQ_CONSUMER_SPENDING_NONDURABLE_REAL_SAAR_POP" hidden="1">"c7187"</definedName>
    <definedName name="IQ_CONSUMER_SPENDING_NONDURABLE_REAL_SAAR_POP_FC" hidden="1">"c8067"</definedName>
    <definedName name="IQ_CONSUMER_SPENDING_NONDURABLE_REAL_SAAR_YOY" hidden="1">"c7407"</definedName>
    <definedName name="IQ_CONSUMER_SPENDING_NONDURABLE_REAL_SAAR_YOY_FC" hidden="1">"c8287"</definedName>
    <definedName name="IQ_CONSUMER_SPENDING_NONDURABLE_REAL_YOY" hidden="1">"c7406"</definedName>
    <definedName name="IQ_CONSUMER_SPENDING_NONDURABLE_REAL_YOY_FC" hidden="1">"c8286"</definedName>
    <definedName name="IQ_CONSUMER_SPENDING_NONDURABLE_YOY" hidden="1">"c7276"</definedName>
    <definedName name="IQ_CONSUMER_SPENDING_NONDURABLE_YOY_FC" hidden="1">"c8156"</definedName>
    <definedName name="IQ_CONSUMER_SPENDING_POP" hidden="1">"c7054"</definedName>
    <definedName name="IQ_CONSUMER_SPENDING_POP_FC" hidden="1">"c7934"</definedName>
    <definedName name="IQ_CONSUMER_SPENDING_REAL" hidden="1">"c6963"</definedName>
    <definedName name="IQ_CONSUMER_SPENDING_REAL_APR" hidden="1">"c7623"</definedName>
    <definedName name="IQ_CONSUMER_SPENDING_REAL_APR_FC" hidden="1">"c8503"</definedName>
    <definedName name="IQ_CONSUMER_SPENDING_REAL_FC" hidden="1">"c7843"</definedName>
    <definedName name="IQ_CONSUMER_SPENDING_REAL_POP" hidden="1">"c7183"</definedName>
    <definedName name="IQ_CONSUMER_SPENDING_REAL_POP_FC" hidden="1">"c8063"</definedName>
    <definedName name="IQ_CONSUMER_SPENDING_REAL_SAAR" hidden="1">"c6968"</definedName>
    <definedName name="IQ_CONSUMER_SPENDING_REAL_SAAR_APR" hidden="1">"c7628"</definedName>
    <definedName name="IQ_CONSUMER_SPENDING_REAL_SAAR_APR_FC" hidden="1">"c8508"</definedName>
    <definedName name="IQ_CONSUMER_SPENDING_REAL_SAAR_FC" hidden="1">"c7848"</definedName>
    <definedName name="IQ_CONSUMER_SPENDING_REAL_SAAR_POP" hidden="1">"c7188"</definedName>
    <definedName name="IQ_CONSUMER_SPENDING_REAL_SAAR_POP_FC" hidden="1">"c8068"</definedName>
    <definedName name="IQ_CONSUMER_SPENDING_REAL_SAAR_YOY" hidden="1">"c7408"</definedName>
    <definedName name="IQ_CONSUMER_SPENDING_REAL_SAAR_YOY_FC" hidden="1">"c8288"</definedName>
    <definedName name="IQ_CONSUMER_SPENDING_REAL_USD_APR_FC" hidden="1">"c11921"</definedName>
    <definedName name="IQ_CONSUMER_SPENDING_REAL_USD_FC" hidden="1">"c11918"</definedName>
    <definedName name="IQ_CONSUMER_SPENDING_REAL_USD_POP_FC" hidden="1">"c11919"</definedName>
    <definedName name="IQ_CONSUMER_SPENDING_REAL_USD_YOY_FC" hidden="1">"c11920"</definedName>
    <definedName name="IQ_CONSUMER_SPENDING_REAL_YOY" hidden="1">"c7403"</definedName>
    <definedName name="IQ_CONSUMER_SPENDING_REAL_YOY_FC" hidden="1">"c8283"</definedName>
    <definedName name="IQ_CONSUMER_SPENDING_SERVICES" hidden="1">"c6837"</definedName>
    <definedName name="IQ_CONSUMER_SPENDING_SERVICES_APR" hidden="1">"c7497"</definedName>
    <definedName name="IQ_CONSUMER_SPENDING_SERVICES_APR_FC" hidden="1">"c8377"</definedName>
    <definedName name="IQ_CONSUMER_SPENDING_SERVICES_FC" hidden="1">"c7717"</definedName>
    <definedName name="IQ_CONSUMER_SPENDING_SERVICES_POP" hidden="1">"c7057"</definedName>
    <definedName name="IQ_CONSUMER_SPENDING_SERVICES_POP_FC" hidden="1">"c7937"</definedName>
    <definedName name="IQ_CONSUMER_SPENDING_SERVICES_REAL" hidden="1">"c6969"</definedName>
    <definedName name="IQ_CONSUMER_SPENDING_SERVICES_REAL_APR" hidden="1">"c7629"</definedName>
    <definedName name="IQ_CONSUMER_SPENDING_SERVICES_REAL_APR_FC" hidden="1">"c8509"</definedName>
    <definedName name="IQ_CONSUMER_SPENDING_SERVICES_REAL_FC" hidden="1">"c7849"</definedName>
    <definedName name="IQ_CONSUMER_SPENDING_SERVICES_REAL_POP" hidden="1">"c7189"</definedName>
    <definedName name="IQ_CONSUMER_SPENDING_SERVICES_REAL_POP_FC" hidden="1">"c8069"</definedName>
    <definedName name="IQ_CONSUMER_SPENDING_SERVICES_REAL_SAAR" hidden="1">"c6970"</definedName>
    <definedName name="IQ_CONSUMER_SPENDING_SERVICES_REAL_SAAR_APR" hidden="1">"c7630"</definedName>
    <definedName name="IQ_CONSUMER_SPENDING_SERVICES_REAL_SAAR_APR_FC" hidden="1">"c8510"</definedName>
    <definedName name="IQ_CONSUMER_SPENDING_SERVICES_REAL_SAAR_FC" hidden="1">"c7850"</definedName>
    <definedName name="IQ_CONSUMER_SPENDING_SERVICES_REAL_SAAR_POP" hidden="1">"c7190"</definedName>
    <definedName name="IQ_CONSUMER_SPENDING_SERVICES_REAL_SAAR_POP_FC" hidden="1">"c8070"</definedName>
    <definedName name="IQ_CONSUMER_SPENDING_SERVICES_REAL_SAAR_YOY" hidden="1">"c7410"</definedName>
    <definedName name="IQ_CONSUMER_SPENDING_SERVICES_REAL_SAAR_YOY_FC" hidden="1">"c8290"</definedName>
    <definedName name="IQ_CONSUMER_SPENDING_SERVICES_REAL_YOY" hidden="1">"c7409"</definedName>
    <definedName name="IQ_CONSUMER_SPENDING_SERVICES_REAL_YOY_FC" hidden="1">"c8289"</definedName>
    <definedName name="IQ_CONSUMER_SPENDING_SERVICES_YOY" hidden="1">"c7277"</definedName>
    <definedName name="IQ_CONSUMER_SPENDING_SERVICES_YOY_FC" hidden="1">"c8157"</definedName>
    <definedName name="IQ_CONSUMER_SPENDING_YOY" hidden="1">"c7274"</definedName>
    <definedName name="IQ_CONSUMER_SPENDING_YOY_FC" hidden="1">"c8154"</definedName>
    <definedName name="IQ_CONTRACTS_OTHER_COMMODITIES_EQUITIES_FDIC" hidden="1">"c6522"</definedName>
    <definedName name="IQ_CONV_DATE" hidden="1">"c2191"</definedName>
    <definedName name="IQ_CONV_EXP_DATE" hidden="1">"c3043"</definedName>
    <definedName name="IQ_CONV_PREMIUM" hidden="1">"c2195"</definedName>
    <definedName name="IQ_CONV_PRICE" hidden="1">"c2193"</definedName>
    <definedName name="IQ_CONV_RATIO" hidden="1">"c2192"</definedName>
    <definedName name="IQ_CONV_SECURITY" hidden="1">"c2189"</definedName>
    <definedName name="IQ_CONV_SECURITY_ISSUER" hidden="1">"c2190"</definedName>
    <definedName name="IQ_CONV_SECURITY_PRICE" hidden="1">"c2194"</definedName>
    <definedName name="IQ_CONVERT" hidden="1">"c2536"</definedName>
    <definedName name="IQ_CONVERT_PCT" hidden="1">"c2537"</definedName>
    <definedName name="IQ_CONVEXITY" hidden="1">"c2182"</definedName>
    <definedName name="IQ_CONVEYED_TO_OTHERS_FDIC" hidden="1">"c6534"</definedName>
    <definedName name="IQ_CORE_CAPITAL_RATIO_FDIC" hidden="1">"c6745"</definedName>
    <definedName name="IQ_CORP_GOODS_PRICE_INDEX_APR_FC_UNUSED_UNUSED_UNUSED" hidden="1">"c8381"</definedName>
    <definedName name="IQ_CORP_GOODS_PRICE_INDEX_APR_UNUSED_UNUSED_UNUSED" hidden="1">"c7501"</definedName>
    <definedName name="IQ_CORP_GOODS_PRICE_INDEX_FC_UNUSED_UNUSED_UNUSED" hidden="1">"c7721"</definedName>
    <definedName name="IQ_CORP_GOODS_PRICE_INDEX_POP_FC_UNUSED_UNUSED_UNUSED" hidden="1">"c7941"</definedName>
    <definedName name="IQ_CORP_GOODS_PRICE_INDEX_POP_UNUSED_UNUSED_UNUSED" hidden="1">"c7061"</definedName>
    <definedName name="IQ_CORP_GOODS_PRICE_INDEX_UNUSED_UNUSED_UNUSED" hidden="1">"c6841"</definedName>
    <definedName name="IQ_CORP_GOODS_PRICE_INDEX_YOY_FC_UNUSED_UNUSED_UNUSED" hidden="1">"c8161"</definedName>
    <definedName name="IQ_CORP_GOODS_PRICE_INDEX_YOY_UNUSED_UNUSED_UNUSED" hidden="1">"c7281"</definedName>
    <definedName name="IQ_CORP_PROFITS" hidden="1">"c6843"</definedName>
    <definedName name="IQ_CORP_PROFITS_AFTER_TAX_SAAR" hidden="1">"c6842"</definedName>
    <definedName name="IQ_CORP_PROFITS_AFTER_TAX_SAAR_APR" hidden="1">"c7502"</definedName>
    <definedName name="IQ_CORP_PROFITS_AFTER_TAX_SAAR_APR_FC" hidden="1">"c8382"</definedName>
    <definedName name="IQ_CORP_PROFITS_AFTER_TAX_SAAR_FC" hidden="1">"c7722"</definedName>
    <definedName name="IQ_CORP_PROFITS_AFTER_TAX_SAAR_POP" hidden="1">"c7062"</definedName>
    <definedName name="IQ_CORP_PROFITS_AFTER_TAX_SAAR_POP_FC" hidden="1">"c7942"</definedName>
    <definedName name="IQ_CORP_PROFITS_AFTER_TAX_SAAR_YOY" hidden="1">"c7282"</definedName>
    <definedName name="IQ_CORP_PROFITS_AFTER_TAX_SAAR_YOY_FC" hidden="1">"c8162"</definedName>
    <definedName name="IQ_CORP_PROFITS_APR" hidden="1">"c7503"</definedName>
    <definedName name="IQ_CORP_PROFITS_APR_FC" hidden="1">"c8383"</definedName>
    <definedName name="IQ_CORP_PROFITS_FC" hidden="1">"c7723"</definedName>
    <definedName name="IQ_CORP_PROFITS_POP" hidden="1">"c7063"</definedName>
    <definedName name="IQ_CORP_PROFITS_POP_FC" hidden="1">"c7943"</definedName>
    <definedName name="IQ_CORP_PROFITS_SAAR" hidden="1">"c6844"</definedName>
    <definedName name="IQ_CORP_PROFITS_SAAR_APR" hidden="1">"c7504"</definedName>
    <definedName name="IQ_CORP_PROFITS_SAAR_APR_FC" hidden="1">"c8384"</definedName>
    <definedName name="IQ_CORP_PROFITS_SAAR_FC" hidden="1">"c7724"</definedName>
    <definedName name="IQ_CORP_PROFITS_SAAR_POP" hidden="1">"c7064"</definedName>
    <definedName name="IQ_CORP_PROFITS_SAAR_POP_FC" hidden="1">"c7944"</definedName>
    <definedName name="IQ_CORP_PROFITS_SAAR_YOY" hidden="1">"c7284"</definedName>
    <definedName name="IQ_CORP_PROFITS_SAAR_YOY_FC" hidden="1">"c8164"</definedName>
    <definedName name="IQ_CORP_PROFITS_YOY" hidden="1">"c7283"</definedName>
    <definedName name="IQ_CORP_PROFITS_YOY_FC" hidden="1">"c8163"</definedName>
    <definedName name="IQ_COST_BORROWING" hidden="1">"c2936"</definedName>
    <definedName name="IQ_COST_BORROWINGS" hidden="1">"c225"</definedName>
    <definedName name="IQ_COST_CAPITAL_NEW_BUSINESS" hidden="1">"c9968"</definedName>
    <definedName name="IQ_COST_OF_FUNDING_ASSETS_FDIC" hidden="1">"c6725"</definedName>
    <definedName name="IQ_COST_REV" hidden="1">"c226"</definedName>
    <definedName name="IQ_COST_REVENUE" hidden="1">"c1359"</definedName>
    <definedName name="IQ_COST_SAVINGS" hidden="1">"c227"</definedName>
    <definedName name="IQ_COST_SERVICE" hidden="1">"c228"</definedName>
    <definedName name="IQ_COST_SOLVENCY_CAPITAL_COVERED" hidden="1">"c9965"</definedName>
    <definedName name="IQ_COST_SOLVENCY_CAPITAL_GROUP" hidden="1">"c9951"</definedName>
    <definedName name="IQ_COST_TOTAL_BORROWINGS" hidden="1">"c229"</definedName>
    <definedName name="IQ_COUNTRY_NAME" hidden="1">"c230"</definedName>
    <definedName name="IQ_COUNTRY_NAME_ECON" hidden="1">"c11752"</definedName>
    <definedName name="IQ_COUPON_FORMULA" hidden="1">"c8965"</definedName>
    <definedName name="IQ_COVERED_POPS" hidden="1">"c2124"</definedName>
    <definedName name="IQ_CP" hidden="1">"c2495"</definedName>
    <definedName name="IQ_CP_PCT" hidden="1">"c2496"</definedName>
    <definedName name="IQ_CPI" hidden="1">"c6845"</definedName>
    <definedName name="IQ_CPI_APR" hidden="1">"c7505"</definedName>
    <definedName name="IQ_CPI_APR_FC" hidden="1">"c8385"</definedName>
    <definedName name="IQ_CPI_CORE" hidden="1">"c6838"</definedName>
    <definedName name="IQ_CPI_CORE_APR" hidden="1">"c7498"</definedName>
    <definedName name="IQ_CPI_CORE_POP" hidden="1">"c7058"</definedName>
    <definedName name="IQ_CPI_CORE_YOY" hidden="1">"c7278"</definedName>
    <definedName name="IQ_CPI_FC" hidden="1">"c7725"</definedName>
    <definedName name="IQ_CPI_POP" hidden="1">"c7065"</definedName>
    <definedName name="IQ_CPI_POP_FC" hidden="1">"c7945"</definedName>
    <definedName name="IQ_CPI_YOY" hidden="1">"c7285"</definedName>
    <definedName name="IQ_CPI_YOY_FC" hidden="1">"c8165"</definedName>
    <definedName name="IQ_CQ" hidden="1">5000</definedName>
    <definedName name="IQ_CREDIT_CARD_CHARGE_OFFS_FDIC" hidden="1">"c6652"</definedName>
    <definedName name="IQ_CREDIT_CARD_FEE_BNK" hidden="1">"c231"</definedName>
    <definedName name="IQ_CREDIT_CARD_FEE_FIN" hidden="1">"c1583"</definedName>
    <definedName name="IQ_CREDIT_CARD_LINES_FDIC" hidden="1">"c6525"</definedName>
    <definedName name="IQ_CREDIT_CARD_LOANS_FDIC" hidden="1">"c6319"</definedName>
    <definedName name="IQ_CREDIT_CARD_NET_CHARGE_OFFS_FDIC" hidden="1">"c6654"</definedName>
    <definedName name="IQ_CREDIT_CARD_RECOVERIES_FDIC" hidden="1">"c6653"</definedName>
    <definedName name="IQ_CREDIT_EXPOSURE" hidden="1">"c10038"</definedName>
    <definedName name="IQ_CREDIT_LOSS_CF" hidden="1">"c232"</definedName>
    <definedName name="IQ_CREDIT_LOSS_PROVISION_NET_CHARGE_OFFS_FDIC" hidden="1">"c6734"</definedName>
    <definedName name="IQ_CUMULATIVE_SPLIT_FACTOR" hidden="1">"c2094"</definedName>
    <definedName name="IQ_CURR_ACCT_BALANCE_APR_FC_UNUSED_UNUSED_UNUSED" hidden="1">"c8387"</definedName>
    <definedName name="IQ_CURR_ACCT_BALANCE_APR_UNUSED_UNUSED_UNUSED" hidden="1">"c7507"</definedName>
    <definedName name="IQ_CURR_ACCT_BALANCE_FC_UNUSED_UNUSED_UNUSED" hidden="1">"c7727"</definedName>
    <definedName name="IQ_CURR_ACCT_BALANCE_PCT" hidden="1">"c6846"</definedName>
    <definedName name="IQ_CURR_ACCT_BALANCE_PCT_FC" hidden="1">"c7726"</definedName>
    <definedName name="IQ_CURR_ACCT_BALANCE_PCT_POP" hidden="1">"c7066"</definedName>
    <definedName name="IQ_CURR_ACCT_BALANCE_PCT_POP_FC" hidden="1">"c7946"</definedName>
    <definedName name="IQ_CURR_ACCT_BALANCE_PCT_YOY" hidden="1">"c7286"</definedName>
    <definedName name="IQ_CURR_ACCT_BALANCE_PCT_YOY_FC" hidden="1">"c8166"</definedName>
    <definedName name="IQ_CURR_ACCT_BALANCE_POP_FC_UNUSED_UNUSED_UNUSED" hidden="1">"c7947"</definedName>
    <definedName name="IQ_CURR_ACCT_BALANCE_POP_UNUSED_UNUSED_UNUSED" hidden="1">"c7067"</definedName>
    <definedName name="IQ_CURR_ACCT_BALANCE_SAAR" hidden="1">"c6848"</definedName>
    <definedName name="IQ_CURR_ACCT_BALANCE_SAAR_APR" hidden="1">"c7508"</definedName>
    <definedName name="IQ_CURR_ACCT_BALANCE_SAAR_APR_FC" hidden="1">"c8388"</definedName>
    <definedName name="IQ_CURR_ACCT_BALANCE_SAAR_FC" hidden="1">"c7728"</definedName>
    <definedName name="IQ_CURR_ACCT_BALANCE_SAAR_POP" hidden="1">"c7068"</definedName>
    <definedName name="IQ_CURR_ACCT_BALANCE_SAAR_POP_FC" hidden="1">"c7948"</definedName>
    <definedName name="IQ_CURR_ACCT_BALANCE_SAAR_USD_APR_FC" hidden="1">"c11797"</definedName>
    <definedName name="IQ_CURR_ACCT_BALANCE_SAAR_USD_FC" hidden="1">"c11794"</definedName>
    <definedName name="IQ_CURR_ACCT_BALANCE_SAAR_USD_POP_FC" hidden="1">"c11795"</definedName>
    <definedName name="IQ_CURR_ACCT_BALANCE_SAAR_USD_YOY_FC" hidden="1">"c11796"</definedName>
    <definedName name="IQ_CURR_ACCT_BALANCE_SAAR_YOY" hidden="1">"c7288"</definedName>
    <definedName name="IQ_CURR_ACCT_BALANCE_SAAR_YOY_FC" hidden="1">"c8168"</definedName>
    <definedName name="IQ_CURR_ACCT_BALANCE_UNUSED_UNUSED_UNUSED" hidden="1">"c6847"</definedName>
    <definedName name="IQ_CURR_ACCT_BALANCE_USD" hidden="1">"c11786"</definedName>
    <definedName name="IQ_CURR_ACCT_BALANCE_USD_APR" hidden="1">"c11789"</definedName>
    <definedName name="IQ_CURR_ACCT_BALANCE_USD_APR_FC" hidden="1">"c11793"</definedName>
    <definedName name="IQ_CURR_ACCT_BALANCE_USD_FC" hidden="1">"c11790"</definedName>
    <definedName name="IQ_CURR_ACCT_BALANCE_USD_POP" hidden="1">"c11787"</definedName>
    <definedName name="IQ_CURR_ACCT_BALANCE_USD_POP_FC" hidden="1">"c11791"</definedName>
    <definedName name="IQ_CURR_ACCT_BALANCE_USD_YOY" hidden="1">"c11788"</definedName>
    <definedName name="IQ_CURR_ACCT_BALANCE_USD_YOY_FC" hidden="1">"c11792"</definedName>
    <definedName name="IQ_CURR_ACCT_BALANCE_YOY_FC_UNUSED_UNUSED_UNUSED" hidden="1">"c8167"</definedName>
    <definedName name="IQ_CURR_ACCT_BALANCE_YOY_UNUSED_UNUSED_UNUSED" hidden="1">"c7287"</definedName>
    <definedName name="IQ_CURR_ACCT_INC_RECEIPTS" hidden="1">"c6849"</definedName>
    <definedName name="IQ_CURR_ACCT_INC_RECEIPTS_APR" hidden="1">"c7509"</definedName>
    <definedName name="IQ_CURR_ACCT_INC_RECEIPTS_APR_FC" hidden="1">"c8389"</definedName>
    <definedName name="IQ_CURR_ACCT_INC_RECEIPTS_FC" hidden="1">"c7729"</definedName>
    <definedName name="IQ_CURR_ACCT_INC_RECEIPTS_POP" hidden="1">"c7069"</definedName>
    <definedName name="IQ_CURR_ACCT_INC_RECEIPTS_POP_FC" hidden="1">"c7949"</definedName>
    <definedName name="IQ_CURR_ACCT_INC_RECEIPTS_YOY" hidden="1">"c7289"</definedName>
    <definedName name="IQ_CURR_ACCT_INC_RECEIPTS_YOY_FC" hidden="1">"c8169"</definedName>
    <definedName name="IQ_CURR_DOMESTIC_TAXES" hidden="1">"c2074"</definedName>
    <definedName name="IQ_CURR_FOREIGN_TAXES" hidden="1">"c2075"</definedName>
    <definedName name="IQ_CURRENCY_COIN_DOMESTIC_FDIC" hidden="1">"c6388"</definedName>
    <definedName name="IQ_CURRENCY_FACTOR_BS" hidden="1">"c233"</definedName>
    <definedName name="IQ_CURRENCY_FACTOR_IS" hidden="1">"c234"</definedName>
    <definedName name="IQ_CURRENCY_GAIN" hidden="1">"c235"</definedName>
    <definedName name="IQ_CURRENCY_GAIN_BR" hidden="1">"c236"</definedName>
    <definedName name="IQ_CURRENCY_GAIN_FIN" hidden="1">"c237"</definedName>
    <definedName name="IQ_CURRENCY_GAIN_INS" hidden="1">"c238"</definedName>
    <definedName name="IQ_CURRENCY_GAIN_RE" hidden="1">"c6205"</definedName>
    <definedName name="IQ_CURRENCY_GAIN_REIT" hidden="1">"c239"</definedName>
    <definedName name="IQ_CURRENCY_GAIN_UTI" hidden="1">"c240"</definedName>
    <definedName name="IQ_CURRENT_BENCHMARK" hidden="1">"c6780"</definedName>
    <definedName name="IQ_CURRENT_BENCHMARK_CIQID" hidden="1">"c6781"</definedName>
    <definedName name="IQ_CURRENT_BENCHMARK_MATURITY" hidden="1">"c6782"</definedName>
    <definedName name="IQ_CURRENT_PORT" hidden="1">"c241"</definedName>
    <definedName name="IQ_CURRENT_PORT_BNK" hidden="1">"c242"</definedName>
    <definedName name="IQ_CURRENT_PORT_DEBT" hidden="1">"c243"</definedName>
    <definedName name="IQ_CURRENT_PORT_DEBT_BNK" hidden="1">"c244"</definedName>
    <definedName name="IQ_CURRENT_PORT_DEBT_BR" hidden="1">"c1567"</definedName>
    <definedName name="IQ_CURRENT_PORT_DEBT_FIN" hidden="1">"c1568"</definedName>
    <definedName name="IQ_CURRENT_PORT_DEBT_INS" hidden="1">"c1569"</definedName>
    <definedName name="IQ_CURRENT_PORT_DEBT_RE" hidden="1">"c6283"</definedName>
    <definedName name="IQ_CURRENT_PORT_DEBT_REIT" hidden="1">"c1570"</definedName>
    <definedName name="IQ_CURRENT_PORT_DEBT_UTI" hidden="1">"c1571"</definedName>
    <definedName name="IQ_CURRENT_PORT_FHLB_DEBT" hidden="1">"c5657"</definedName>
    <definedName name="IQ_CURRENT_PORT_LEASES" hidden="1">"c245"</definedName>
    <definedName name="IQ_CURRENT_PORT_PCT" hidden="1">"c2541"</definedName>
    <definedName name="IQ_CURRENT_RATIO" hidden="1">"c246"</definedName>
    <definedName name="IQ_CUSIP" hidden="1">"c2245"</definedName>
    <definedName name="IQ_CY" hidden="1">10000</definedName>
    <definedName name="IQ_DA" hidden="1">"c247"</definedName>
    <definedName name="IQ_DA_BR" hidden="1">"c248"</definedName>
    <definedName name="IQ_DA_CF" hidden="1">"c249"</definedName>
    <definedName name="IQ_DA_CF_BNK" hidden="1">"c250"</definedName>
    <definedName name="IQ_DA_CF_BR" hidden="1">"c251"</definedName>
    <definedName name="IQ_DA_CF_FIN" hidden="1">"c252"</definedName>
    <definedName name="IQ_DA_CF_INS" hidden="1">"c253"</definedName>
    <definedName name="IQ_DA_CF_RE" hidden="1">"c6206"</definedName>
    <definedName name="IQ_DA_CF_REIT" hidden="1">"c254"</definedName>
    <definedName name="IQ_DA_CF_UTI" hidden="1">"c255"</definedName>
    <definedName name="IQ_DA_EBITDA" hidden="1">"c5528"</definedName>
    <definedName name="IQ_DA_FIN" hidden="1">"c256"</definedName>
    <definedName name="IQ_DA_INS" hidden="1">"c257"</definedName>
    <definedName name="IQ_DA_RE" hidden="1">"c6207"</definedName>
    <definedName name="IQ_DA_REIT" hidden="1">"c258"</definedName>
    <definedName name="IQ_DA_SUPPL" hidden="1">"c259"</definedName>
    <definedName name="IQ_DA_SUPPL_BR" hidden="1">"c260"</definedName>
    <definedName name="IQ_DA_SUPPL_CF" hidden="1">"c261"</definedName>
    <definedName name="IQ_DA_SUPPL_CF_BNK" hidden="1">"c262"</definedName>
    <definedName name="IQ_DA_SUPPL_CF_BR" hidden="1">"c263"</definedName>
    <definedName name="IQ_DA_SUPPL_CF_FIN" hidden="1">"c264"</definedName>
    <definedName name="IQ_DA_SUPPL_CF_INS" hidden="1">"c265"</definedName>
    <definedName name="IQ_DA_SUPPL_CF_RE" hidden="1">"c6208"</definedName>
    <definedName name="IQ_DA_SUPPL_CF_REIT" hidden="1">"c266"</definedName>
    <definedName name="IQ_DA_SUPPL_CF_UTI" hidden="1">"c267"</definedName>
    <definedName name="IQ_DA_SUPPL_FIN" hidden="1">"c268"</definedName>
    <definedName name="IQ_DA_SUPPL_INS" hidden="1">"c269"</definedName>
    <definedName name="IQ_DA_SUPPL_RE" hidden="1">"c6209"</definedName>
    <definedName name="IQ_DA_SUPPL_REIT" hidden="1">"c270"</definedName>
    <definedName name="IQ_DA_SUPPL_UTI" hidden="1">"c271"</definedName>
    <definedName name="IQ_DA_UTI" hidden="1">"c272"</definedName>
    <definedName name="IQ_DATED_DATE" hidden="1">"c2185"</definedName>
    <definedName name="IQ_DAY_COUNT" hidden="1">"c2161"</definedName>
    <definedName name="IQ_DAYS_COVER_SHORT" hidden="1">"c1578"</definedName>
    <definedName name="IQ_DAYS_DELAY" hidden="1">"c8963"</definedName>
    <definedName name="IQ_DAYS_INVENTORY_OUT" hidden="1">"c273"</definedName>
    <definedName name="IQ_DAYS_PAY_OUTST" hidden="1">"c1362"</definedName>
    <definedName name="IQ_DAYS_PAYABLE_OUT" hidden="1">"c274"</definedName>
    <definedName name="IQ_DAYS_SALES_OUT" hidden="1">"c275"</definedName>
    <definedName name="IQ_DAYS_SALES_OUTST" hidden="1">"c1363"</definedName>
    <definedName name="IQ_DEBT_ADJ" hidden="1">"c2515"</definedName>
    <definedName name="IQ_DEBT_ADJ_PCT" hidden="1">"c2516"</definedName>
    <definedName name="IQ_DEBT_EQUIV_NET_PBO" hidden="1">"c2938"</definedName>
    <definedName name="IQ_DEBT_EQUIV_OPER_LEASE" hidden="1">"c2935"</definedName>
    <definedName name="IQ_DEF_ACQ_CST" hidden="1">"c1364"</definedName>
    <definedName name="IQ_DEF_AMORT" hidden="1">"c276"</definedName>
    <definedName name="IQ_DEF_AMORT_BNK" hidden="1">"c277"</definedName>
    <definedName name="IQ_DEF_AMORT_BR" hidden="1">"c278"</definedName>
    <definedName name="IQ_DEF_AMORT_FIN" hidden="1">"c279"</definedName>
    <definedName name="IQ_DEF_AMORT_INS" hidden="1">"c280"</definedName>
    <definedName name="IQ_DEF_AMORT_REIT" hidden="1">"c281"</definedName>
    <definedName name="IQ_DEF_AMORT_UTI" hidden="1">"c282"</definedName>
    <definedName name="IQ_DEF_BENEFIT_INTEREST_COST" hidden="1">"c283"</definedName>
    <definedName name="IQ_DEF_BENEFIT_INTEREST_COST_DOMESTIC" hidden="1">"c2652"</definedName>
    <definedName name="IQ_DEF_BENEFIT_INTEREST_COST_FOREIGN" hidden="1">"c2660"</definedName>
    <definedName name="IQ_DEF_BENEFIT_OTHER_COST" hidden="1">"c284"</definedName>
    <definedName name="IQ_DEF_BENEFIT_OTHER_COST_DOMESTIC" hidden="1">"c2654"</definedName>
    <definedName name="IQ_DEF_BENEFIT_OTHER_COST_FOREIGN" hidden="1">"c2662"</definedName>
    <definedName name="IQ_DEF_BENEFIT_ROA" hidden="1">"c285"</definedName>
    <definedName name="IQ_DEF_BENEFIT_ROA_DOMESTIC" hidden="1">"c2653"</definedName>
    <definedName name="IQ_DEF_BENEFIT_ROA_FOREIGN" hidden="1">"c2661"</definedName>
    <definedName name="IQ_DEF_BENEFIT_SERVICE_COST" hidden="1">"c286"</definedName>
    <definedName name="IQ_DEF_BENEFIT_SERVICE_COST_DOMESTIC" hidden="1">"c2651"</definedName>
    <definedName name="IQ_DEF_BENEFIT_SERVICE_COST_FOREIGN" hidden="1">"c2659"</definedName>
    <definedName name="IQ_DEF_BENEFIT_TOTAL_COST" hidden="1">"c287"</definedName>
    <definedName name="IQ_DEF_BENEFIT_TOTAL_COST_DOMESTIC" hidden="1">"c2655"</definedName>
    <definedName name="IQ_DEF_BENEFIT_TOTAL_COST_FOREIGN" hidden="1">"c2663"</definedName>
    <definedName name="IQ_DEF_CHARGES_BR" hidden="1">"c288"</definedName>
    <definedName name="IQ_DEF_CHARGES_CF" hidden="1">"c289"</definedName>
    <definedName name="IQ_DEF_CHARGES_FIN" hidden="1">"c290"</definedName>
    <definedName name="IQ_DEF_CHARGES_INS" hidden="1">"c291"</definedName>
    <definedName name="IQ_DEF_CHARGES_LT" hidden="1">"c292"</definedName>
    <definedName name="IQ_DEF_CHARGES_LT_BNK" hidden="1">"c293"</definedName>
    <definedName name="IQ_DEF_CHARGES_LT_BR" hidden="1">"c294"</definedName>
    <definedName name="IQ_DEF_CHARGES_LT_FIN" hidden="1">"c295"</definedName>
    <definedName name="IQ_DEF_CHARGES_LT_INS" hidden="1">"c296"</definedName>
    <definedName name="IQ_DEF_CHARGES_LT_RE" hidden="1">"c6210"</definedName>
    <definedName name="IQ_DEF_CHARGES_LT_REIT" hidden="1">"c297"</definedName>
    <definedName name="IQ_DEF_CHARGES_LT_UTI" hidden="1">"c298"</definedName>
    <definedName name="IQ_DEF_CHARGES_RE" hidden="1">"c6211"</definedName>
    <definedName name="IQ_DEF_CHARGES_REIT" hidden="1">"c299"</definedName>
    <definedName name="IQ_DEF_CONTRIBUTION_TOTAL_COST" hidden="1">"c300"</definedName>
    <definedName name="IQ_DEF_INC_TAX" hidden="1">"c1365"</definedName>
    <definedName name="IQ_DEF_POLICY_ACQ_COSTS" hidden="1">"c301"</definedName>
    <definedName name="IQ_DEF_POLICY_ACQ_COSTS_CF" hidden="1">"c302"</definedName>
    <definedName name="IQ_DEF_POLICY_AMORT" hidden="1">"c303"</definedName>
    <definedName name="IQ_DEF_SPENDING_REAL_SAAR" hidden="1">"c6971"</definedName>
    <definedName name="IQ_DEF_SPENDING_REAL_SAAR_APR" hidden="1">"c7631"</definedName>
    <definedName name="IQ_DEF_SPENDING_REAL_SAAR_APR_FC" hidden="1">"c8511"</definedName>
    <definedName name="IQ_DEF_SPENDING_REAL_SAAR_FC" hidden="1">"c7851"</definedName>
    <definedName name="IQ_DEF_SPENDING_REAL_SAAR_POP" hidden="1">"c7191"</definedName>
    <definedName name="IQ_DEF_SPENDING_REAL_SAAR_POP_FC" hidden="1">"c8071"</definedName>
    <definedName name="IQ_DEF_SPENDING_REAL_SAAR_YOY" hidden="1">"c7411"</definedName>
    <definedName name="IQ_DEF_SPENDING_REAL_SAAR_YOY_FC" hidden="1">"c8291"</definedName>
    <definedName name="IQ_DEF_TAX_ASSET_LT_BR" hidden="1">"c304"</definedName>
    <definedName name="IQ_DEF_TAX_ASSET_LT_FIN" hidden="1">"c305"</definedName>
    <definedName name="IQ_DEF_TAX_ASSET_LT_INS" hidden="1">"c306"</definedName>
    <definedName name="IQ_DEF_TAX_ASSET_LT_RE" hidden="1">"c6212"</definedName>
    <definedName name="IQ_DEF_TAX_ASSET_LT_REIT" hidden="1">"c307"</definedName>
    <definedName name="IQ_DEF_TAX_ASSET_LT_UTI" hidden="1">"c308"</definedName>
    <definedName name="IQ_DEF_TAX_ASSETS_CURRENT" hidden="1">"c309"</definedName>
    <definedName name="IQ_DEF_TAX_ASSETS_LT" hidden="1">"c310"</definedName>
    <definedName name="IQ_DEF_TAX_ASSETS_LT_BNK" hidden="1">"c311"</definedName>
    <definedName name="IQ_DEF_TAX_LIAB_CURRENT" hidden="1">"c312"</definedName>
    <definedName name="IQ_DEF_TAX_LIAB_LT" hidden="1">"c313"</definedName>
    <definedName name="IQ_DEF_TAX_LIAB_LT_BNK" hidden="1">"c314"</definedName>
    <definedName name="IQ_DEF_TAX_LIAB_LT_BR" hidden="1">"c315"</definedName>
    <definedName name="IQ_DEF_TAX_LIAB_LT_FIN" hidden="1">"c316"</definedName>
    <definedName name="IQ_DEF_TAX_LIAB_LT_INS" hidden="1">"c317"</definedName>
    <definedName name="IQ_DEF_TAX_LIAB_LT_RE" hidden="1">"c6213"</definedName>
    <definedName name="IQ_DEF_TAX_LIAB_LT_REIT" hidden="1">"c318"</definedName>
    <definedName name="IQ_DEF_TAX_LIAB_LT_UTI" hidden="1">"c319"</definedName>
    <definedName name="IQ_DEFERRED_DOMESTIC_TAXES" hidden="1">"c2077"</definedName>
    <definedName name="IQ_DEFERRED_FOREIGN_TAXES" hidden="1">"c2078"</definedName>
    <definedName name="IQ_DEFERRED_INC_TAX" hidden="1">"c1447"</definedName>
    <definedName name="IQ_DEFERRED_TAXES" hidden="1">"c1356"</definedName>
    <definedName name="IQ_DEMAND_DEP" hidden="1">"c320"</definedName>
    <definedName name="IQ_DEMAND_DEPOSITS_FDIC" hidden="1">"c6489"</definedName>
    <definedName name="IQ_DEPOSIT_ACCOUNTS_LESS_THAN_100K_FDIC" hidden="1">"c6494"</definedName>
    <definedName name="IQ_DEPOSIT_ACCOUNTS_MORE_THAN_100K_FDIC" hidden="1">"c6492"</definedName>
    <definedName name="IQ_DEPOSITORY_INSTITUTIONS_CHARGE_OFFS_FDIC" hidden="1">"c6596"</definedName>
    <definedName name="IQ_DEPOSITORY_INSTITUTIONS_NET_CHARGE_OFFS_FDIC" hidden="1">"c6634"</definedName>
    <definedName name="IQ_DEPOSITORY_INSTITUTIONS_RECOVERIES_FDIC" hidden="1">"c6615"</definedName>
    <definedName name="IQ_DEPOSITS_FIN" hidden="1">"c321"</definedName>
    <definedName name="IQ_DEPOSITS_HELD_DOMESTIC_FDIC" hidden="1">"c6340"</definedName>
    <definedName name="IQ_DEPOSITS_HELD_FOREIGN_FDIC" hidden="1">"c6341"</definedName>
    <definedName name="IQ_DEPOSITS_INTEREST_SECURITIES" hidden="1">"c5509"</definedName>
    <definedName name="IQ_DEPOSITS_LESS_THAN_100K_AFTER_THREE_YEARS_FDIC" hidden="1">"c6464"</definedName>
    <definedName name="IQ_DEPOSITS_LESS_THAN_100K_THREE_MONTHS_FDIC" hidden="1">"c6461"</definedName>
    <definedName name="IQ_DEPOSITS_LESS_THAN_100K_THREE_YEARS_FDIC" hidden="1">"c6463"</definedName>
    <definedName name="IQ_DEPOSITS_LESS_THAN_100K_TWELVE_MONTHS_FDIC" hidden="1">"c6462"</definedName>
    <definedName name="IQ_DEPOSITS_MORE_THAN_100K_AFTER_THREE_YEARS_FDIC" hidden="1">"c6469"</definedName>
    <definedName name="IQ_DEPOSITS_MORE_THAN_100K_THREE_MONTHS_FDIC" hidden="1">"c6466"</definedName>
    <definedName name="IQ_DEPOSITS_MORE_THAN_100K_THREE_YEARS_FDIC" hidden="1">"c6468"</definedName>
    <definedName name="IQ_DEPOSITS_MORE_THAN_100K_TWELVE_MONTHS_FDIC" hidden="1">"c6467"</definedName>
    <definedName name="IQ_DEPRE_AMORT" hidden="1">"c1360"</definedName>
    <definedName name="IQ_DEPRE_AMORT_SUPPL" hidden="1">"c1593"</definedName>
    <definedName name="IQ_DEPRE_DEPLE" hidden="1">"c1361"</definedName>
    <definedName name="IQ_DEPRE_SUPP" hidden="1">"c1443"</definedName>
    <definedName name="IQ_DERIVATIVES_FDIC" hidden="1">"c6523"</definedName>
    <definedName name="IQ_DESCRIPTION_LONG" hidden="1">"c1520"</definedName>
    <definedName name="IQ_DEVELOP_LAND" hidden="1">"c323"</definedName>
    <definedName name="IQ_DILUT_ADJUST" hidden="1">"c1621"</definedName>
    <definedName name="IQ_DILUT_EPS_EXCL" hidden="1">"c324"</definedName>
    <definedName name="IQ_DILUT_EPS_INCL" hidden="1">"c325"</definedName>
    <definedName name="IQ_DILUT_EPS_NORM" hidden="1">"c1903"</definedName>
    <definedName name="IQ_DILUT_NI" hidden="1">"c2079"</definedName>
    <definedName name="IQ_DILUT_NORMAL_EPS" hidden="1">"c1594"</definedName>
    <definedName name="IQ_DILUT_WEIGHT" hidden="1">"c326"</definedName>
    <definedName name="IQ_DIRECT_AH_EARNED" hidden="1">"c2740"</definedName>
    <definedName name="IQ_DIRECT_EARNED" hidden="1">"c2730"</definedName>
    <definedName name="IQ_DIRECT_LIFE_EARNED" hidden="1">"c2735"</definedName>
    <definedName name="IQ_DIRECT_LIFE_IN_FORCE" hidden="1">"c2765"</definedName>
    <definedName name="IQ_DIRECT_PC_EARNED" hidden="1">"c2745"</definedName>
    <definedName name="IQ_DIRECT_WRITTEN" hidden="1">"c2724"</definedName>
    <definedName name="IQ_DISCONT_OPER" hidden="1">"c1367"</definedName>
    <definedName name="IQ_DISCOUNT_RATE_PENSION_DOMESTIC" hidden="1">"c327"</definedName>
    <definedName name="IQ_DISCOUNT_RATE_PENSION_FOREIGN" hidden="1">"c328"</definedName>
    <definedName name="IQ_DISPOSABLE_PERSONAL_INC" hidden="1">"c6850"</definedName>
    <definedName name="IQ_DISPOSABLE_PERSONAL_INC_APR" hidden="1">"c7510"</definedName>
    <definedName name="IQ_DISPOSABLE_PERSONAL_INC_APR_FC" hidden="1">"c8390"</definedName>
    <definedName name="IQ_DISPOSABLE_PERSONAL_INC_FC" hidden="1">"c7730"</definedName>
    <definedName name="IQ_DISPOSABLE_PERSONAL_INC_POP" hidden="1">"c7070"</definedName>
    <definedName name="IQ_DISPOSABLE_PERSONAL_INC_POP_FC" hidden="1">"c7950"</definedName>
    <definedName name="IQ_DISPOSABLE_PERSONAL_INC_REAL" hidden="1">"c11922"</definedName>
    <definedName name="IQ_DISPOSABLE_PERSONAL_INC_REAL_APR" hidden="1">"c11925"</definedName>
    <definedName name="IQ_DISPOSABLE_PERSONAL_INC_REAL_POP" hidden="1">"c11923"</definedName>
    <definedName name="IQ_DISPOSABLE_PERSONAL_INC_REAL_YOY" hidden="1">"c11924"</definedName>
    <definedName name="IQ_DISPOSABLE_PERSONAL_INC_SAAR" hidden="1">"c6851"</definedName>
    <definedName name="IQ_DISPOSABLE_PERSONAL_INC_SAAR_APR" hidden="1">"c7511"</definedName>
    <definedName name="IQ_DISPOSABLE_PERSONAL_INC_SAAR_APR_FC" hidden="1">"c8391"</definedName>
    <definedName name="IQ_DISPOSABLE_PERSONAL_INC_SAAR_FC" hidden="1">"c7731"</definedName>
    <definedName name="IQ_DISPOSABLE_PERSONAL_INC_SAAR_POP" hidden="1">"c7071"</definedName>
    <definedName name="IQ_DISPOSABLE_PERSONAL_INC_SAAR_POP_FC" hidden="1">"c7951"</definedName>
    <definedName name="IQ_DISPOSABLE_PERSONAL_INC_SAAR_USD_APR_FC" hidden="1">"c11805"</definedName>
    <definedName name="IQ_DISPOSABLE_PERSONAL_INC_SAAR_USD_FC" hidden="1">"c11802"</definedName>
    <definedName name="IQ_DISPOSABLE_PERSONAL_INC_SAAR_USD_POP_FC" hidden="1">"c11803"</definedName>
    <definedName name="IQ_DISPOSABLE_PERSONAL_INC_SAAR_USD_YOY_FC" hidden="1">"c11804"</definedName>
    <definedName name="IQ_DISPOSABLE_PERSONAL_INC_SAAR_YOY" hidden="1">"c7291"</definedName>
    <definedName name="IQ_DISPOSABLE_PERSONAL_INC_SAAR_YOY_FC" hidden="1">"c8171"</definedName>
    <definedName name="IQ_DISPOSABLE_PERSONAL_INC_USD_APR_FC" hidden="1">"c11801"</definedName>
    <definedName name="IQ_DISPOSABLE_PERSONAL_INC_USD_FC" hidden="1">"c11798"</definedName>
    <definedName name="IQ_DISPOSABLE_PERSONAL_INC_USD_POP_FC" hidden="1">"c11799"</definedName>
    <definedName name="IQ_DISPOSABLE_PERSONAL_INC_USD_YOY_FC" hidden="1">"c11800"</definedName>
    <definedName name="IQ_DISPOSABLE_PERSONAL_INC_YOY" hidden="1">"c7290"</definedName>
    <definedName name="IQ_DISPOSABLE_PERSONAL_INC_YOY_FC" hidden="1">"c8170"</definedName>
    <definedName name="IQ_DISTR_EXCESS_EARN" hidden="1">"c329"</definedName>
    <definedName name="IQ_DISTRIBUTABLE_CASH" hidden="1">"c3002"</definedName>
    <definedName name="IQ_DISTRIBUTABLE_CASH_ACT_OR_EST_CIQ" hidden="1">"c4803"</definedName>
    <definedName name="IQ_DISTRIBUTABLE_CASH_PAYOUT" hidden="1">"c3005"</definedName>
    <definedName name="IQ_DISTRIBUTABLE_CASH_SHARE" hidden="1">"c3003"</definedName>
    <definedName name="IQ_DISTRIBUTABLE_CASH_SHARE_ACT_OR_EST_CIQ" hidden="1">"c4811"</definedName>
    <definedName name="IQ_DIV_AMOUNT" hidden="1">"c3041"</definedName>
    <definedName name="IQ_DIV_PAYMENT_DATE" hidden="1">"c2205"</definedName>
    <definedName name="IQ_DIV_RECORD_DATE" hidden="1">"c2204"</definedName>
    <definedName name="IQ_DIV_SHARE" hidden="1">"c330"</definedName>
    <definedName name="IQ_DIVEST_CF" hidden="1">"c331"</definedName>
    <definedName name="IQ_DIVID_SHARE" hidden="1">"c1366"</definedName>
    <definedName name="IQ_DIVIDEND_YIELD" hidden="1">"c332"</definedName>
    <definedName name="IQ_DIVIDENDS_DECLARED_COMMON_FDIC" hidden="1">"c6659"</definedName>
    <definedName name="IQ_DIVIDENDS_DECLARED_PREFERRED_FDIC" hidden="1">"c6658"</definedName>
    <definedName name="IQ_DIVIDENDS_FDIC" hidden="1">"c6660"</definedName>
    <definedName name="IQ_DIVIDENDS_PAID_DECLARED_PERIOD_COVERED" hidden="1">"c9960"</definedName>
    <definedName name="IQ_DIVIDENDS_PAID_DECLARED_PERIOD_GROUP" hidden="1">"c9946"</definedName>
    <definedName name="IQ_DO" hidden="1">"c333"</definedName>
    <definedName name="IQ_DO_ASSETS_CURRENT" hidden="1">"c334"</definedName>
    <definedName name="IQ_DO_ASSETS_LT" hidden="1">"c335"</definedName>
    <definedName name="IQ_DO_CF" hidden="1">"c336"</definedName>
    <definedName name="IQ_DOC_CLAUSE" hidden="1">"c6032"</definedName>
    <definedName name="IQ_DPAC_ACC" hidden="1">"c2799"</definedName>
    <definedName name="IQ_DPAC_AMORT" hidden="1">"c2795"</definedName>
    <definedName name="IQ_DPAC_BEG" hidden="1">"c2791"</definedName>
    <definedName name="IQ_DPAC_COMMISSIONS" hidden="1">"c2792"</definedName>
    <definedName name="IQ_DPAC_END" hidden="1">"c2801"</definedName>
    <definedName name="IQ_DPAC_FX" hidden="1">"c2798"</definedName>
    <definedName name="IQ_DPAC_OTHER_ADJ" hidden="1">"c2800"</definedName>
    <definedName name="IQ_DPAC_OTHERS" hidden="1">"c2793"</definedName>
    <definedName name="IQ_DPAC_PERIOD" hidden="1">"c2794"</definedName>
    <definedName name="IQ_DPAC_REAL_GAIN" hidden="1">"c2797"</definedName>
    <definedName name="IQ_DPAC_UNREAL_GAIN" hidden="1">"c2796"</definedName>
    <definedName name="IQ_DPS_10YR_ANN_CAGR" hidden="1">"c6065"</definedName>
    <definedName name="IQ_DPS_10YR_ANN_GROWTH" hidden="1">"c337"</definedName>
    <definedName name="IQ_DPS_1YR_ANN_GROWTH" hidden="1">"c338"</definedName>
    <definedName name="IQ_DPS_2YR_ANN_CAGR" hidden="1">"c6066"</definedName>
    <definedName name="IQ_DPS_2YR_ANN_GROWTH" hidden="1">"c339"</definedName>
    <definedName name="IQ_DPS_3YR_ANN_CAGR" hidden="1">"c6067"</definedName>
    <definedName name="IQ_DPS_3YR_ANN_GROWTH" hidden="1">"c340"</definedName>
    <definedName name="IQ_DPS_5YR_ANN_CAGR" hidden="1">"c6068"</definedName>
    <definedName name="IQ_DPS_5YR_ANN_GROWTH" hidden="1">"c341"</definedName>
    <definedName name="IQ_DPS_7YR_ANN_CAGR" hidden="1">"c6069"</definedName>
    <definedName name="IQ_DPS_7YR_ANN_GROWTH" hidden="1">"c342"</definedName>
    <definedName name="IQ_DURABLE_INVENTORIES" hidden="1">"c6853"</definedName>
    <definedName name="IQ_DURABLE_INVENTORIES_APR" hidden="1">"c7513"</definedName>
    <definedName name="IQ_DURABLE_INVENTORIES_APR_FC" hidden="1">"c8393"</definedName>
    <definedName name="IQ_DURABLE_INVENTORIES_FC" hidden="1">"c7733"</definedName>
    <definedName name="IQ_DURABLE_INVENTORIES_POP" hidden="1">"c7073"</definedName>
    <definedName name="IQ_DURABLE_INVENTORIES_POP_FC" hidden="1">"c7953"</definedName>
    <definedName name="IQ_DURABLE_INVENTORIES_YOY" hidden="1">"c7293"</definedName>
    <definedName name="IQ_DURABLE_INVENTORIES_YOY_FC" hidden="1">"c8173"</definedName>
    <definedName name="IQ_DURABLE_ORDERS" hidden="1">"c6854"</definedName>
    <definedName name="IQ_DURABLE_ORDERS_APR" hidden="1">"c7514"</definedName>
    <definedName name="IQ_DURABLE_ORDERS_APR_FC" hidden="1">"c8394"</definedName>
    <definedName name="IQ_DURABLE_ORDERS_FC" hidden="1">"c7734"</definedName>
    <definedName name="IQ_DURABLE_ORDERS_POP" hidden="1">"c7074"</definedName>
    <definedName name="IQ_DURABLE_ORDERS_POP_FC" hidden="1">"c7954"</definedName>
    <definedName name="IQ_DURABLE_ORDERS_YOY" hidden="1">"c7294"</definedName>
    <definedName name="IQ_DURABLE_ORDERS_YOY_FC" hidden="1">"c8174"</definedName>
    <definedName name="IQ_DURABLE_SHIPMENTS" hidden="1">"c6855"</definedName>
    <definedName name="IQ_DURABLE_SHIPMENTS_APR" hidden="1">"c7515"</definedName>
    <definedName name="IQ_DURABLE_SHIPMENTS_APR_FC" hidden="1">"c8395"</definedName>
    <definedName name="IQ_DURABLE_SHIPMENTS_FC" hidden="1">"c7735"</definedName>
    <definedName name="IQ_DURABLE_SHIPMENTS_POP" hidden="1">"c7075"</definedName>
    <definedName name="IQ_DURABLE_SHIPMENTS_POP_FC" hidden="1">"c7955"</definedName>
    <definedName name="IQ_DURABLE_SHIPMENTS_YOY" hidden="1">"c7295"</definedName>
    <definedName name="IQ_DURABLE_SHIPMENTS_YOY_FC" hidden="1">"c8175"</definedName>
    <definedName name="IQ_DURATION" hidden="1">"c2181"</definedName>
    <definedName name="IQ_EARNING_ASSET_YIELD" hidden="1">"c343"</definedName>
    <definedName name="IQ_EARNING_ASSETS_FDIC" hidden="1">"c6360"</definedName>
    <definedName name="IQ_EARNING_ASSETS_YIELD_FDIC" hidden="1">"c6724"</definedName>
    <definedName name="IQ_EARNING_CO" hidden="1">"c344"</definedName>
    <definedName name="IQ_EARNING_CO_10YR_ANN_CAGR" hidden="1">"c6070"</definedName>
    <definedName name="IQ_EARNING_CO_10YR_ANN_GROWTH" hidden="1">"c345"</definedName>
    <definedName name="IQ_EARNING_CO_1YR_ANN_GROWTH" hidden="1">"c346"</definedName>
    <definedName name="IQ_EARNING_CO_2YR_ANN_CAGR" hidden="1">"c6071"</definedName>
    <definedName name="IQ_EARNING_CO_2YR_ANN_GROWTH" hidden="1">"c347"</definedName>
    <definedName name="IQ_EARNING_CO_3YR_ANN_CAGR" hidden="1">"c6072"</definedName>
    <definedName name="IQ_EARNING_CO_3YR_ANN_GROWTH" hidden="1">"c348"</definedName>
    <definedName name="IQ_EARNING_CO_5YR_ANN_CAGR" hidden="1">"c6073"</definedName>
    <definedName name="IQ_EARNING_CO_5YR_ANN_GROWTH" hidden="1">"c349"</definedName>
    <definedName name="IQ_EARNING_CO_7YR_ANN_CAGR" hidden="1">"c6074"</definedName>
    <definedName name="IQ_EARNING_CO_7YR_ANN_GROWTH" hidden="1">"c350"</definedName>
    <definedName name="IQ_EARNING_CO_MARGIN" hidden="1">"c351"</definedName>
    <definedName name="IQ_EARNINGS_ANNOUNCE_DATE" hidden="1">"c1649"</definedName>
    <definedName name="IQ_EARNINGS_ANNOUNCE_DATE_CIQ" hidden="1">"c4656"</definedName>
    <definedName name="IQ_EARNINGS_COVERAGE_NET_CHARGE_OFFS_FDIC" hidden="1">"c6735"</definedName>
    <definedName name="IQ_EARNINGS_PERIOD_COVERED" hidden="1">"c9958"</definedName>
    <definedName name="IQ_EARNINGS_PERIOD_GROUP" hidden="1">"c9944"</definedName>
    <definedName name="IQ_EBIT" hidden="1">"c352"</definedName>
    <definedName name="IQ_EBIT_10YR_ANN_CAGR" hidden="1">"c6075"</definedName>
    <definedName name="IQ_EBIT_10YR_ANN_GROWTH" hidden="1">"c353"</definedName>
    <definedName name="IQ_EBIT_1YR_ANN_GROWTH" hidden="1">"c354"</definedName>
    <definedName name="IQ_EBIT_2YR_ANN_CAGR" hidden="1">"c6076"</definedName>
    <definedName name="IQ_EBIT_2YR_ANN_GROWTH" hidden="1">"c355"</definedName>
    <definedName name="IQ_EBIT_3YR_ANN_CAGR" hidden="1">"c6077"</definedName>
    <definedName name="IQ_EBIT_3YR_ANN_GROWTH" hidden="1">"c356"</definedName>
    <definedName name="IQ_EBIT_5YR_ANN_CAGR" hidden="1">"c6078"</definedName>
    <definedName name="IQ_EBIT_5YR_ANN_GROWTH" hidden="1">"c357"</definedName>
    <definedName name="IQ_EBIT_7YR_ANN_CAGR" hidden="1">"c6079"</definedName>
    <definedName name="IQ_EBIT_7YR_ANN_GROWTH" hidden="1">"c358"</definedName>
    <definedName name="IQ_EBIT_EQ_INC" hidden="1">"c3498"</definedName>
    <definedName name="IQ_EBIT_EQ_INC_EXCL_SBC" hidden="1">"c3502"</definedName>
    <definedName name="IQ_EBIT_EXCL_SBC" hidden="1">"c3082"</definedName>
    <definedName name="IQ_EBIT_INT" hidden="1">"c360"</definedName>
    <definedName name="IQ_EBIT_MARGIN" hidden="1">"c359"</definedName>
    <definedName name="IQ_EBIT_OVER_IE" hidden="1">"c1369"</definedName>
    <definedName name="IQ_EBIT_SBC_ACT_OR_EST_CIQ" hidden="1">"c4841"</definedName>
    <definedName name="IQ_EBIT_SBC_GW_ACT_OR_EST_CIQ" hidden="1">"c4845"</definedName>
    <definedName name="IQ_EBITA" hidden="1">"c1910"</definedName>
    <definedName name="IQ_EBITA_10YR_ANN_CAGR" hidden="1">"c6184"</definedName>
    <definedName name="IQ_EBITA_10YR_ANN_GROWTH" hidden="1">"c1954"</definedName>
    <definedName name="IQ_EBITA_1YR_ANN_GROWTH" hidden="1">"c1949"</definedName>
    <definedName name="IQ_EBITA_2YR_ANN_CAGR" hidden="1">"c6180"</definedName>
    <definedName name="IQ_EBITA_2YR_ANN_GROWTH" hidden="1">"c1950"</definedName>
    <definedName name="IQ_EBITA_3YR_ANN_CAGR" hidden="1">"c6181"</definedName>
    <definedName name="IQ_EBITA_3YR_ANN_GROWTH" hidden="1">"c1951"</definedName>
    <definedName name="IQ_EBITA_5YR_ANN_CAGR" hidden="1">"c6182"</definedName>
    <definedName name="IQ_EBITA_5YR_ANN_GROWTH" hidden="1">"c1952"</definedName>
    <definedName name="IQ_EBITA_7YR_ANN_CAGR" hidden="1">"c6183"</definedName>
    <definedName name="IQ_EBITA_7YR_ANN_GROWTH" hidden="1">"c1953"</definedName>
    <definedName name="IQ_EBITA_EQ_INC" hidden="1">"c3497"</definedName>
    <definedName name="IQ_EBITA_EQ_INC_EXCL_SBC" hidden="1">"c3501"</definedName>
    <definedName name="IQ_EBITA_EXCL_SBC" hidden="1">"c3080"</definedName>
    <definedName name="IQ_EBITA_MARGIN" hidden="1">"c1963"</definedName>
    <definedName name="IQ_EBITDA" hidden="1">"c361"</definedName>
    <definedName name="IQ_EBITDA_10YR_ANN_CAGR" hidden="1">"c6080"</definedName>
    <definedName name="IQ_EBITDA_10YR_ANN_GROWTH" hidden="1">"c362"</definedName>
    <definedName name="IQ_EBITDA_1YR_ANN_GROWTH" hidden="1">"c363"</definedName>
    <definedName name="IQ_EBITDA_2YR_ANN_CAGR" hidden="1">"c6081"</definedName>
    <definedName name="IQ_EBITDA_2YR_ANN_GROWTH" hidden="1">"c364"</definedName>
    <definedName name="IQ_EBITDA_3YR_ANN_CAGR" hidden="1">"c6082"</definedName>
    <definedName name="IQ_EBITDA_3YR_ANN_GROWTH" hidden="1">"c365"</definedName>
    <definedName name="IQ_EBITDA_5YR_ANN_CAGR" hidden="1">"c6083"</definedName>
    <definedName name="IQ_EBITDA_5YR_ANN_GROWTH" hidden="1">"c366"</definedName>
    <definedName name="IQ_EBITDA_7YR_ANN_CAGR" hidden="1">"c6084"</definedName>
    <definedName name="IQ_EBITDA_7YR_ANN_GROWTH" hidden="1">"c367"</definedName>
    <definedName name="IQ_EBITDA_ACT_OR_EST_CIQ" hidden="1">"c5060"</definedName>
    <definedName name="IQ_EBITDA_CAPEX_INT" hidden="1">"c368"</definedName>
    <definedName name="IQ_EBITDA_CAPEX_OVER_TOTAL_IE" hidden="1">"c1370"</definedName>
    <definedName name="IQ_EBITDA_EQ_INC" hidden="1">"c3496"</definedName>
    <definedName name="IQ_EBITDA_EQ_INC_EXCL_SBC" hidden="1">"c3500"</definedName>
    <definedName name="IQ_EBITDA_EST" hidden="1">"c369"</definedName>
    <definedName name="IQ_EBITDA_EST_CIQ" hidden="1">"c3622"</definedName>
    <definedName name="IQ_EBITDA_EXCL_SBC" hidden="1">"c3081"</definedName>
    <definedName name="IQ_EBITDA_HIGH_EST" hidden="1">"c370"</definedName>
    <definedName name="IQ_EBITDA_HIGH_EST_CIQ" hidden="1">"c3624"</definedName>
    <definedName name="IQ_EBITDA_INT" hidden="1">"c373"</definedName>
    <definedName name="IQ_EBITDA_LOW_EST" hidden="1">"c371"</definedName>
    <definedName name="IQ_EBITDA_LOW_EST_CIQ" hidden="1">"c3625"</definedName>
    <definedName name="IQ_EBITDA_MARGIN" hidden="1">"c372"</definedName>
    <definedName name="IQ_EBITDA_MEDIAN_EST" hidden="1">"c1663"</definedName>
    <definedName name="IQ_EBITDA_MEDIAN_EST_CIQ" hidden="1">"c3623"</definedName>
    <definedName name="IQ_EBITDA_NUM_EST" hidden="1">"c374"</definedName>
    <definedName name="IQ_EBITDA_NUM_EST_CIQ" hidden="1">"c3626"</definedName>
    <definedName name="IQ_EBITDA_OVER_TOTAL_IE" hidden="1">"c1371"</definedName>
    <definedName name="IQ_EBITDA_SBC_ACT_OR_EST_CIQ" hidden="1">"c4862"</definedName>
    <definedName name="IQ_EBITDA_STDDEV_EST" hidden="1">"c375"</definedName>
    <definedName name="IQ_EBITDA_STDDEV_EST_CIQ" hidden="1">"c3627"</definedName>
    <definedName name="IQ_EBITDAR" hidden="1">"c2989"</definedName>
    <definedName name="IQ_EBITDAR_EQ_INC" hidden="1">"c3499"</definedName>
    <definedName name="IQ_EBITDAR_EQ_INC_EXCL_SBC" hidden="1">"c3503"</definedName>
    <definedName name="IQ_EBITDAR_EXCL_SBC" hidden="1">"c3083"</definedName>
    <definedName name="IQ_EBT" hidden="1">"c376"</definedName>
    <definedName name="IQ_EBT_BNK" hidden="1">"c377"</definedName>
    <definedName name="IQ_EBT_BR" hidden="1">"c378"</definedName>
    <definedName name="IQ_EBT_EXCL" hidden="1">"c379"</definedName>
    <definedName name="IQ_EBT_EXCL_BNK" hidden="1">"c380"</definedName>
    <definedName name="IQ_EBT_EXCL_BR" hidden="1">"c381"</definedName>
    <definedName name="IQ_EBT_EXCL_FIN" hidden="1">"c382"</definedName>
    <definedName name="IQ_EBT_EXCL_INS" hidden="1">"c383"</definedName>
    <definedName name="IQ_EBT_EXCL_MARGIN" hidden="1">"c1462"</definedName>
    <definedName name="IQ_EBT_EXCL_RE" hidden="1">"c6214"</definedName>
    <definedName name="IQ_EBT_EXCL_REIT" hidden="1">"c384"</definedName>
    <definedName name="IQ_EBT_EXCL_UTI" hidden="1">"c385"</definedName>
    <definedName name="IQ_EBT_FIN" hidden="1">"c386"</definedName>
    <definedName name="IQ_EBT_INCL_MARGIN" hidden="1">"c387"</definedName>
    <definedName name="IQ_EBT_INS" hidden="1">"c388"</definedName>
    <definedName name="IQ_EBT_RE" hidden="1">"c6215"</definedName>
    <definedName name="IQ_EBT_REIT" hidden="1">"c389"</definedName>
    <definedName name="IQ_EBT_SBC_ACT_OR_EST_CIQ" hidden="1">"c4875"</definedName>
    <definedName name="IQ_EBT_SBC_GW_ACT_OR_EST_CIQ" hidden="1">"c4879"</definedName>
    <definedName name="IQ_EBT_SUBTOTAL_AP" hidden="1">"c8982"</definedName>
    <definedName name="IQ_EBT_UTI" hidden="1">"c390"</definedName>
    <definedName name="IQ_ECO_METRIC_6825_UNUSED_UNUSED_UNUSED" hidden="1">"c6825"</definedName>
    <definedName name="IQ_ECO_METRIC_6839_UNUSED_UNUSED_UNUSED" hidden="1">"c6839"</definedName>
    <definedName name="IQ_ECO_METRIC_6896_UNUSED_UNUSED_UNUSED" hidden="1">"c6896"</definedName>
    <definedName name="IQ_ECO_METRIC_6897_UNUSED_UNUSED_UNUSED" hidden="1">"c6897"</definedName>
    <definedName name="IQ_ECO_METRIC_6927" hidden="1">"c6927"</definedName>
    <definedName name="IQ_ECO_METRIC_6988_UNUSED_UNUSED_UNUSED" hidden="1">"c6988"</definedName>
    <definedName name="IQ_ECO_METRIC_7045_UNUSED_UNUSED_UNUSED" hidden="1">"c7045"</definedName>
    <definedName name="IQ_ECO_METRIC_7059_UNUSED_UNUSED_UNUSED" hidden="1">"c7059"</definedName>
    <definedName name="IQ_ECO_METRIC_7116_UNUSED_UNUSED_UNUSED" hidden="1">"c7116"</definedName>
    <definedName name="IQ_ECO_METRIC_7117_UNUSED_UNUSED_UNUSED" hidden="1">"c7117"</definedName>
    <definedName name="IQ_ECO_METRIC_7147" hidden="1">"c7147"</definedName>
    <definedName name="IQ_ECO_METRIC_7208_UNUSED_UNUSED_UNUSED" hidden="1">"c7208"</definedName>
    <definedName name="IQ_ECO_METRIC_7265_UNUSED_UNUSED_UNUSED" hidden="1">"c7265"</definedName>
    <definedName name="IQ_ECO_METRIC_7279_UNUSED_UNUSED_UNUSED" hidden="1">"c7279"</definedName>
    <definedName name="IQ_ECO_METRIC_7336_UNUSED_UNUSED_UNUSED" hidden="1">"c7336"</definedName>
    <definedName name="IQ_ECO_METRIC_7337_UNUSED_UNUSED_UNUSED" hidden="1">"c7337"</definedName>
    <definedName name="IQ_ECO_METRIC_7367" hidden="1">"c7367"</definedName>
    <definedName name="IQ_ECO_METRIC_7428_UNUSED_UNUSED_UNUSED" hidden="1">"c7428"</definedName>
    <definedName name="IQ_ECO_METRIC_7556_UNUSED_UNUSED_UNUSED" hidden="1">"c7556"</definedName>
    <definedName name="IQ_ECO_METRIC_7557_UNUSED_UNUSED_UNUSED" hidden="1">"c7557"</definedName>
    <definedName name="IQ_ECO_METRIC_7587" hidden="1">"c7587"</definedName>
    <definedName name="IQ_ECO_METRIC_7648_UNUSED_UNUSED_UNUSED" hidden="1">"c7648"</definedName>
    <definedName name="IQ_ECO_METRIC_7704" hidden="1">"c7704"</definedName>
    <definedName name="IQ_ECO_METRIC_7705_UNUSED_UNUSED_UNUSED" hidden="1">"c7705"</definedName>
    <definedName name="IQ_ECO_METRIC_7706" hidden="1">"c7706"</definedName>
    <definedName name="IQ_ECO_METRIC_7718" hidden="1">"c7718"</definedName>
    <definedName name="IQ_ECO_METRIC_7719_UNUSED_UNUSED_UNUSED" hidden="1">"c7719"</definedName>
    <definedName name="IQ_ECO_METRIC_7776_UNUSED_UNUSED_UNUSED" hidden="1">"c7776"</definedName>
    <definedName name="IQ_ECO_METRIC_7777_UNUSED_UNUSED_UNUSED" hidden="1">"c7777"</definedName>
    <definedName name="IQ_ECO_METRIC_7807" hidden="1">"c7807"</definedName>
    <definedName name="IQ_ECO_METRIC_7811" hidden="1">"c7811"</definedName>
    <definedName name="IQ_ECO_METRIC_7868_UNUSED_UNUSED_UNUSED" hidden="1">"c7868"</definedName>
    <definedName name="IQ_ECO_METRIC_7873" hidden="1">"c7873"</definedName>
    <definedName name="IQ_ECO_METRIC_7924" hidden="1">"c7924"</definedName>
    <definedName name="IQ_ECO_METRIC_7925_UNUSED_UNUSED_UNUSED" hidden="1">"c7925"</definedName>
    <definedName name="IQ_ECO_METRIC_7926" hidden="1">"c7926"</definedName>
    <definedName name="IQ_ECO_METRIC_7938" hidden="1">"c7938"</definedName>
    <definedName name="IQ_ECO_METRIC_7939_UNUSED_UNUSED_UNUSED" hidden="1">"c7939"</definedName>
    <definedName name="IQ_ECO_METRIC_7996_UNUSED_UNUSED_UNUSED" hidden="1">"c7996"</definedName>
    <definedName name="IQ_ECO_METRIC_7997_UNUSED_UNUSED_UNUSED" hidden="1">"c7997"</definedName>
    <definedName name="IQ_ECO_METRIC_8027" hidden="1">"c8027"</definedName>
    <definedName name="IQ_ECO_METRIC_8031" hidden="1">"c8031"</definedName>
    <definedName name="IQ_ECO_METRIC_8088_UNUSED_UNUSED_UNUSED" hidden="1">"c8088"</definedName>
    <definedName name="IQ_ECO_METRIC_8093" hidden="1">"c8093"</definedName>
    <definedName name="IQ_ECO_METRIC_8144" hidden="1">"c8144"</definedName>
    <definedName name="IQ_ECO_METRIC_8145_UNUSED_UNUSED_UNUSED" hidden="1">"c8145"</definedName>
    <definedName name="IQ_ECO_METRIC_8146" hidden="1">"c8146"</definedName>
    <definedName name="IQ_ECO_METRIC_8158" hidden="1">"c8158"</definedName>
    <definedName name="IQ_ECO_METRIC_8159_UNUSED_UNUSED_UNUSED" hidden="1">"c8159"</definedName>
    <definedName name="IQ_ECO_METRIC_8216_UNUSED_UNUSED_UNUSED" hidden="1">"c8216"</definedName>
    <definedName name="IQ_ECO_METRIC_8217_UNUSED_UNUSED_UNUSED" hidden="1">"c8217"</definedName>
    <definedName name="IQ_ECO_METRIC_8247" hidden="1">"c8247"</definedName>
    <definedName name="IQ_ECO_METRIC_8251" hidden="1">"c8251"</definedName>
    <definedName name="IQ_ECO_METRIC_8308_UNUSED_UNUSED_UNUSED" hidden="1">"c8308"</definedName>
    <definedName name="IQ_ECO_METRIC_8313" hidden="1">"c8313"</definedName>
    <definedName name="IQ_ECO_METRIC_8366" hidden="1">"c8366"</definedName>
    <definedName name="IQ_ECO_METRIC_8378" hidden="1">"c8378"</definedName>
    <definedName name="IQ_ECO_METRIC_8436_UNUSED_UNUSED_UNUSED" hidden="1">"c8436"</definedName>
    <definedName name="IQ_ECO_METRIC_8437_UNUSED_UNUSED_UNUSED" hidden="1">"c8437"</definedName>
    <definedName name="IQ_ECO_METRIC_8467" hidden="1">"c8467"</definedName>
    <definedName name="IQ_ECO_METRIC_8471" hidden="1">"c8471"</definedName>
    <definedName name="IQ_ECO_METRIC_8528_UNUSED_UNUSED_UNUSED" hidden="1">"c8528"</definedName>
    <definedName name="IQ_ECO_METRIC_8533" hidden="1">"c8533"</definedName>
    <definedName name="IQ_ECS_AUTHORIZED_SHARES" hidden="1">"c5583"</definedName>
    <definedName name="IQ_ECS_AUTHORIZED_SHARES_ABS" hidden="1">"c5597"</definedName>
    <definedName name="IQ_ECS_CONVERT_FACTOR" hidden="1">"c5581"</definedName>
    <definedName name="IQ_ECS_CONVERT_FACTOR_ABS" hidden="1">"c5595"</definedName>
    <definedName name="IQ_ECS_CONVERT_INTO" hidden="1">"c5580"</definedName>
    <definedName name="IQ_ECS_CONVERT_INTO_ABS" hidden="1">"c5594"</definedName>
    <definedName name="IQ_ECS_CONVERT_TYPE" hidden="1">"c5579"</definedName>
    <definedName name="IQ_ECS_CONVERT_TYPE_ABS" hidden="1">"c5593"</definedName>
    <definedName name="IQ_ECS_INACTIVE_DATE" hidden="1">"c5576"</definedName>
    <definedName name="IQ_ECS_INACTIVE_DATE_ABS" hidden="1">"c5590"</definedName>
    <definedName name="IQ_ECS_NAME" hidden="1">"c5571"</definedName>
    <definedName name="IQ_ECS_NAME_ABS" hidden="1">"c5585"</definedName>
    <definedName name="IQ_ECS_NUM_SHAREHOLDERS" hidden="1">"c5584"</definedName>
    <definedName name="IQ_ECS_NUM_SHAREHOLDERS_ABS" hidden="1">"c5598"</definedName>
    <definedName name="IQ_ECS_PAR_VALUE" hidden="1">"c5577"</definedName>
    <definedName name="IQ_ECS_PAR_VALUE_ABS" hidden="1">"c5591"</definedName>
    <definedName name="IQ_ECS_PAR_VALUE_CURRENCY" hidden="1">"c5578"</definedName>
    <definedName name="IQ_ECS_PAR_VALUE_CURRENCY_ABS" hidden="1">"c5592"</definedName>
    <definedName name="IQ_ECS_SHARES_OUT_BS_DATE" hidden="1">"c5572"</definedName>
    <definedName name="IQ_ECS_SHARES_OUT_BS_DATE_ABS" hidden="1">"c5586"</definedName>
    <definedName name="IQ_ECS_SHARES_OUT_FILING_DATE" hidden="1">"c5573"</definedName>
    <definedName name="IQ_ECS_SHARES_OUT_FILING_DATE_ABS" hidden="1">"c5587"</definedName>
    <definedName name="IQ_ECS_START_DATE" hidden="1">"c5575"</definedName>
    <definedName name="IQ_ECS_START_DATE_ABS" hidden="1">"c5589"</definedName>
    <definedName name="IQ_ECS_TYPE" hidden="1">"c5574"</definedName>
    <definedName name="IQ_ECS_TYPE_ABS" hidden="1">"c5588"</definedName>
    <definedName name="IQ_ECS_VOTING" hidden="1">"c5582"</definedName>
    <definedName name="IQ_ECS_VOTING_ABS" hidden="1">"c5596"</definedName>
    <definedName name="IQ_EFFECT_SPECIAL_CHARGE" hidden="1">"c1595"</definedName>
    <definedName name="IQ_EFFECT_TAX_RATE" hidden="1">"c1899"</definedName>
    <definedName name="IQ_EFFECTIVE_DATE" hidden="1">"c8966"</definedName>
    <definedName name="IQ_EFFICIENCY_RATIO" hidden="1">"c391"</definedName>
    <definedName name="IQ_EFFICIENCY_RATIO_FDIC" hidden="1">"c6736"</definedName>
    <definedName name="IQ_EMBEDDED_VAL_COVERED" hidden="1">"c9962"</definedName>
    <definedName name="IQ_EMBEDDED_VAL_COVERED_BEG" hidden="1">"c9957"</definedName>
    <definedName name="IQ_EMBEDDED_VAL_GROUP" hidden="1">"c9948"</definedName>
    <definedName name="IQ_EMBEDDED_VAL_GROUP_BEG" hidden="1">"c9943"</definedName>
    <definedName name="IQ_EMPLOY_COST_INDEX_BENEFITS" hidden="1">"c6857"</definedName>
    <definedName name="IQ_EMPLOY_COST_INDEX_BENEFITS_APR" hidden="1">"c7517"</definedName>
    <definedName name="IQ_EMPLOY_COST_INDEX_BENEFITS_APR_FC" hidden="1">"c8397"</definedName>
    <definedName name="IQ_EMPLOY_COST_INDEX_BENEFITS_FC" hidden="1">"c7737"</definedName>
    <definedName name="IQ_EMPLOY_COST_INDEX_BENEFITS_POP" hidden="1">"c7077"</definedName>
    <definedName name="IQ_EMPLOY_COST_INDEX_BENEFITS_POP_FC" hidden="1">"c7957"</definedName>
    <definedName name="IQ_EMPLOY_COST_INDEX_BENEFITS_YOY" hidden="1">"c7297"</definedName>
    <definedName name="IQ_EMPLOY_COST_INDEX_BENEFITS_YOY_FC" hidden="1">"c8177"</definedName>
    <definedName name="IQ_EMPLOY_COST_INDEX_COMP" hidden="1">"c6856"</definedName>
    <definedName name="IQ_EMPLOY_COST_INDEX_COMP_APR" hidden="1">"c7516"</definedName>
    <definedName name="IQ_EMPLOY_COST_INDEX_COMP_APR_FC" hidden="1">"c8396"</definedName>
    <definedName name="IQ_EMPLOY_COST_INDEX_COMP_FC" hidden="1">"c7736"</definedName>
    <definedName name="IQ_EMPLOY_COST_INDEX_COMP_POP" hidden="1">"c7076"</definedName>
    <definedName name="IQ_EMPLOY_COST_INDEX_COMP_POP_FC" hidden="1">"c7956"</definedName>
    <definedName name="IQ_EMPLOY_COST_INDEX_COMP_YOY" hidden="1">"c7296"</definedName>
    <definedName name="IQ_EMPLOY_COST_INDEX_COMP_YOY_FC" hidden="1">"c8176"</definedName>
    <definedName name="IQ_EMPLOY_COST_INDEX_WAGE_SALARY" hidden="1">"c6858"</definedName>
    <definedName name="IQ_EMPLOY_COST_INDEX_WAGE_SALARY_APR" hidden="1">"c7518"</definedName>
    <definedName name="IQ_EMPLOY_COST_INDEX_WAGE_SALARY_APR_FC" hidden="1">"c8398"</definedName>
    <definedName name="IQ_EMPLOY_COST_INDEX_WAGE_SALARY_FC" hidden="1">"c7738"</definedName>
    <definedName name="IQ_EMPLOY_COST_INDEX_WAGE_SALARY_POP" hidden="1">"c7078"</definedName>
    <definedName name="IQ_EMPLOY_COST_INDEX_WAGE_SALARY_POP_FC" hidden="1">"c7958"</definedName>
    <definedName name="IQ_EMPLOY_COST_INDEX_WAGE_SALARY_YOY" hidden="1">"c7298"</definedName>
    <definedName name="IQ_EMPLOY_COST_INDEX_WAGE_SALARY_YOY_FC" hidden="1">"c8178"</definedName>
    <definedName name="IQ_EMPLOYEES" hidden="1">"c392"</definedName>
    <definedName name="IQ_ENTERPRISE_VALUE" hidden="1">"c1348"</definedName>
    <definedName name="IQ_ENTREPRENEURAL_PROPERTY_INC" hidden="1">"c6859"</definedName>
    <definedName name="IQ_ENTREPRENEURAL_PROPERTY_INC_APR" hidden="1">"c7519"</definedName>
    <definedName name="IQ_ENTREPRENEURAL_PROPERTY_INC_APR_FC" hidden="1">"c8399"</definedName>
    <definedName name="IQ_ENTREPRENEURAL_PROPERTY_INC_FC" hidden="1">"c7739"</definedName>
    <definedName name="IQ_ENTREPRENEURAL_PROPERTY_INC_POP" hidden="1">"c7079"</definedName>
    <definedName name="IQ_ENTREPRENEURAL_PROPERTY_INC_POP_FC" hidden="1">"c7959"</definedName>
    <definedName name="IQ_ENTREPRENEURAL_PROPERTY_INC_YOY" hidden="1">"c7299"</definedName>
    <definedName name="IQ_ENTREPRENEURAL_PROPERTY_INC_YOY_FC" hidden="1">"c8179"</definedName>
    <definedName name="IQ_EPS_10YR_ANN_CAGR" hidden="1">"c6085"</definedName>
    <definedName name="IQ_EPS_10YR_ANN_GROWTH" hidden="1">"c393"</definedName>
    <definedName name="IQ_EPS_1YR_ANN_GROWTH" hidden="1">"c394"</definedName>
    <definedName name="IQ_EPS_2YR_ANN_CAGR" hidden="1">"c6086"</definedName>
    <definedName name="IQ_EPS_2YR_ANN_GROWTH" hidden="1">"c395"</definedName>
    <definedName name="IQ_EPS_3YR_ANN_CAGR" hidden="1">"c6087"</definedName>
    <definedName name="IQ_EPS_3YR_ANN_GROWTH" hidden="1">"c396"</definedName>
    <definedName name="IQ_EPS_5YR_ANN_CAGR" hidden="1">"c6088"</definedName>
    <definedName name="IQ_EPS_5YR_ANN_GROWTH" hidden="1">"c397"</definedName>
    <definedName name="IQ_EPS_7YR_ANN_CAGR" hidden="1">"c6089"</definedName>
    <definedName name="IQ_EPS_7YR_ANN_GROWTH" hidden="1">"c398"</definedName>
    <definedName name="IQ_EPS_ACT_OR_EST_CIQ" hidden="1">"c5058"</definedName>
    <definedName name="IQ_EPS_AP" hidden="1">"c8880"</definedName>
    <definedName name="IQ_EPS_AP_ABS" hidden="1">"c8899"</definedName>
    <definedName name="IQ_EPS_EST" hidden="1">"c399"</definedName>
    <definedName name="IQ_EPS_EST_CIQ" hidden="1">"c4994"</definedName>
    <definedName name="IQ_EPS_GW_ACT_OR_EST_CIQ" hidden="1">"c5066"</definedName>
    <definedName name="IQ_EPS_GW_EST" hidden="1">"c1737"</definedName>
    <definedName name="IQ_EPS_GW_EST_CIQ" hidden="1">"c4723"</definedName>
    <definedName name="IQ_EPS_GW_HIGH_EST" hidden="1">"c1739"</definedName>
    <definedName name="IQ_EPS_GW_HIGH_EST_CIQ" hidden="1">"c4725"</definedName>
    <definedName name="IQ_EPS_GW_LOW_EST" hidden="1">"c1740"</definedName>
    <definedName name="IQ_EPS_GW_LOW_EST_CIQ" hidden="1">"c4726"</definedName>
    <definedName name="IQ_EPS_GW_MEDIAN_EST" hidden="1">"c1738"</definedName>
    <definedName name="IQ_EPS_GW_MEDIAN_EST_CIQ" hidden="1">"c4724"</definedName>
    <definedName name="IQ_EPS_GW_NUM_EST" hidden="1">"c1741"</definedName>
    <definedName name="IQ_EPS_GW_NUM_EST_CIQ" hidden="1">"c4727"</definedName>
    <definedName name="IQ_EPS_GW_STDDEV_EST" hidden="1">"c1742"</definedName>
    <definedName name="IQ_EPS_GW_STDDEV_EST_CIQ" hidden="1">"c4728"</definedName>
    <definedName name="IQ_EPS_HIGH_EST" hidden="1">"c400"</definedName>
    <definedName name="IQ_EPS_HIGH_EST_CIQ" hidden="1">"c4995"</definedName>
    <definedName name="IQ_EPS_LOW_EST" hidden="1">"c401"</definedName>
    <definedName name="IQ_EPS_LOW_EST_CIQ" hidden="1">"c4996"</definedName>
    <definedName name="IQ_EPS_MEDIAN_EST" hidden="1">"c1661"</definedName>
    <definedName name="IQ_EPS_MEDIAN_EST_CIQ" hidden="1">"c4997"</definedName>
    <definedName name="IQ_EPS_NAME_AP" hidden="1">"c8918"</definedName>
    <definedName name="IQ_EPS_NAME_AP_ABS" hidden="1">"c8937"</definedName>
    <definedName name="IQ_EPS_NORM" hidden="1">"c1902"</definedName>
    <definedName name="IQ_EPS_NORM_EST" hidden="1">"c2226"</definedName>
    <definedName name="IQ_EPS_NORM_EST_CIQ" hidden="1">"c4667"</definedName>
    <definedName name="IQ_EPS_NORM_HIGH_EST" hidden="1">"c2228"</definedName>
    <definedName name="IQ_EPS_NORM_HIGH_EST_CIQ" hidden="1">"c4669"</definedName>
    <definedName name="IQ_EPS_NORM_LOW_EST" hidden="1">"c2229"</definedName>
    <definedName name="IQ_EPS_NORM_LOW_EST_CIQ" hidden="1">"c4670"</definedName>
    <definedName name="IQ_EPS_NORM_MEDIAN_EST" hidden="1">"c2227"</definedName>
    <definedName name="IQ_EPS_NORM_MEDIAN_EST_CIQ" hidden="1">"c4668"</definedName>
    <definedName name="IQ_EPS_NORM_NUM_EST" hidden="1">"c2230"</definedName>
    <definedName name="IQ_EPS_NORM_NUM_EST_CIQ" hidden="1">"c4671"</definedName>
    <definedName name="IQ_EPS_NORM_STDDEV_EST" hidden="1">"c2231"</definedName>
    <definedName name="IQ_EPS_NORM_STDDEV_EST_CIQ" hidden="1">"c4672"</definedName>
    <definedName name="IQ_EPS_NUM_EST" hidden="1">"c402"</definedName>
    <definedName name="IQ_EPS_NUM_EST_CIQ" hidden="1">"c4992"</definedName>
    <definedName name="IQ_EPS_REPORT_ACT_OR_EST_CIQ" hidden="1">"c5067"</definedName>
    <definedName name="IQ_EPS_REPORTED_EST" hidden="1">"c1744"</definedName>
    <definedName name="IQ_EPS_REPORTED_EST_CIQ" hidden="1">"c4730"</definedName>
    <definedName name="IQ_EPS_REPORTED_HIGH_EST" hidden="1">"c1746"</definedName>
    <definedName name="IQ_EPS_REPORTED_HIGH_EST_CIQ" hidden="1">"c4732"</definedName>
    <definedName name="IQ_EPS_REPORTED_LOW_EST" hidden="1">"c1747"</definedName>
    <definedName name="IQ_EPS_REPORTED_LOW_EST_CIQ" hidden="1">"c4733"</definedName>
    <definedName name="IQ_EPS_REPORTED_MEDIAN_EST" hidden="1">"c1745"</definedName>
    <definedName name="IQ_EPS_REPORTED_MEDIAN_EST_CIQ" hidden="1">"c4731"</definedName>
    <definedName name="IQ_EPS_REPORTED_NUM_EST" hidden="1">"c1748"</definedName>
    <definedName name="IQ_EPS_REPORTED_NUM_EST_CIQ" hidden="1">"c4734"</definedName>
    <definedName name="IQ_EPS_REPORTED_STDDEV_EST" hidden="1">"c1749"</definedName>
    <definedName name="IQ_EPS_REPORTED_STDDEV_EST_CIQ" hidden="1">"c4735"</definedName>
    <definedName name="IQ_EPS_SBC_ACT_OR_EST_CIQ" hidden="1">"c4901"</definedName>
    <definedName name="IQ_EPS_SBC_GW_ACT_OR_EST_CIQ" hidden="1">"c4905"</definedName>
    <definedName name="IQ_EPS_STDDEV_EST" hidden="1">"c403"</definedName>
    <definedName name="IQ_EPS_STDDEV_EST_CIQ" hidden="1">"c4993"</definedName>
    <definedName name="IQ_EQUITY_AFFIL" hidden="1">"c1451"</definedName>
    <definedName name="IQ_EQUITY_AP" hidden="1">"c8887"</definedName>
    <definedName name="IQ_EQUITY_AP_ABS" hidden="1">"c8906"</definedName>
    <definedName name="IQ_EQUITY_CAPITAL_ASSETS_FDIC" hidden="1">"c6744"</definedName>
    <definedName name="IQ_EQUITY_FDIC" hidden="1">"c6353"</definedName>
    <definedName name="IQ_EQUITY_METHOD" hidden="1">"c404"</definedName>
    <definedName name="IQ_EQUITY_NAME_AP" hidden="1">"c8925"</definedName>
    <definedName name="IQ_EQUITY_NAME_AP_ABS" hidden="1">"c8944"</definedName>
    <definedName name="IQ_EQUITY_SECURITIES_FDIC" hidden="1">"c6304"</definedName>
    <definedName name="IQ_EQUITY_SECURITY_EXPOSURES_FDIC" hidden="1">"c6664"</definedName>
    <definedName name="IQ_EQV_OVER_BV" hidden="1">"c1596"</definedName>
    <definedName name="IQ_EQV_OVER_LTM_PRETAX_INC" hidden="1">"c1390"</definedName>
    <definedName name="IQ_ESOP_DEBT" hidden="1">"c1597"</definedName>
    <definedName name="IQ_EST_ACT_EPS_GW" hidden="1">"c1743"</definedName>
    <definedName name="IQ_EST_ACT_EPS_GW_CIQ" hidden="1">"c4729"</definedName>
    <definedName name="IQ_EST_ACT_EPS_NORM" hidden="1">"c2232"</definedName>
    <definedName name="IQ_EST_ACT_EPS_NORM_CIQ" hidden="1">"c4673"</definedName>
    <definedName name="IQ_EST_ACT_EPS_REPORTED" hidden="1">"c1750"</definedName>
    <definedName name="IQ_EST_ACT_EPS_REPORTED_CIQ" hidden="1">"c4736"</definedName>
    <definedName name="IQ_EST_CURRENCY" hidden="1">"c2140"</definedName>
    <definedName name="IQ_EST_CURRENCY_CIQ" hidden="1">"c4769"</definedName>
    <definedName name="IQ_EST_DATE" hidden="1">"c1634"</definedName>
    <definedName name="IQ_EST_DATE_CIQ" hidden="1">"c4770"</definedName>
    <definedName name="IQ_EST_EPS_GROWTH_1YR" hidden="1">"c1636"</definedName>
    <definedName name="IQ_EST_EPS_GROWTH_1YR_CIQ" hidden="1">"c3628"</definedName>
    <definedName name="IQ_EST_EPS_GROWTH_5YR" hidden="1">"c1655"</definedName>
    <definedName name="IQ_EST_EPS_GROWTH_5YR_CIQ" hidden="1">"c3615"</definedName>
    <definedName name="IQ_EST_EPS_GROWTH_5YR_HIGH" hidden="1">"c1657"</definedName>
    <definedName name="IQ_EST_EPS_GROWTH_5YR_HIGH_CIQ" hidden="1">"c4663"</definedName>
    <definedName name="IQ_EST_EPS_GROWTH_5YR_LOW" hidden="1">"c1658"</definedName>
    <definedName name="IQ_EST_EPS_GROWTH_5YR_LOW_CIQ" hidden="1">"c4664"</definedName>
    <definedName name="IQ_EST_EPS_GROWTH_5YR_MEDIAN" hidden="1">"c1656"</definedName>
    <definedName name="IQ_EST_EPS_GROWTH_5YR_MEDIAN_CIQ" hidden="1">"c5480"</definedName>
    <definedName name="IQ_EST_EPS_GROWTH_5YR_NUM" hidden="1">"c1659"</definedName>
    <definedName name="IQ_EST_EPS_GROWTH_5YR_NUM_CIQ" hidden="1">"c4665"</definedName>
    <definedName name="IQ_EST_EPS_GROWTH_5YR_STDDEV" hidden="1">"c1660"</definedName>
    <definedName name="IQ_EST_EPS_GROWTH_5YR_STDDEV_CIQ" hidden="1">"c4666"</definedName>
    <definedName name="IQ_EST_EPS_GROWTH_Q_1YR" hidden="1">"c1641"</definedName>
    <definedName name="IQ_EST_EPS_GROWTH_Q_1YR_CIQ" hidden="1">"c4744"</definedName>
    <definedName name="IQ_EST_EPS_GW_DIFF" hidden="1">"c1891"</definedName>
    <definedName name="IQ_EST_EPS_GW_DIFF_CIQ" hidden="1">"c4761"</definedName>
    <definedName name="IQ_EST_EPS_GW_SURPRISE_PERCENT" hidden="1">"c1892"</definedName>
    <definedName name="IQ_EST_EPS_GW_SURPRISE_PERCENT_CIQ" hidden="1">"c4762"</definedName>
    <definedName name="IQ_EST_EPS_NORM_DIFF" hidden="1">"c2247"</definedName>
    <definedName name="IQ_EST_EPS_NORM_DIFF_CIQ" hidden="1">"c4745"</definedName>
    <definedName name="IQ_EST_EPS_NORM_SURPRISE_PERCENT" hidden="1">"c2248"</definedName>
    <definedName name="IQ_EST_EPS_NORM_SURPRISE_PERCENT_CIQ" hidden="1">"c4746"</definedName>
    <definedName name="IQ_EST_EPS_REPORT_DIFF" hidden="1">"c1893"</definedName>
    <definedName name="IQ_EST_EPS_REPORT_DIFF_CIQ" hidden="1">"c4763"</definedName>
    <definedName name="IQ_EST_EPS_REPORT_SURPRISE_PERCENT" hidden="1">"c1894"</definedName>
    <definedName name="IQ_EST_EPS_REPORT_SURPRISE_PERCENT_CIQ" hidden="1">"c4764"</definedName>
    <definedName name="IQ_ESTIMATED_ASSESSABLE_DEPOSITS_FDIC" hidden="1">"c6490"</definedName>
    <definedName name="IQ_ESTIMATED_INSURED_DEPOSITS_FDIC" hidden="1">"c6491"</definedName>
    <definedName name="IQ_EV_OVER_EMPLOYEE" hidden="1">"c1428"</definedName>
    <definedName name="IQ_EV_OVER_LTM_EBIT" hidden="1">"c1426"</definedName>
    <definedName name="IQ_EV_OVER_LTM_EBITDA" hidden="1">"c1427"</definedName>
    <definedName name="IQ_EV_OVER_LTM_REVENUE" hidden="1">"c1429"</definedName>
    <definedName name="IQ_EVAL_DATE" hidden="1">"c2180"</definedName>
    <definedName name="IQ_EXCHANGE" hidden="1">"c405"</definedName>
    <definedName name="IQ_EXCISE_TAXES_EXCL_SALES" hidden="1">"c5515"</definedName>
    <definedName name="IQ_EXCISE_TAXES_INCL_SALES" hidden="1">"c5514"</definedName>
    <definedName name="IQ_EXERCISE_PRICE" hidden="1">"c1897"</definedName>
    <definedName name="IQ_EXERCISED" hidden="1">"c406"</definedName>
    <definedName name="IQ_EXP_RETURN_PENSION_DOMESTIC" hidden="1">"c407"</definedName>
    <definedName name="IQ_EXP_RETURN_PENSION_FOREIGN" hidden="1">"c408"</definedName>
    <definedName name="IQ_EXPENSES_AP" hidden="1">"c8875"</definedName>
    <definedName name="IQ_EXPENSES_AP_ABS" hidden="1">"c8894"</definedName>
    <definedName name="IQ_EXPENSES_NAME_AP" hidden="1">"c8913"</definedName>
    <definedName name="IQ_EXPENSES_NAME_AP_ABS" hidden="1">"c8932"</definedName>
    <definedName name="IQ_EXPLORATION_EXPENDITURE_ALUM" hidden="1">"c9255"</definedName>
    <definedName name="IQ_EXPLORATION_EXPENDITURE_COAL" hidden="1">"c9827"</definedName>
    <definedName name="IQ_EXPLORATION_EXPENDITURE_COP" hidden="1">"c9202"</definedName>
    <definedName name="IQ_EXPLORATION_EXPENDITURE_DIAM" hidden="1">"c9679"</definedName>
    <definedName name="IQ_EXPLORATION_EXPENDITURE_GOLD" hidden="1">"c9040"</definedName>
    <definedName name="IQ_EXPLORATION_EXPENDITURE_IRON" hidden="1">"c9414"</definedName>
    <definedName name="IQ_EXPLORATION_EXPENDITURE_LEAD" hidden="1">"c9467"</definedName>
    <definedName name="IQ_EXPLORATION_EXPENDITURE_MANG" hidden="1">"c9520"</definedName>
    <definedName name="IQ_EXPLORATION_EXPENDITURE_MOLYB" hidden="1">"c9732"</definedName>
    <definedName name="IQ_EXPLORATION_EXPENDITURE_NICK" hidden="1">"c9308"</definedName>
    <definedName name="IQ_EXPLORATION_EXPENDITURE_PLAT" hidden="1">"c9146"</definedName>
    <definedName name="IQ_EXPLORATION_EXPENDITURE_SILVER" hidden="1">"c9093"</definedName>
    <definedName name="IQ_EXPLORATION_EXPENDITURE_TITAN" hidden="1">"c9573"</definedName>
    <definedName name="IQ_EXPLORATION_EXPENDITURE_URAN" hidden="1">"c9626"</definedName>
    <definedName name="IQ_EXPLORATION_EXPENDITURE_ZINC" hidden="1">"c9361"</definedName>
    <definedName name="IQ_EXPLORE_DRILL" hidden="1">"c409"</definedName>
    <definedName name="IQ_EXPORT_PRICE_INDEX" hidden="1">"c6860"</definedName>
    <definedName name="IQ_EXPORT_PRICE_INDEX_APR" hidden="1">"c7520"</definedName>
    <definedName name="IQ_EXPORT_PRICE_INDEX_APR_FC" hidden="1">"c8400"</definedName>
    <definedName name="IQ_EXPORT_PRICE_INDEX_FC" hidden="1">"c7740"</definedName>
    <definedName name="IQ_EXPORT_PRICE_INDEX_POP" hidden="1">"c7080"</definedName>
    <definedName name="IQ_EXPORT_PRICE_INDEX_POP_FC" hidden="1">"c7960"</definedName>
    <definedName name="IQ_EXPORT_PRICE_INDEX_YOY" hidden="1">"c7300"</definedName>
    <definedName name="IQ_EXPORT_PRICE_INDEX_YOY_FC" hidden="1">"c8180"</definedName>
    <definedName name="IQ_EXPORTS_APR_FC_UNUSED_UNUSED_UNUSED" hidden="1">"c8401"</definedName>
    <definedName name="IQ_EXPORTS_APR_UNUSED_UNUSED_UNUSED" hidden="1">"c7521"</definedName>
    <definedName name="IQ_EXPORTS_FACTOR_SERVICES" hidden="1">"c6862"</definedName>
    <definedName name="IQ_EXPORTS_FACTOR_SERVICES_APR" hidden="1">"c7522"</definedName>
    <definedName name="IQ_EXPORTS_FACTOR_SERVICES_APR_FC" hidden="1">"c8402"</definedName>
    <definedName name="IQ_EXPORTS_FACTOR_SERVICES_FC" hidden="1">"c7742"</definedName>
    <definedName name="IQ_EXPORTS_FACTOR_SERVICES_POP" hidden="1">"c7082"</definedName>
    <definedName name="IQ_EXPORTS_FACTOR_SERVICES_POP_FC" hidden="1">"c7962"</definedName>
    <definedName name="IQ_EXPORTS_FACTOR_SERVICES_SAAR" hidden="1">"c6863"</definedName>
    <definedName name="IQ_EXPORTS_FACTOR_SERVICES_SAAR_APR" hidden="1">"c7523"</definedName>
    <definedName name="IQ_EXPORTS_FACTOR_SERVICES_SAAR_APR_FC" hidden="1">"c8403"</definedName>
    <definedName name="IQ_EXPORTS_FACTOR_SERVICES_SAAR_FC" hidden="1">"c7743"</definedName>
    <definedName name="IQ_EXPORTS_FACTOR_SERVICES_SAAR_POP" hidden="1">"c7083"</definedName>
    <definedName name="IQ_EXPORTS_FACTOR_SERVICES_SAAR_POP_FC" hidden="1">"c7963"</definedName>
    <definedName name="IQ_EXPORTS_FACTOR_SERVICES_SAAR_USD_APR_FC" hidden="1">"c11817"</definedName>
    <definedName name="IQ_EXPORTS_FACTOR_SERVICES_SAAR_USD_FC" hidden="1">"c11814"</definedName>
    <definedName name="IQ_EXPORTS_FACTOR_SERVICES_SAAR_USD_POP_FC" hidden="1">"c11815"</definedName>
    <definedName name="IQ_EXPORTS_FACTOR_SERVICES_SAAR_USD_YOY_FC" hidden="1">"c11816"</definedName>
    <definedName name="IQ_EXPORTS_FACTOR_SERVICES_SAAR_YOY" hidden="1">"c7303"</definedName>
    <definedName name="IQ_EXPORTS_FACTOR_SERVICES_SAAR_YOY_FC" hidden="1">"c8183"</definedName>
    <definedName name="IQ_EXPORTS_FACTOR_SERVICES_USD_APR_FC" hidden="1">"c11813"</definedName>
    <definedName name="IQ_EXPORTS_FACTOR_SERVICES_USD_FC" hidden="1">"c11810"</definedName>
    <definedName name="IQ_EXPORTS_FACTOR_SERVICES_USD_POP_FC" hidden="1">"c11811"</definedName>
    <definedName name="IQ_EXPORTS_FACTOR_SERVICES_USD_YOY_FC" hidden="1">"c11812"</definedName>
    <definedName name="IQ_EXPORTS_FACTOR_SERVICES_YOY" hidden="1">"c7302"</definedName>
    <definedName name="IQ_EXPORTS_FACTOR_SERVICES_YOY_FC" hidden="1">"c8182"</definedName>
    <definedName name="IQ_EXPORTS_FC_UNUSED_UNUSED_UNUSED" hidden="1">"c7741"</definedName>
    <definedName name="IQ_EXPORTS_GOODS" hidden="1">"c6864"</definedName>
    <definedName name="IQ_EXPORTS_GOODS_APR" hidden="1">"c7524"</definedName>
    <definedName name="IQ_EXPORTS_GOODS_APR_FC" hidden="1">"c8404"</definedName>
    <definedName name="IQ_EXPORTS_GOODS_FC" hidden="1">"c7744"</definedName>
    <definedName name="IQ_EXPORTS_GOODS_NONFACTOR_SERVICES" hidden="1">"c6865"</definedName>
    <definedName name="IQ_EXPORTS_GOODS_NONFACTOR_SERVICES_APR" hidden="1">"c7525"</definedName>
    <definedName name="IQ_EXPORTS_GOODS_NONFACTOR_SERVICES_APR_FC" hidden="1">"c8405"</definedName>
    <definedName name="IQ_EXPORTS_GOODS_NONFACTOR_SERVICES_FC" hidden="1">"c7745"</definedName>
    <definedName name="IQ_EXPORTS_GOODS_NONFACTOR_SERVICES_POP" hidden="1">"c7085"</definedName>
    <definedName name="IQ_EXPORTS_GOODS_NONFACTOR_SERVICES_POP_FC" hidden="1">"c7965"</definedName>
    <definedName name="IQ_EXPORTS_GOODS_NONFACTOR_SERVICES_YOY" hidden="1">"c7305"</definedName>
    <definedName name="IQ_EXPORTS_GOODS_NONFACTOR_SERVICES_YOY_FC" hidden="1">"c8185"</definedName>
    <definedName name="IQ_EXPORTS_GOODS_POP" hidden="1">"c7084"</definedName>
    <definedName name="IQ_EXPORTS_GOODS_POP_FC" hidden="1">"c7964"</definedName>
    <definedName name="IQ_EXPORTS_GOODS_REAL" hidden="1">"c6973"</definedName>
    <definedName name="IQ_EXPORTS_GOODS_REAL_APR" hidden="1">"c7633"</definedName>
    <definedName name="IQ_EXPORTS_GOODS_REAL_APR_FC" hidden="1">"c8513"</definedName>
    <definedName name="IQ_EXPORTS_GOODS_REAL_FC" hidden="1">"c7853"</definedName>
    <definedName name="IQ_EXPORTS_GOODS_REAL_POP" hidden="1">"c7193"</definedName>
    <definedName name="IQ_EXPORTS_GOODS_REAL_POP_FC" hidden="1">"c8073"</definedName>
    <definedName name="IQ_EXPORTS_GOODS_REAL_SAAR" hidden="1">"c11930"</definedName>
    <definedName name="IQ_EXPORTS_GOODS_REAL_SAAR_APR" hidden="1">"c11933"</definedName>
    <definedName name="IQ_EXPORTS_GOODS_REAL_SAAR_APR_FC_UNUSED_UNUSED_UNUSED" hidden="1">"c8512"</definedName>
    <definedName name="IQ_EXPORTS_GOODS_REAL_SAAR_APR_UNUSED_UNUSED_UNUSED" hidden="1">"c7632"</definedName>
    <definedName name="IQ_EXPORTS_GOODS_REAL_SAAR_FC_UNUSED_UNUSED_UNUSED" hidden="1">"c7852"</definedName>
    <definedName name="IQ_EXPORTS_GOODS_REAL_SAAR_POP" hidden="1">"c11931"</definedName>
    <definedName name="IQ_EXPORTS_GOODS_REAL_SAAR_POP_FC_UNUSED_UNUSED_UNUSED" hidden="1">"c8072"</definedName>
    <definedName name="IQ_EXPORTS_GOODS_REAL_SAAR_POP_UNUSED_UNUSED_UNUSED" hidden="1">"c7192"</definedName>
    <definedName name="IQ_EXPORTS_GOODS_REAL_SAAR_UNUSED_UNUSED_UNUSED" hidden="1">"c6972"</definedName>
    <definedName name="IQ_EXPORTS_GOODS_REAL_SAAR_YOY" hidden="1">"c11932"</definedName>
    <definedName name="IQ_EXPORTS_GOODS_REAL_SAAR_YOY_FC_UNUSED_UNUSED_UNUSED" hidden="1">"c8292"</definedName>
    <definedName name="IQ_EXPORTS_GOODS_REAL_SAAR_YOY_UNUSED_UNUSED_UNUSED" hidden="1">"c7412"</definedName>
    <definedName name="IQ_EXPORTS_GOODS_REAL_YOY" hidden="1">"c7413"</definedName>
    <definedName name="IQ_EXPORTS_GOODS_REAL_YOY_FC" hidden="1">"c8293"</definedName>
    <definedName name="IQ_EXPORTS_GOODS_SERVICES" hidden="1">"c6866"</definedName>
    <definedName name="IQ_EXPORTS_GOODS_SERVICES_APR" hidden="1">"c7526"</definedName>
    <definedName name="IQ_EXPORTS_GOODS_SERVICES_APR_FC" hidden="1">"c8406"</definedName>
    <definedName name="IQ_EXPORTS_GOODS_SERVICES_FC" hidden="1">"c7746"</definedName>
    <definedName name="IQ_EXPORTS_GOODS_SERVICES_POP" hidden="1">"c7086"</definedName>
    <definedName name="IQ_EXPORTS_GOODS_SERVICES_POP_FC" hidden="1">"c7966"</definedName>
    <definedName name="IQ_EXPORTS_GOODS_SERVICES_REAL" hidden="1">"c6974"</definedName>
    <definedName name="IQ_EXPORTS_GOODS_SERVICES_REAL_APR" hidden="1">"c7634"</definedName>
    <definedName name="IQ_EXPORTS_GOODS_SERVICES_REAL_APR_FC" hidden="1">"c8514"</definedName>
    <definedName name="IQ_EXPORTS_GOODS_SERVICES_REAL_FC" hidden="1">"c7854"</definedName>
    <definedName name="IQ_EXPORTS_GOODS_SERVICES_REAL_POP" hidden="1">"c7194"</definedName>
    <definedName name="IQ_EXPORTS_GOODS_SERVICES_REAL_POP_FC" hidden="1">"c8074"</definedName>
    <definedName name="IQ_EXPORTS_GOODS_SERVICES_REAL_SAAR" hidden="1">"c6975"</definedName>
    <definedName name="IQ_EXPORTS_GOODS_SERVICES_REAL_SAAR_APR" hidden="1">"c7635"</definedName>
    <definedName name="IQ_EXPORTS_GOODS_SERVICES_REAL_SAAR_APR_FC" hidden="1">"c8515"</definedName>
    <definedName name="IQ_EXPORTS_GOODS_SERVICES_REAL_SAAR_FC" hidden="1">"c7855"</definedName>
    <definedName name="IQ_EXPORTS_GOODS_SERVICES_REAL_SAAR_POP" hidden="1">"c7195"</definedName>
    <definedName name="IQ_EXPORTS_GOODS_SERVICES_REAL_SAAR_POP_FC" hidden="1">"c8075"</definedName>
    <definedName name="IQ_EXPORTS_GOODS_SERVICES_REAL_SAAR_YOY" hidden="1">"c7415"</definedName>
    <definedName name="IQ_EXPORTS_GOODS_SERVICES_REAL_SAAR_YOY_FC" hidden="1">"c8295"</definedName>
    <definedName name="IQ_EXPORTS_GOODS_SERVICES_REAL_USD" hidden="1">"c11926"</definedName>
    <definedName name="IQ_EXPORTS_GOODS_SERVICES_REAL_USD_APR" hidden="1">"c11929"</definedName>
    <definedName name="IQ_EXPORTS_GOODS_SERVICES_REAL_USD_POP" hidden="1">"c11927"</definedName>
    <definedName name="IQ_EXPORTS_GOODS_SERVICES_REAL_USD_YOY" hidden="1">"c11928"</definedName>
    <definedName name="IQ_EXPORTS_GOODS_SERVICES_REAL_YOY" hidden="1">"c7414"</definedName>
    <definedName name="IQ_EXPORTS_GOODS_SERVICES_REAL_YOY_FC" hidden="1">"c8294"</definedName>
    <definedName name="IQ_EXPORTS_GOODS_SERVICES_SAAR" hidden="1">"c6867"</definedName>
    <definedName name="IQ_EXPORTS_GOODS_SERVICES_SAAR_APR" hidden="1">"c7527"</definedName>
    <definedName name="IQ_EXPORTS_GOODS_SERVICES_SAAR_APR_FC" hidden="1">"c8407"</definedName>
    <definedName name="IQ_EXPORTS_GOODS_SERVICES_SAAR_FC" hidden="1">"c7747"</definedName>
    <definedName name="IQ_EXPORTS_GOODS_SERVICES_SAAR_POP" hidden="1">"c7087"</definedName>
    <definedName name="IQ_EXPORTS_GOODS_SERVICES_SAAR_POP_FC" hidden="1">"c7967"</definedName>
    <definedName name="IQ_EXPORTS_GOODS_SERVICES_SAAR_YOY" hidden="1">"c7307"</definedName>
    <definedName name="IQ_EXPORTS_GOODS_SERVICES_SAAR_YOY_FC" hidden="1">"c8187"</definedName>
    <definedName name="IQ_EXPORTS_GOODS_SERVICES_USD" hidden="1">"c11822"</definedName>
    <definedName name="IQ_EXPORTS_GOODS_SERVICES_USD_APR" hidden="1">"c11825"</definedName>
    <definedName name="IQ_EXPORTS_GOODS_SERVICES_USD_POP" hidden="1">"c11823"</definedName>
    <definedName name="IQ_EXPORTS_GOODS_SERVICES_USD_YOY" hidden="1">"c11824"</definedName>
    <definedName name="IQ_EXPORTS_GOODS_SERVICES_YOY" hidden="1">"c7306"</definedName>
    <definedName name="IQ_EXPORTS_GOODS_SERVICES_YOY_FC" hidden="1">"c8186"</definedName>
    <definedName name="IQ_EXPORTS_GOODS_USD" hidden="1">"c11818"</definedName>
    <definedName name="IQ_EXPORTS_GOODS_USD_APR" hidden="1">"c11821"</definedName>
    <definedName name="IQ_EXPORTS_GOODS_USD_POP" hidden="1">"c11819"</definedName>
    <definedName name="IQ_EXPORTS_GOODS_USD_YOY" hidden="1">"c11820"</definedName>
    <definedName name="IQ_EXPORTS_GOODS_YOY" hidden="1">"c7304"</definedName>
    <definedName name="IQ_EXPORTS_GOODS_YOY_FC" hidden="1">"c8184"</definedName>
    <definedName name="IQ_EXPORTS_NONFACTOR_SERVICES" hidden="1">"c6868"</definedName>
    <definedName name="IQ_EXPORTS_NONFACTOR_SERVICES_APR" hidden="1">"c7528"</definedName>
    <definedName name="IQ_EXPORTS_NONFACTOR_SERVICES_APR_FC" hidden="1">"c8408"</definedName>
    <definedName name="IQ_EXPORTS_NONFACTOR_SERVICES_FC" hidden="1">"c7748"</definedName>
    <definedName name="IQ_EXPORTS_NONFACTOR_SERVICES_POP" hidden="1">"c7088"</definedName>
    <definedName name="IQ_EXPORTS_NONFACTOR_SERVICES_POP_FC" hidden="1">"c7968"</definedName>
    <definedName name="IQ_EXPORTS_NONFACTOR_SERVICES_YOY" hidden="1">"c7308"</definedName>
    <definedName name="IQ_EXPORTS_NONFACTOR_SERVICES_YOY_FC" hidden="1">"c8188"</definedName>
    <definedName name="IQ_EXPORTS_POP_FC_UNUSED_UNUSED_UNUSED" hidden="1">"c7961"</definedName>
    <definedName name="IQ_EXPORTS_POP_UNUSED_UNUSED_UNUSED" hidden="1">"c7081"</definedName>
    <definedName name="IQ_EXPORTS_SERVICES_REAL" hidden="1">"c6977"</definedName>
    <definedName name="IQ_EXPORTS_SERVICES_REAL_APR" hidden="1">"c7637"</definedName>
    <definedName name="IQ_EXPORTS_SERVICES_REAL_APR_FC" hidden="1">"c8517"</definedName>
    <definedName name="IQ_EXPORTS_SERVICES_REAL_FC" hidden="1">"c7857"</definedName>
    <definedName name="IQ_EXPORTS_SERVICES_REAL_POP" hidden="1">"c7197"</definedName>
    <definedName name="IQ_EXPORTS_SERVICES_REAL_POP_FC" hidden="1">"c8077"</definedName>
    <definedName name="IQ_EXPORTS_SERVICES_REAL_SAAR" hidden="1">"c11934"</definedName>
    <definedName name="IQ_EXPORTS_SERVICES_REAL_SAAR_APR" hidden="1">"c11937"</definedName>
    <definedName name="IQ_EXPORTS_SERVICES_REAL_SAAR_APR_FC_UNUSED_UNUSED_UNUSED" hidden="1">"c8516"</definedName>
    <definedName name="IQ_EXPORTS_SERVICES_REAL_SAAR_APR_UNUSED_UNUSED_UNUSED" hidden="1">"c7636"</definedName>
    <definedName name="IQ_EXPORTS_SERVICES_REAL_SAAR_FC_UNUSED_UNUSED_UNUSED" hidden="1">"c7856"</definedName>
    <definedName name="IQ_EXPORTS_SERVICES_REAL_SAAR_POP" hidden="1">"c11935"</definedName>
    <definedName name="IQ_EXPORTS_SERVICES_REAL_SAAR_POP_FC_UNUSED_UNUSED_UNUSED" hidden="1">"c8076"</definedName>
    <definedName name="IQ_EXPORTS_SERVICES_REAL_SAAR_POP_UNUSED_UNUSED_UNUSED" hidden="1">"c7196"</definedName>
    <definedName name="IQ_EXPORTS_SERVICES_REAL_SAAR_UNUSED_UNUSED_UNUSED" hidden="1">"c6976"</definedName>
    <definedName name="IQ_EXPORTS_SERVICES_REAL_SAAR_YOY" hidden="1">"c11936"</definedName>
    <definedName name="IQ_EXPORTS_SERVICES_REAL_SAAR_YOY_FC_UNUSED_UNUSED_UNUSED" hidden="1">"c8296"</definedName>
    <definedName name="IQ_EXPORTS_SERVICES_REAL_SAAR_YOY_UNUSED_UNUSED_UNUSED" hidden="1">"c7416"</definedName>
    <definedName name="IQ_EXPORTS_SERVICES_REAL_YOY" hidden="1">"c7417"</definedName>
    <definedName name="IQ_EXPORTS_SERVICES_REAL_YOY_FC" hidden="1">"c8297"</definedName>
    <definedName name="IQ_EXPORTS_UNUSED_UNUSED_UNUSED" hidden="1">"c6861"</definedName>
    <definedName name="IQ_EXPORTS_USD" hidden="1">"c11806"</definedName>
    <definedName name="IQ_EXPORTS_USD_APR" hidden="1">"c11809"</definedName>
    <definedName name="IQ_EXPORTS_USD_POP" hidden="1">"c11807"</definedName>
    <definedName name="IQ_EXPORTS_USD_YOY" hidden="1">"c11808"</definedName>
    <definedName name="IQ_EXPORTS_YOY_FC_UNUSED_UNUSED_UNUSED" hidden="1">"c8181"</definedName>
    <definedName name="IQ_EXPORTS_YOY_UNUSED_UNUSED_UNUSED" hidden="1">"c7301"</definedName>
    <definedName name="IQ_EXTRA_ACC_ITEMS" hidden="1">"c410"</definedName>
    <definedName name="IQ_EXTRA_ACC_ITEMS_BNK" hidden="1">"c411"</definedName>
    <definedName name="IQ_EXTRA_ACC_ITEMS_BR" hidden="1">"c412"</definedName>
    <definedName name="IQ_EXTRA_ACC_ITEMS_FIN" hidden="1">"c413"</definedName>
    <definedName name="IQ_EXTRA_ACC_ITEMS_INS" hidden="1">"c414"</definedName>
    <definedName name="IQ_EXTRA_ACC_ITEMS_RE" hidden="1">"c6216"</definedName>
    <definedName name="IQ_EXTRA_ACC_ITEMS_REIT" hidden="1">"c415"</definedName>
    <definedName name="IQ_EXTRA_ACC_ITEMS_UTI" hidden="1">"c416"</definedName>
    <definedName name="IQ_EXTRA_ITEMS" hidden="1">"c1459"</definedName>
    <definedName name="IQ_EXTRAORDINARY_GAINS_FDIC" hidden="1">"c6586"</definedName>
    <definedName name="IQ_FAD" hidden="1">"c8757"</definedName>
    <definedName name="IQ_FAD_PAYOUT_RATIO" hidden="1">"c8872"</definedName>
    <definedName name="IQ_FAIR_VALUE_FDIC" hidden="1">"c6427"</definedName>
    <definedName name="IQ_FARM_LOANS_NET_FDIC" hidden="1">"c6316"</definedName>
    <definedName name="IQ_FARM_LOANS_TOTAL_LOANS_FOREIGN_FDIC" hidden="1">"c6450"</definedName>
    <definedName name="IQ_FARMLAND_LOANS_FDIC" hidden="1">"c6314"</definedName>
    <definedName name="IQ_FDIC" hidden="1">"c417"</definedName>
    <definedName name="IQ_FED_BUDGET_RECEIPTS" hidden="1">"c6869"</definedName>
    <definedName name="IQ_FED_BUDGET_RECEIPTS_APR" hidden="1">"c7529"</definedName>
    <definedName name="IQ_FED_BUDGET_RECEIPTS_APR_FC" hidden="1">"c8409"</definedName>
    <definedName name="IQ_FED_BUDGET_RECEIPTS_FC" hidden="1">"c7749"</definedName>
    <definedName name="IQ_FED_BUDGET_RECEIPTS_POP" hidden="1">"c7089"</definedName>
    <definedName name="IQ_FED_BUDGET_RECEIPTS_POP_FC" hidden="1">"c7969"</definedName>
    <definedName name="IQ_FED_BUDGET_RECEIPTS_YOY" hidden="1">"c7309"</definedName>
    <definedName name="IQ_FED_BUDGET_RECEIPTS_YOY_FC" hidden="1">"c8189"</definedName>
    <definedName name="IQ_FED_FUNDS_PURCHASED_FDIC" hidden="1">"c6343"</definedName>
    <definedName name="IQ_FED_FUNDS_SOLD_FDIC" hidden="1">"c6307"</definedName>
    <definedName name="IQ_FEDFUNDS_SOLD" hidden="1">"c2256"</definedName>
    <definedName name="IQ_FFO" hidden="1">"c1574"</definedName>
    <definedName name="IQ_FFO_ADJ_ACT_OR_EST_CIQ" hidden="1">"c4960"</definedName>
    <definedName name="IQ_FFO_PAYOUT_RATIO" hidden="1">"c3492"</definedName>
    <definedName name="IQ_FFO_PER_SHARE_BASIC" hidden="1">"c8867"</definedName>
    <definedName name="IQ_FFO_PER_SHARE_DILUTED" hidden="1">"c8868"</definedName>
    <definedName name="IQ_FFO_SHARE_ACT_OR_EST_CIQ" hidden="1">"c4971"</definedName>
    <definedName name="IQ_FH" hidden="1">100000</definedName>
    <definedName name="IQ_FHLB_ADVANCES_FDIC" hidden="1">"c6366"</definedName>
    <definedName name="IQ_FHLB_DEBT" hidden="1">"c423"</definedName>
    <definedName name="IQ_FHLB_DUE_CY" hidden="1">"c2080"</definedName>
    <definedName name="IQ_FHLB_DUE_CY1" hidden="1">"c2081"</definedName>
    <definedName name="IQ_FHLB_DUE_CY2" hidden="1">"c2082"</definedName>
    <definedName name="IQ_FHLB_DUE_CY3" hidden="1">"c2083"</definedName>
    <definedName name="IQ_FHLB_DUE_CY4" hidden="1">"c2084"</definedName>
    <definedName name="IQ_FHLB_DUE_NEXT_FIVE" hidden="1">"c2085"</definedName>
    <definedName name="IQ_FIDUCIARY_ACTIVITIES_FDIC" hidden="1">"c6571"</definedName>
    <definedName name="IQ_FIFETEEN_YEAR_FIXED_AND_FLOATING_RATE_FDIC" hidden="1">"c6423"</definedName>
    <definedName name="IQ_FIFETEEN_YEAR_MORTGAGE_PASS_THROUGHS_FDIC" hidden="1">"c6415"</definedName>
    <definedName name="IQ_FILING_CURRENCY" hidden="1">"c2129"</definedName>
    <definedName name="IQ_FILING_CURRENCY_AP" hidden="1">"c11747"</definedName>
    <definedName name="IQ_FILINGDATE_BS" hidden="1">"c424"</definedName>
    <definedName name="IQ_FILINGDATE_CF" hidden="1">"c425"</definedName>
    <definedName name="IQ_FILINGDATE_IS" hidden="1">"c426"</definedName>
    <definedName name="IQ_FILM_RIGHTS" hidden="1">"c2254"</definedName>
    <definedName name="IQ_FIN_DIV_ASSETS_CURRENT" hidden="1">"c427"</definedName>
    <definedName name="IQ_FIN_DIV_ASSETS_LT" hidden="1">"c428"</definedName>
    <definedName name="IQ_FIN_DIV_CASH_EQUIV" hidden="1">"c6289"</definedName>
    <definedName name="IQ_FIN_DIV_DEBT_CURRENT" hidden="1">"c429"</definedName>
    <definedName name="IQ_FIN_DIV_DEBT_LT" hidden="1">"c430"</definedName>
    <definedName name="IQ_FIN_DIV_DEBT_TOTAL" hidden="1">"c5656"</definedName>
    <definedName name="IQ_FIN_DIV_EXP" hidden="1">"c431"</definedName>
    <definedName name="IQ_FIN_DIV_INT_EXP" hidden="1">"c432"</definedName>
    <definedName name="IQ_FIN_DIV_LIAB_CURRENT" hidden="1">"c433"</definedName>
    <definedName name="IQ_FIN_DIV_LIAB_LT" hidden="1">"c434"</definedName>
    <definedName name="IQ_FIN_DIV_LOANS_CURRENT" hidden="1">"c435"</definedName>
    <definedName name="IQ_FIN_DIV_LOANS_LT" hidden="1">"c436"</definedName>
    <definedName name="IQ_FIN_DIV_LT_DEBT_TOTAL" hidden="1">"c5655"</definedName>
    <definedName name="IQ_FIN_DIV_REV" hidden="1">"c437"</definedName>
    <definedName name="IQ_FIN_DIV_ST_DEBT_TOTAL" hidden="1">"c5527"</definedName>
    <definedName name="IQ_FIN_DIV_ST_INVEST" hidden="1">"c6288"</definedName>
    <definedName name="IQ_FINANCING_CASH" hidden="1">"c1405"</definedName>
    <definedName name="IQ_FINANCING_CASH_SUPPL" hidden="1">"c1406"</definedName>
    <definedName name="IQ_FINANCING_OBLIG_CURRENT" hidden="1">"c11753"</definedName>
    <definedName name="IQ_FINANCING_OBLIG_NON_CURRENT" hidden="1">"c11754"</definedName>
    <definedName name="IQ_FINISHED_INV" hidden="1">"c438"</definedName>
    <definedName name="IQ_FIRST_INT_DATE" hidden="1">"c2186"</definedName>
    <definedName name="IQ_FIRST_YEAR_LIFE" hidden="1">"c439"</definedName>
    <definedName name="IQ_FIRST_YEAR_LIFE_PREM" hidden="1">"c2787"</definedName>
    <definedName name="IQ_FIRST_YEAR_PREM" hidden="1">"c2786"</definedName>
    <definedName name="IQ_FIRSTPRICINGDATE" hidden="1">"c3050"</definedName>
    <definedName name="IQ_FISCAL_Q" hidden="1">"c440"</definedName>
    <definedName name="IQ_FISCAL_Q_EST" hidden="1">"c6794"</definedName>
    <definedName name="IQ_FISCAL_Q_EST_CIQ" hidden="1">"c6806"</definedName>
    <definedName name="IQ_FISCAL_Y" hidden="1">"c441"</definedName>
    <definedName name="IQ_FISCAL_Y_EST" hidden="1">"c6795"</definedName>
    <definedName name="IQ_FISCAL_Y_EST_CIQ" hidden="1">"c6807"</definedName>
    <definedName name="IQ_FIVE_PERCENT_OWNER" hidden="1">"c442"</definedName>
    <definedName name="IQ_FIVE_YEAR_FIXED_AND_FLOATING_RATE_FDIC" hidden="1">"c6422"</definedName>
    <definedName name="IQ_FIVE_YEAR_MORTGAGE_PASS_THROUGHS_FDIC" hidden="1">"c6414"</definedName>
    <definedName name="IQ_FIVEPERCENT_PERCENT" hidden="1">"c443"</definedName>
    <definedName name="IQ_FIVEPERCENT_SHARES" hidden="1">"c444"</definedName>
    <definedName name="IQ_FIX_FREQUENCY" hidden="1">"c8964"</definedName>
    <definedName name="IQ_FIXED_ASSET_TURNS" hidden="1">"c445"</definedName>
    <definedName name="IQ_FIXED_INVEST_APR_FC_UNUSED_UNUSED_UNUSED" hidden="1">"c8410"</definedName>
    <definedName name="IQ_FIXED_INVEST_APR_UNUSED_UNUSED_UNUSED" hidden="1">"c7530"</definedName>
    <definedName name="IQ_FIXED_INVEST_FC_UNUSED_UNUSED_UNUSED" hidden="1">"c7750"</definedName>
    <definedName name="IQ_FIXED_INVEST_MACH_EQUIP" hidden="1">"c6871"</definedName>
    <definedName name="IQ_FIXED_INVEST_MACH_EQUIP_APR" hidden="1">"c7531"</definedName>
    <definedName name="IQ_FIXED_INVEST_MACH_EQUIP_APR_FC" hidden="1">"c8411"</definedName>
    <definedName name="IQ_FIXED_INVEST_MACH_EQUIP_FC" hidden="1">"c7751"</definedName>
    <definedName name="IQ_FIXED_INVEST_MACH_EQUIP_POP" hidden="1">"c7091"</definedName>
    <definedName name="IQ_FIXED_INVEST_MACH_EQUIP_POP_FC" hidden="1">"c7971"</definedName>
    <definedName name="IQ_FIXED_INVEST_MACH_EQUIP_REAL" hidden="1">"c6979"</definedName>
    <definedName name="IQ_FIXED_INVEST_MACH_EQUIP_REAL_APR" hidden="1">"c7639"</definedName>
    <definedName name="IQ_FIXED_INVEST_MACH_EQUIP_REAL_APR_FC" hidden="1">"c8519"</definedName>
    <definedName name="IQ_FIXED_INVEST_MACH_EQUIP_REAL_FC" hidden="1">"c7859"</definedName>
    <definedName name="IQ_FIXED_INVEST_MACH_EQUIP_REAL_POP" hidden="1">"c7199"</definedName>
    <definedName name="IQ_FIXED_INVEST_MACH_EQUIP_REAL_POP_FC" hidden="1">"c8079"</definedName>
    <definedName name="IQ_FIXED_INVEST_MACH_EQUIP_REAL_YOY" hidden="1">"c7419"</definedName>
    <definedName name="IQ_FIXED_INVEST_MACH_EQUIP_REAL_YOY_FC" hidden="1">"c8299"</definedName>
    <definedName name="IQ_FIXED_INVEST_MACH_EQUIP_YOY" hidden="1">"c7311"</definedName>
    <definedName name="IQ_FIXED_INVEST_MACH_EQUIP_YOY_FC" hidden="1">"c8191"</definedName>
    <definedName name="IQ_FIXED_INVEST_POP_FC_UNUSED_UNUSED_UNUSED" hidden="1">"c7970"</definedName>
    <definedName name="IQ_FIXED_INVEST_POP_UNUSED_UNUSED_UNUSED" hidden="1">"c7090"</definedName>
    <definedName name="IQ_FIXED_INVEST_REAL_APR_FC_UNUSED_UNUSED_UNUSED" hidden="1">"c8518"</definedName>
    <definedName name="IQ_FIXED_INVEST_REAL_APR_UNUSED_UNUSED_UNUSED" hidden="1">"c7638"</definedName>
    <definedName name="IQ_FIXED_INVEST_REAL_FC_UNUSED_UNUSED_UNUSED" hidden="1">"c7858"</definedName>
    <definedName name="IQ_FIXED_INVEST_REAL_POP_FC_UNUSED_UNUSED_UNUSED" hidden="1">"c8078"</definedName>
    <definedName name="IQ_FIXED_INVEST_REAL_POP_UNUSED_UNUSED_UNUSED" hidden="1">"c7198"</definedName>
    <definedName name="IQ_FIXED_INVEST_REAL_SAAR" hidden="1">"c6980"</definedName>
    <definedName name="IQ_FIXED_INVEST_REAL_SAAR_APR" hidden="1">"c7640"</definedName>
    <definedName name="IQ_FIXED_INVEST_REAL_SAAR_APR_FC" hidden="1">"c8520"</definedName>
    <definedName name="IQ_FIXED_INVEST_REAL_SAAR_FC" hidden="1">"c7860"</definedName>
    <definedName name="IQ_FIXED_INVEST_REAL_SAAR_POP" hidden="1">"c7200"</definedName>
    <definedName name="IQ_FIXED_INVEST_REAL_SAAR_POP_FC" hidden="1">"c8080"</definedName>
    <definedName name="IQ_FIXED_INVEST_REAL_SAAR_USD_APR_FC" hidden="1">"c11945"</definedName>
    <definedName name="IQ_FIXED_INVEST_REAL_SAAR_USD_FC" hidden="1">"c11942"</definedName>
    <definedName name="IQ_FIXED_INVEST_REAL_SAAR_USD_POP_FC" hidden="1">"c11943"</definedName>
    <definedName name="IQ_FIXED_INVEST_REAL_SAAR_USD_YOY_FC" hidden="1">"c11944"</definedName>
    <definedName name="IQ_FIXED_INVEST_REAL_SAAR_YOY" hidden="1">"c7420"</definedName>
    <definedName name="IQ_FIXED_INVEST_REAL_SAAR_YOY_FC" hidden="1">"c8300"</definedName>
    <definedName name="IQ_FIXED_INVEST_REAL_UNUSED_UNUSED_UNUSED" hidden="1">"c6978"</definedName>
    <definedName name="IQ_FIXED_INVEST_REAL_USD_APR_FC" hidden="1">"c11941"</definedName>
    <definedName name="IQ_FIXED_INVEST_REAL_USD_FC" hidden="1">"c11938"</definedName>
    <definedName name="IQ_FIXED_INVEST_REAL_USD_POP_FC" hidden="1">"c11939"</definedName>
    <definedName name="IQ_FIXED_INVEST_REAL_USD_YOY_FC" hidden="1">"c11940"</definedName>
    <definedName name="IQ_FIXED_INVEST_REAL_YOY_FC_UNUSED_UNUSED_UNUSED" hidden="1">"c8298"</definedName>
    <definedName name="IQ_FIXED_INVEST_REAL_YOY_UNUSED_UNUSED_UNUSED" hidden="1">"c7418"</definedName>
    <definedName name="IQ_FIXED_INVEST_SAAR" hidden="1">"c6872"</definedName>
    <definedName name="IQ_FIXED_INVEST_SAAR_APR" hidden="1">"c7532"</definedName>
    <definedName name="IQ_FIXED_INVEST_SAAR_APR_FC" hidden="1">"c8412"</definedName>
    <definedName name="IQ_FIXED_INVEST_SAAR_FC" hidden="1">"c7752"</definedName>
    <definedName name="IQ_FIXED_INVEST_SAAR_POP" hidden="1">"c7092"</definedName>
    <definedName name="IQ_FIXED_INVEST_SAAR_POP_FC" hidden="1">"c7972"</definedName>
    <definedName name="IQ_FIXED_INVEST_SAAR_USD_APR_FC" hidden="1">"c11833"</definedName>
    <definedName name="IQ_FIXED_INVEST_SAAR_USD_FC" hidden="1">"c11830"</definedName>
    <definedName name="IQ_FIXED_INVEST_SAAR_USD_POP_FC" hidden="1">"c11831"</definedName>
    <definedName name="IQ_FIXED_INVEST_SAAR_USD_YOY_FC" hidden="1">"c11832"</definedName>
    <definedName name="IQ_FIXED_INVEST_SAAR_YOY" hidden="1">"c7312"</definedName>
    <definedName name="IQ_FIXED_INVEST_SAAR_YOY_FC" hidden="1">"c8192"</definedName>
    <definedName name="IQ_FIXED_INVEST_UNUSED_UNUSED_UNUSED" hidden="1">"c6870"</definedName>
    <definedName name="IQ_FIXED_INVEST_USD_APR_FC" hidden="1">"c11829"</definedName>
    <definedName name="IQ_FIXED_INVEST_USD_FC" hidden="1">"c11826"</definedName>
    <definedName name="IQ_FIXED_INVEST_USD_POP_FC" hidden="1">"c11827"</definedName>
    <definedName name="IQ_FIXED_INVEST_USD_YOY_FC" hidden="1">"c11828"</definedName>
    <definedName name="IQ_FIXED_INVEST_YOY_FC_UNUSED_UNUSED_UNUSED" hidden="1">"c8190"</definedName>
    <definedName name="IQ_FIXED_INVEST_YOY_UNUSED_UNUSED_UNUSED" hidden="1">"c7310"</definedName>
    <definedName name="IQ_FLOAT_PERCENT" hidden="1">"c1575"</definedName>
    <definedName name="IQ_FNMA_FHLMC_FDIC" hidden="1">"c6397"</definedName>
    <definedName name="IQ_FNMA_FHLMC_GNMA_FDIC" hidden="1">"c6399"</definedName>
    <definedName name="IQ_FORECLOSED_PROPERTIES_FDIC" hidden="1">"c6459"</definedName>
    <definedName name="IQ_FOREIGN_BANK_LOANS_FDIC" hidden="1">"c6437"</definedName>
    <definedName name="IQ_FOREIGN_BANKS_DEPOSITS_FOREIGN_FDIC" hidden="1">"c6481"</definedName>
    <definedName name="IQ_FOREIGN_BANKS_LOAN_CHARG_OFFS_FDIC" hidden="1">"c6645"</definedName>
    <definedName name="IQ_FOREIGN_BANKS_NET_CHARGE_OFFS_FDIC" hidden="1">"c6647"</definedName>
    <definedName name="IQ_FOREIGN_BANKS_NONTRANSACTION_ACCOUNTS_FDIC" hidden="1">"c6550"</definedName>
    <definedName name="IQ_FOREIGN_BANKS_RECOVERIES_FDIC" hidden="1">"c6646"</definedName>
    <definedName name="IQ_FOREIGN_BANKS_TRANSACTION_ACCOUNTS_FDIC" hidden="1">"c6542"</definedName>
    <definedName name="IQ_FOREIGN_BRANCHES_US_BANKS_FDIC" hidden="1">"c6392"</definedName>
    <definedName name="IQ_FOREIGN_BRANCHES_US_BANKS_LOANS_FDIC" hidden="1">"c6438"</definedName>
    <definedName name="IQ_FOREIGN_COUNTRIES_BANKS_TOTAL_LOANS_FOREIGN_FDIC" hidden="1">"c6445"</definedName>
    <definedName name="IQ_FOREIGN_DEBT_SECURITIES_FDIC" hidden="1">"c6303"</definedName>
    <definedName name="IQ_FOREIGN_DEP_IB" hidden="1">"c446"</definedName>
    <definedName name="IQ_FOREIGN_DEP_NON_IB" hidden="1">"c447"</definedName>
    <definedName name="IQ_FOREIGN_DEPOSITS_NONTRANSACTION_ACCOUNTS_FDIC" hidden="1">"c6549"</definedName>
    <definedName name="IQ_FOREIGN_DEPOSITS_TRANSACTION_ACCOUNTS_FDIC" hidden="1">"c6541"</definedName>
    <definedName name="IQ_FOREIGN_EXCHANGE" hidden="1">"c1376"</definedName>
    <definedName name="IQ_FOREIGN_EXCHANGE_EXPOSURES_FDIC" hidden="1">"c6663"</definedName>
    <definedName name="IQ_FOREIGN_GOVERNMENT_LOANS_FDIC" hidden="1">"c6430"</definedName>
    <definedName name="IQ_FOREIGN_GOVERNMENTS_CHARGE_OFFS_FDIC" hidden="1">"c6600"</definedName>
    <definedName name="IQ_FOREIGN_GOVERNMENTS_DEPOSITS_FOREIGN_FDIC" hidden="1">"c6482"</definedName>
    <definedName name="IQ_FOREIGN_GOVERNMENTS_NET_CHARGE_OFFS_FDIC" hidden="1">"c6638"</definedName>
    <definedName name="IQ_FOREIGN_GOVERNMENTS_NONTRANSACTION_ACCOUNTS_FDIC" hidden="1">"c6551"</definedName>
    <definedName name="IQ_FOREIGN_GOVERNMENTS_RECOVERIES_FDIC" hidden="1">"c6619"</definedName>
    <definedName name="IQ_FOREIGN_GOVERNMENTS_TOTAL_DEPOSITS_FDIC" hidden="1">"c6476"</definedName>
    <definedName name="IQ_FOREIGN_GOVERNMENTS_TRANSACTION_ACCOUNTS_FDIC" hidden="1">"c6543"</definedName>
    <definedName name="IQ_FOREIGN_LOANS" hidden="1">"c448"</definedName>
    <definedName name="IQ_FQ" hidden="1">500</definedName>
    <definedName name="IQ_FUEL" hidden="1">"c449"</definedName>
    <definedName name="IQ_FULL_TIME" hidden="1">"c450"</definedName>
    <definedName name="IQ_FULLY_INSURED_DEPOSITS_FDIC" hidden="1">"c6487"</definedName>
    <definedName name="IQ_FUTURES_FORWARD_CONTRACTS_NOTIONAL_AMOUNT_FDIC" hidden="1">"c6518"</definedName>
    <definedName name="IQ_FUTURES_FORWARD_CONTRACTS_RATE_RISK_FDIC" hidden="1">"c6508"</definedName>
    <definedName name="IQ_FWD_CY" hidden="1">10001</definedName>
    <definedName name="IQ_FWD_CY1" hidden="1">10002</definedName>
    <definedName name="IQ_FWD_CY2" hidden="1">10003</definedName>
    <definedName name="IQ_FWD_FY" hidden="1">1001</definedName>
    <definedName name="IQ_FWD_FY1" hidden="1">1002</definedName>
    <definedName name="IQ_FWD_FY2" hidden="1">1003</definedName>
    <definedName name="IQ_FWD_Q" hidden="1">501</definedName>
    <definedName name="IQ_FWD_Q1" hidden="1">502</definedName>
    <definedName name="IQ_FWD_Q2" hidden="1">503</definedName>
    <definedName name="IQ_FX" hidden="1">"c451"</definedName>
    <definedName name="IQ_FX_CONTRACTS_FDIC" hidden="1">"c6517"</definedName>
    <definedName name="IQ_FX_CONTRACTS_SPOT_FDIC" hidden="1">"c6356"</definedName>
    <definedName name="IQ_FY" hidden="1">1000</definedName>
    <definedName name="IQ_GA_EXP" hidden="1">"c2241"</definedName>
    <definedName name="IQ_GAAP_BS" hidden="1">"c6789"</definedName>
    <definedName name="IQ_GAAP_CF" hidden="1">"c6790"</definedName>
    <definedName name="IQ_GAAP_IS" hidden="1">"c6194"</definedName>
    <definedName name="IQ_GAIN_ASSETS" hidden="1">"c452"</definedName>
    <definedName name="IQ_GAIN_ASSETS_BNK" hidden="1">"c453"</definedName>
    <definedName name="IQ_GAIN_ASSETS_BR" hidden="1">"c454"</definedName>
    <definedName name="IQ_GAIN_ASSETS_CF" hidden="1">"c455"</definedName>
    <definedName name="IQ_GAIN_ASSETS_CF_BNK" hidden="1">"c456"</definedName>
    <definedName name="IQ_GAIN_ASSETS_CF_BR" hidden="1">"c457"</definedName>
    <definedName name="IQ_GAIN_ASSETS_CF_FIN" hidden="1">"c458"</definedName>
    <definedName name="IQ_GAIN_ASSETS_CF_INS" hidden="1">"c459"</definedName>
    <definedName name="IQ_GAIN_ASSETS_CF_RE" hidden="1">"c6217"</definedName>
    <definedName name="IQ_GAIN_ASSETS_CF_REIT" hidden="1">"c460"</definedName>
    <definedName name="IQ_GAIN_ASSETS_CF_UTI" hidden="1">"c461"</definedName>
    <definedName name="IQ_GAIN_ASSETS_FIN" hidden="1">"c462"</definedName>
    <definedName name="IQ_GAIN_ASSETS_INS" hidden="1">"c463"</definedName>
    <definedName name="IQ_GAIN_ASSETS_RE" hidden="1">"c6218"</definedName>
    <definedName name="IQ_GAIN_ASSETS_REIT" hidden="1">"c471"</definedName>
    <definedName name="IQ_GAIN_ASSETS_REV" hidden="1">"c472"</definedName>
    <definedName name="IQ_GAIN_ASSETS_REV_BNK" hidden="1">"c473"</definedName>
    <definedName name="IQ_GAIN_ASSETS_REV_BR" hidden="1">"c474"</definedName>
    <definedName name="IQ_GAIN_ASSETS_REV_FIN" hidden="1">"c475"</definedName>
    <definedName name="IQ_GAIN_ASSETS_REV_INS" hidden="1">"c476"</definedName>
    <definedName name="IQ_GAIN_ASSETS_REV_RE" hidden="1">"c6219"</definedName>
    <definedName name="IQ_GAIN_ASSETS_REV_REIT" hidden="1">"c477"</definedName>
    <definedName name="IQ_GAIN_ASSETS_REV_UTI" hidden="1">"c478"</definedName>
    <definedName name="IQ_GAIN_ASSETS_UTI" hidden="1">"c479"</definedName>
    <definedName name="IQ_GAIN_INVEST" hidden="1">"c1463"</definedName>
    <definedName name="IQ_GAIN_INVEST_BNK" hidden="1">"c1582"</definedName>
    <definedName name="IQ_GAIN_INVEST_BR" hidden="1">"c1464"</definedName>
    <definedName name="IQ_GAIN_INVEST_CF" hidden="1">"c480"</definedName>
    <definedName name="IQ_GAIN_INVEST_CF_BNK" hidden="1">"c481"</definedName>
    <definedName name="IQ_GAIN_INVEST_CF_BR" hidden="1">"c482"</definedName>
    <definedName name="IQ_GAIN_INVEST_CF_FIN" hidden="1">"c483"</definedName>
    <definedName name="IQ_GAIN_INVEST_CF_INS" hidden="1">"c484"</definedName>
    <definedName name="IQ_GAIN_INVEST_CF_RE" hidden="1">"c6220"</definedName>
    <definedName name="IQ_GAIN_INVEST_CF_REIT" hidden="1">"c485"</definedName>
    <definedName name="IQ_GAIN_INVEST_CF_UTI" hidden="1">"c486"</definedName>
    <definedName name="IQ_GAIN_INVEST_FIN" hidden="1">"c1465"</definedName>
    <definedName name="IQ_GAIN_INVEST_INS" hidden="1">"c1466"</definedName>
    <definedName name="IQ_GAIN_INVEST_RE" hidden="1">"c6278"</definedName>
    <definedName name="IQ_GAIN_INVEST_REIT" hidden="1">"c1467"</definedName>
    <definedName name="IQ_GAIN_INVEST_REV" hidden="1">"c494"</definedName>
    <definedName name="IQ_GAIN_INVEST_REV_BNK" hidden="1">"c495"</definedName>
    <definedName name="IQ_GAIN_INVEST_REV_BR" hidden="1">"c496"</definedName>
    <definedName name="IQ_GAIN_INVEST_REV_FIN" hidden="1">"c497"</definedName>
    <definedName name="IQ_GAIN_INVEST_REV_INS" hidden="1">"c498"</definedName>
    <definedName name="IQ_GAIN_INVEST_REV_RE" hidden="1">"c6221"</definedName>
    <definedName name="IQ_GAIN_INVEST_REV_REIT" hidden="1">"c499"</definedName>
    <definedName name="IQ_GAIN_INVEST_REV_UTI" hidden="1">"c500"</definedName>
    <definedName name="IQ_GAIN_INVEST_UTI" hidden="1">"c1468"</definedName>
    <definedName name="IQ_GAIN_LOANS_REC" hidden="1">"c501"</definedName>
    <definedName name="IQ_GAIN_LOANS_RECEIV" hidden="1">"c502"</definedName>
    <definedName name="IQ_GAIN_LOANS_RECEIV_REV_FIN" hidden="1">"c503"</definedName>
    <definedName name="IQ_GAIN_LOANS_REV" hidden="1">"c504"</definedName>
    <definedName name="IQ_GAIN_SALE_ASSETS" hidden="1">"c1377"</definedName>
    <definedName name="IQ_GAIN_SALE_LOANS_FDIC" hidden="1">"c6673"</definedName>
    <definedName name="IQ_GAIN_SALE_RE_FDIC" hidden="1">"c6674"</definedName>
    <definedName name="IQ_GAINS_SALE_ASSETS_FDIC" hidden="1">"c6675"</definedName>
    <definedName name="IQ_GDP" hidden="1">"c6874"</definedName>
    <definedName name="IQ_GDP_APR" hidden="1">"c7534"</definedName>
    <definedName name="IQ_GDP_APR_FC" hidden="1">"c8414"</definedName>
    <definedName name="IQ_GDP_FC" hidden="1">"c7754"</definedName>
    <definedName name="IQ_GDP_POP" hidden="1">"c7094"</definedName>
    <definedName name="IQ_GDP_POP_FC" hidden="1">"c7974"</definedName>
    <definedName name="IQ_GDP_REAL" hidden="1">"c6981"</definedName>
    <definedName name="IQ_GDP_REAL_APR" hidden="1">"c7641"</definedName>
    <definedName name="IQ_GDP_REAL_APR_FC" hidden="1">"c8521"</definedName>
    <definedName name="IQ_GDP_REAL_FC" hidden="1">"c7861"</definedName>
    <definedName name="IQ_GDP_REAL_POP" hidden="1">"c7201"</definedName>
    <definedName name="IQ_GDP_REAL_POP_FC" hidden="1">"c8081"</definedName>
    <definedName name="IQ_GDP_REAL_SAAR" hidden="1">"c6982"</definedName>
    <definedName name="IQ_GDP_REAL_SAAR_APR" hidden="1">"c7642"</definedName>
    <definedName name="IQ_GDP_REAL_SAAR_APR_FC" hidden="1">"c8522"</definedName>
    <definedName name="IQ_GDP_REAL_SAAR_FC" hidden="1">"c7862"</definedName>
    <definedName name="IQ_GDP_REAL_SAAR_POP" hidden="1">"c7202"</definedName>
    <definedName name="IQ_GDP_REAL_SAAR_POP_FC" hidden="1">"c8082"</definedName>
    <definedName name="IQ_GDP_REAL_SAAR_YOY" hidden="1">"c7422"</definedName>
    <definedName name="IQ_GDP_REAL_SAAR_YOY_FC" hidden="1">"c8302"</definedName>
    <definedName name="IQ_GDP_REAL_USD" hidden="1">"c11946"</definedName>
    <definedName name="IQ_GDP_REAL_USD_APR" hidden="1">"c11949"</definedName>
    <definedName name="IQ_GDP_REAL_USD_POP" hidden="1">"c11947"</definedName>
    <definedName name="IQ_GDP_REAL_USD_YOY" hidden="1">"c11948"</definedName>
    <definedName name="IQ_GDP_REAL_YOY" hidden="1">"c7421"</definedName>
    <definedName name="IQ_GDP_REAL_YOY_FC" hidden="1">"c8301"</definedName>
    <definedName name="IQ_GDP_SAAR" hidden="1">"c6875"</definedName>
    <definedName name="IQ_GDP_SAAR_APR" hidden="1">"c7535"</definedName>
    <definedName name="IQ_GDP_SAAR_APR_FC" hidden="1">"c8415"</definedName>
    <definedName name="IQ_GDP_SAAR_FC" hidden="1">"c7755"</definedName>
    <definedName name="IQ_GDP_SAAR_POP" hidden="1">"c7095"</definedName>
    <definedName name="IQ_GDP_SAAR_POP_FC" hidden="1">"c7975"</definedName>
    <definedName name="IQ_GDP_SAAR_YOY" hidden="1">"c7315"</definedName>
    <definedName name="IQ_GDP_SAAR_YOY_FC" hidden="1">"c8195"</definedName>
    <definedName name="IQ_GDP_USD" hidden="1">"c11834"</definedName>
    <definedName name="IQ_GDP_USD_APR" hidden="1">"c11837"</definedName>
    <definedName name="IQ_GDP_USD_POP" hidden="1">"c11835"</definedName>
    <definedName name="IQ_GDP_USD_YOY" hidden="1">"c11836"</definedName>
    <definedName name="IQ_GDP_YOY" hidden="1">"c7314"</definedName>
    <definedName name="IQ_GDP_YOY_FC" hidden="1">"c8194"</definedName>
    <definedName name="IQ_GEO_SEG_ASSETS" hidden="1">"c4069"</definedName>
    <definedName name="IQ_GEO_SEG_ASSETS_ABS" hidden="1">"c4091"</definedName>
    <definedName name="IQ_GEO_SEG_ASSETS_TOTAL" hidden="1">"c4123"</definedName>
    <definedName name="IQ_GEO_SEG_CAPEX" hidden="1">"c4083"</definedName>
    <definedName name="IQ_GEO_SEG_CAPEX_ABS" hidden="1">"c4105"</definedName>
    <definedName name="IQ_GEO_SEG_CAPEX_TOTAL" hidden="1">"c4127"</definedName>
    <definedName name="IQ_GEO_SEG_DA" hidden="1">"c4082"</definedName>
    <definedName name="IQ_GEO_SEG_DA_ABS" hidden="1">"c4104"</definedName>
    <definedName name="IQ_GEO_SEG_DA_TOTAL" hidden="1">"c4126"</definedName>
    <definedName name="IQ_GEO_SEG_EARNINGS_OP" hidden="1">"c4073"</definedName>
    <definedName name="IQ_GEO_SEG_EARNINGS_OP_ABS" hidden="1">"c4095"</definedName>
    <definedName name="IQ_GEO_SEG_EARNINGS_OP_TOTAL" hidden="1">"c4119"</definedName>
    <definedName name="IQ_GEO_SEG_EBT" hidden="1">"c4072"</definedName>
    <definedName name="IQ_GEO_SEG_EBT_ABS" hidden="1">"c4094"</definedName>
    <definedName name="IQ_GEO_SEG_EBT_TOTAL" hidden="1">"c4121"</definedName>
    <definedName name="IQ_GEO_SEG_GP" hidden="1">"c4070"</definedName>
    <definedName name="IQ_GEO_SEG_GP_ABS" hidden="1">"c4092"</definedName>
    <definedName name="IQ_GEO_SEG_GP_TOTAL" hidden="1">"c4120"</definedName>
    <definedName name="IQ_GEO_SEG_INC_TAX" hidden="1">"c4081"</definedName>
    <definedName name="IQ_GEO_SEG_INC_TAX_ABS" hidden="1">"c4103"</definedName>
    <definedName name="IQ_GEO_SEG_INC_TAX_TOTAL" hidden="1">"c4125"</definedName>
    <definedName name="IQ_GEO_SEG_INTEREST_EXP" hidden="1">"c4080"</definedName>
    <definedName name="IQ_GEO_SEG_INTEREST_EXP_ABS" hidden="1">"c4102"</definedName>
    <definedName name="IQ_GEO_SEG_INTEREST_EXP_TOTAL" hidden="1">"c4124"</definedName>
    <definedName name="IQ_GEO_SEG_NAME" hidden="1">"c5484"</definedName>
    <definedName name="IQ_GEO_SEG_NAME_ABS" hidden="1">"c5485"</definedName>
    <definedName name="IQ_GEO_SEG_NI" hidden="1">"c4071"</definedName>
    <definedName name="IQ_GEO_SEG_NI_ABS" hidden="1">"c4093"</definedName>
    <definedName name="IQ_GEO_SEG_NI_TOTAL" hidden="1">"c4122"</definedName>
    <definedName name="IQ_GEO_SEG_OPER_INC" hidden="1">"c4075"</definedName>
    <definedName name="IQ_GEO_SEG_OPER_INC_ABS" hidden="1">"c4097"</definedName>
    <definedName name="IQ_GEO_SEG_OPER_INC_TOTAL" hidden="1">"c4118"</definedName>
    <definedName name="IQ_GEO_SEG_REV" hidden="1">"c4074"</definedName>
    <definedName name="IQ_GEO_SEG_REV_ABS" hidden="1">"c4096"</definedName>
    <definedName name="IQ_GEO_SEG_REV_TOTAL" hidden="1">"c4117"</definedName>
    <definedName name="IQ_GLA_PCT_LEASED_CONSOL" hidden="1">"c8810"</definedName>
    <definedName name="IQ_GLA_PCT_LEASED_MANAGED" hidden="1">"c8812"</definedName>
    <definedName name="IQ_GLA_PCT_LEASED_OTHER" hidden="1">"c8813"</definedName>
    <definedName name="IQ_GLA_PCT_LEASED_TOTAL" hidden="1">"c8814"</definedName>
    <definedName name="IQ_GLA_PCT_LEASED_UNCONSOL" hidden="1">"c8811"</definedName>
    <definedName name="IQ_GLA_SQ_FT_CONSOL" hidden="1">"c8790"</definedName>
    <definedName name="IQ_GLA_SQ_FT_MANAGED" hidden="1">"c8792"</definedName>
    <definedName name="IQ_GLA_SQ_FT_OTHER" hidden="1">"c8793"</definedName>
    <definedName name="IQ_GLA_SQ_FT_TOTAL" hidden="1">"c8794"</definedName>
    <definedName name="IQ_GLA_SQ_FT_UNCONSOL" hidden="1">"c8791"</definedName>
    <definedName name="IQ_GLA_SQ_METER_CONSOL" hidden="1">"c8795"</definedName>
    <definedName name="IQ_GLA_SQ_METER_MANAGED" hidden="1">"c8797"</definedName>
    <definedName name="IQ_GLA_SQ_METER_OTHER" hidden="1">"c8798"</definedName>
    <definedName name="IQ_GLA_SQ_METER_TOTAL" hidden="1">"c8799"</definedName>
    <definedName name="IQ_GLA_SQ_METER_UNCONSOL" hidden="1">"c8796"</definedName>
    <definedName name="IQ_GNMA_FDIC" hidden="1">"c6398"</definedName>
    <definedName name="IQ_GOODWILL_FDIC" hidden="1">"c6334"</definedName>
    <definedName name="IQ_GOODWILL_IMPAIRMENT_FDIC" hidden="1">"c6678"</definedName>
    <definedName name="IQ_GOODWILL_INTAN_FDIC" hidden="1">"c6333"</definedName>
    <definedName name="IQ_GOODWILL_NET" hidden="1">"c1380"</definedName>
    <definedName name="IQ_GOVT_PERSONAL_TAXES_RECEIPTS" hidden="1">"c6876"</definedName>
    <definedName name="IQ_GOVT_PERSONAL_TAXES_RECEIPTS_APR" hidden="1">"c7536"</definedName>
    <definedName name="IQ_GOVT_PERSONAL_TAXES_RECEIPTS_APR_FC" hidden="1">"c8416"</definedName>
    <definedName name="IQ_GOVT_PERSONAL_TAXES_RECEIPTS_FC" hidden="1">"c7756"</definedName>
    <definedName name="IQ_GOVT_PERSONAL_TAXES_RECEIPTS_POP" hidden="1">"c7096"</definedName>
    <definedName name="IQ_GOVT_PERSONAL_TAXES_RECEIPTS_POP_FC" hidden="1">"c7976"</definedName>
    <definedName name="IQ_GOVT_PERSONAL_TAXES_RECEIPTS_YOY" hidden="1">"c7316"</definedName>
    <definedName name="IQ_GOVT_PERSONAL_TAXES_RECEIPTS_YOY_FC" hidden="1">"c8196"</definedName>
    <definedName name="IQ_GOVT_RECEIPTS" hidden="1">"c6877"</definedName>
    <definedName name="IQ_GOVT_RECEIPTS_APR" hidden="1">"c7537"</definedName>
    <definedName name="IQ_GOVT_RECEIPTS_APR_FC" hidden="1">"c8417"</definedName>
    <definedName name="IQ_GOVT_RECEIPTS_FC" hidden="1">"c7757"</definedName>
    <definedName name="IQ_GOVT_RECEIPTS_POP" hidden="1">"c7097"</definedName>
    <definedName name="IQ_GOVT_RECEIPTS_POP_FC" hidden="1">"c7977"</definedName>
    <definedName name="IQ_GOVT_RECEIPTS_YOY" hidden="1">"c7317"</definedName>
    <definedName name="IQ_GOVT_RECEIPTS_YOY_FC" hidden="1">"c8197"</definedName>
    <definedName name="IQ_GP" hidden="1">"c511"</definedName>
    <definedName name="IQ_GP_10YR_ANN_CAGR" hidden="1">"c6090"</definedName>
    <definedName name="IQ_GP_10YR_ANN_GROWTH" hidden="1">"c512"</definedName>
    <definedName name="IQ_GP_1YR_ANN_GROWTH" hidden="1">"c513"</definedName>
    <definedName name="IQ_GP_2YR_ANN_CAGR" hidden="1">"c6091"</definedName>
    <definedName name="IQ_GP_2YR_ANN_GROWTH" hidden="1">"c514"</definedName>
    <definedName name="IQ_GP_3YR_ANN_CAGR" hidden="1">"c6092"</definedName>
    <definedName name="IQ_GP_3YR_ANN_GROWTH" hidden="1">"c515"</definedName>
    <definedName name="IQ_GP_5YR_ANN_CAGR" hidden="1">"c6093"</definedName>
    <definedName name="IQ_GP_5YR_ANN_GROWTH" hidden="1">"c516"</definedName>
    <definedName name="IQ_GP_7YR_ANN_CAGR" hidden="1">"c6094"</definedName>
    <definedName name="IQ_GP_7YR_ANN_GROWTH" hidden="1">"c517"</definedName>
    <definedName name="IQ_GPPE" hidden="1">"c518"</definedName>
    <definedName name="IQ_GROSS_AH_EARNED" hidden="1">"c2742"</definedName>
    <definedName name="IQ_GROSS_CLAIM_EXP_INCUR" hidden="1">"c2755"</definedName>
    <definedName name="IQ_GROSS_CLAIM_EXP_PAID" hidden="1">"c2758"</definedName>
    <definedName name="IQ_GROSS_CLAIM_EXP_RES" hidden="1">"c2752"</definedName>
    <definedName name="IQ_GROSS_DIVID" hidden="1">"c1446"</definedName>
    <definedName name="IQ_GROSS_EARNED" hidden="1">"c2732"</definedName>
    <definedName name="IQ_GROSS_LIFE_EARNED" hidden="1">"c2737"</definedName>
    <definedName name="IQ_GROSS_LIFE_IN_FORCE" hidden="1">"c2767"</definedName>
    <definedName name="IQ_GROSS_LOANS" hidden="1">"c521"</definedName>
    <definedName name="IQ_GROSS_LOANS_10YR_ANN_CAGR" hidden="1">"c6095"</definedName>
    <definedName name="IQ_GROSS_LOANS_10YR_ANN_GROWTH" hidden="1">"c522"</definedName>
    <definedName name="IQ_GROSS_LOANS_1YR_ANN_GROWTH" hidden="1">"c523"</definedName>
    <definedName name="IQ_GROSS_LOANS_2YR_ANN_CAGR" hidden="1">"c6096"</definedName>
    <definedName name="IQ_GROSS_LOANS_2YR_ANN_GROWTH" hidden="1">"c524"</definedName>
    <definedName name="IQ_GROSS_LOANS_3YR_ANN_CAGR" hidden="1">"c6097"</definedName>
    <definedName name="IQ_GROSS_LOANS_3YR_ANN_GROWTH" hidden="1">"c525"</definedName>
    <definedName name="IQ_GROSS_LOANS_5YR_ANN_CAGR" hidden="1">"c6098"</definedName>
    <definedName name="IQ_GROSS_LOANS_5YR_ANN_GROWTH" hidden="1">"c526"</definedName>
    <definedName name="IQ_GROSS_LOANS_7YR_ANN_CAGR" hidden="1">"c6099"</definedName>
    <definedName name="IQ_GROSS_LOANS_7YR_ANN_GROWTH" hidden="1">"c527"</definedName>
    <definedName name="IQ_GROSS_LOANS_TOTAL_DEPOSITS" hidden="1">"c528"</definedName>
    <definedName name="IQ_GROSS_MARGIN" hidden="1">"c529"</definedName>
    <definedName name="IQ_GROSS_PC_EARNED" hidden="1">"c2747"</definedName>
    <definedName name="IQ_GROSS_PROFIT" hidden="1">"c1378"</definedName>
    <definedName name="IQ_GROSS_SPRD" hidden="1">"c2155"</definedName>
    <definedName name="IQ_GROSS_WRITTEN" hidden="1">"c2726"</definedName>
    <definedName name="IQ_GROUP_EMBEDDED_VALUE_ASSET_MANAGEMENT" hidden="1">"c9955"</definedName>
    <definedName name="IQ_GROUP_EMBEDDED_VALUE_HEALTH" hidden="1">"c9954"</definedName>
    <definedName name="IQ_GROUP_EMBEDDED_VALUE_LIFE" hidden="1">"c9953"</definedName>
    <definedName name="IQ_GROUP_EMBEDDED_VALUE_LIFE_OTHER" hidden="1">"c9956"</definedName>
    <definedName name="IQ_GW" hidden="1">"c530"</definedName>
    <definedName name="IQ_GW_AMORT_BR" hidden="1">"c532"</definedName>
    <definedName name="IQ_GW_AMORT_FIN" hidden="1">"c540"</definedName>
    <definedName name="IQ_GW_AMORT_INS" hidden="1">"c541"</definedName>
    <definedName name="IQ_GW_AMORT_REIT" hidden="1">"c542"</definedName>
    <definedName name="IQ_GW_AMORT_UTI" hidden="1">"c543"</definedName>
    <definedName name="IQ_GW_INTAN_AMORT" hidden="1">"c1469"</definedName>
    <definedName name="IQ_GW_INTAN_AMORT_BNK" hidden="1">"c544"</definedName>
    <definedName name="IQ_GW_INTAN_AMORT_BR" hidden="1">"c1470"</definedName>
    <definedName name="IQ_GW_INTAN_AMORT_CF" hidden="1">"c1471"</definedName>
    <definedName name="IQ_GW_INTAN_AMORT_CF_BNK" hidden="1">"c1472"</definedName>
    <definedName name="IQ_GW_INTAN_AMORT_CF_BR" hidden="1">"c1473"</definedName>
    <definedName name="IQ_GW_INTAN_AMORT_CF_FIN" hidden="1">"c1474"</definedName>
    <definedName name="IQ_GW_INTAN_AMORT_CF_INS" hidden="1">"c1475"</definedName>
    <definedName name="IQ_GW_INTAN_AMORT_CF_RE" hidden="1">"c6279"</definedName>
    <definedName name="IQ_GW_INTAN_AMORT_CF_REIT" hidden="1">"c1476"</definedName>
    <definedName name="IQ_GW_INTAN_AMORT_CF_UTI" hidden="1">"c1477"</definedName>
    <definedName name="IQ_GW_INTAN_AMORT_FIN" hidden="1">"c1478"</definedName>
    <definedName name="IQ_GW_INTAN_AMORT_INS" hidden="1">"c1479"</definedName>
    <definedName name="IQ_GW_INTAN_AMORT_RE" hidden="1">"c6280"</definedName>
    <definedName name="IQ_GW_INTAN_AMORT_REIT" hidden="1">"c1480"</definedName>
    <definedName name="IQ_GW_INTAN_AMORT_UTI" hidden="1">"c1481"</definedName>
    <definedName name="IQ_HC_ADJUSTED_DISCHARGES" hidden="1">"c9977"</definedName>
    <definedName name="IQ_HC_ADMISSIONS" hidden="1">"c5953"</definedName>
    <definedName name="IQ_HC_ADMISSIONS_GROWTH" hidden="1">"c5997"</definedName>
    <definedName name="IQ_HC_ADMISSIONS_MANAGED_CARE" hidden="1">"c5956"</definedName>
    <definedName name="IQ_HC_ADMISSIONS_MEDICAID" hidden="1">"c5955"</definedName>
    <definedName name="IQ_HC_ADMISSIONS_MEDICARE" hidden="1">"c5954"</definedName>
    <definedName name="IQ_HC_ADMISSIONS_OTHER" hidden="1">"c5957"</definedName>
    <definedName name="IQ_HC_ADMISSIONS_SF" hidden="1">"c6006"</definedName>
    <definedName name="IQ_HC_ALFS" hidden="1">"c5952"</definedName>
    <definedName name="IQ_HC_ASO_COVERED_LIVES" hidden="1">"c9982"</definedName>
    <definedName name="IQ_HC_ASO_MEMBERSHIP" hidden="1">"c9985"</definedName>
    <definedName name="IQ_HC_AVG_BEDS_SVC" hidden="1">"c5951"</definedName>
    <definedName name="IQ_HC_AVG_DAILY_CENSUS" hidden="1">"c5965"</definedName>
    <definedName name="IQ_HC_AVG_LICENSED_BEDS" hidden="1">"c5949"</definedName>
    <definedName name="IQ_HC_AVG_LICENSED_BEDS_SF" hidden="1">"c6004"</definedName>
    <definedName name="IQ_HC_AVG_STAY" hidden="1">"c5966"</definedName>
    <definedName name="IQ_HC_AVG_STAY_SF" hidden="1">"c6016"</definedName>
    <definedName name="IQ_HC_BEDS_SVC" hidden="1">"c5950"</definedName>
    <definedName name="IQ_HC_CASES" hidden="1">"c9978"</definedName>
    <definedName name="IQ_HC_CLAIMS_RESERVES" hidden="1">"c9989"</definedName>
    <definedName name="IQ_HC_DAYS_REV_OUT" hidden="1">"c5993"</definedName>
    <definedName name="IQ_HC_DISCHARGES" hidden="1">"c9976"</definedName>
    <definedName name="IQ_HC_EQUIV_ADMISSIONS_GROWTH" hidden="1">"c5998"</definedName>
    <definedName name="IQ_HC_EQUIVALENT_ADMISSIONS" hidden="1">"c5958"</definedName>
    <definedName name="IQ_HC_EQUIVALENT_ADMISSIONS_SF" hidden="1">"c6007"</definedName>
    <definedName name="IQ_HC_EQUIVALENT_PATIENT_DAYS" hidden="1">"c9980"</definedName>
    <definedName name="IQ_HC_ER_VISITS" hidden="1">"c5964"</definedName>
    <definedName name="IQ_HC_ER_VISITS_SF" hidden="1">"c6017"</definedName>
    <definedName name="IQ_HC_GROSS_INPATIENT_REV" hidden="1">"c5987"</definedName>
    <definedName name="IQ_HC_GROSS_OUTPATIENT_REV" hidden="1">"c5988"</definedName>
    <definedName name="IQ_HC_GROSS_PATIENT_REV" hidden="1">"c5989"</definedName>
    <definedName name="IQ_HC_HOSP_FACILITIES_CONSOL" hidden="1">"c5945"</definedName>
    <definedName name="IQ_HC_HOSP_FACILITIES_CONSOL_SF" hidden="1">"c6000"</definedName>
    <definedName name="IQ_HC_HOSP_FACILITIES_NON_CONSOL" hidden="1">"c5946"</definedName>
    <definedName name="IQ_HC_HOSP_FACILITIES_NON_CONSOL_SF" hidden="1">"c6001"</definedName>
    <definedName name="IQ_HC_HOSP_FACILITIES_TOTAL" hidden="1">"c5947"</definedName>
    <definedName name="IQ_HC_HOSP_FACILITIES_TOTAL_SF" hidden="1">"c6002"</definedName>
    <definedName name="IQ_HC_INPATIENT_PROCEDURES" hidden="1">"c5961"</definedName>
    <definedName name="IQ_HC_INPATIENT_PROCEDURES_SF" hidden="1">"c6011"</definedName>
    <definedName name="IQ_HC_INPATIENT_REV_PER_ADMISSION" hidden="1">"c5994"</definedName>
    <definedName name="IQ_HC_INTPATIENT_SVCS_PCT_REV" hidden="1">"c5975"</definedName>
    <definedName name="IQ_HC_INTPATIENT_SVCS_PCT_REV_SF" hidden="1">"c6015"</definedName>
    <definedName name="IQ_HC_LICENSED_BEDS" hidden="1">"c5948"</definedName>
    <definedName name="IQ_HC_LICENSED_BEDS_SF" hidden="1">"c6003"</definedName>
    <definedName name="IQ_HC_MANAGED_CARE_PCT_ADMISSIONS" hidden="1">"c5982"</definedName>
    <definedName name="IQ_HC_MANAGED_CARE_PCT_REV" hidden="1">"c5978"</definedName>
    <definedName name="IQ_HC_MEDICAID_PCT_ADMISSIONS" hidden="1">"c5981"</definedName>
    <definedName name="IQ_HC_MEDICAID_PCT_REV" hidden="1">"c5977"</definedName>
    <definedName name="IQ_HC_MEDICAL_EXPENSE_RATIO" hidden="1">"c9987"</definedName>
    <definedName name="IQ_HC_MEDICARE_PCT_ADMISSIONS" hidden="1">"c5980"</definedName>
    <definedName name="IQ_HC_MEDICARE_PCT_REV" hidden="1">"c5976"</definedName>
    <definedName name="IQ_HC_NET_INPATIENT_REV" hidden="1">"c5984"</definedName>
    <definedName name="IQ_HC_NET_OUTPATIENT_REV" hidden="1">"c5985"</definedName>
    <definedName name="IQ_HC_NET_PATIENT_REV" hidden="1">"c5986"</definedName>
    <definedName name="IQ_HC_NET_PATIENT_REV_SF" hidden="1">"c6005"</definedName>
    <definedName name="IQ_HC_OCC_RATE" hidden="1">"c5967"</definedName>
    <definedName name="IQ_HC_OCC_RATE_LICENSED_BEDS" hidden="1">"c5968"</definedName>
    <definedName name="IQ_HC_OCC_RATE_SF" hidden="1">"c6009"</definedName>
    <definedName name="IQ_HC_OPEX_SUPPLIES" hidden="1">"c5990"</definedName>
    <definedName name="IQ_HC_OTHER_OPEX_PCT_REV" hidden="1">"c5973"</definedName>
    <definedName name="IQ_HC_OUTPATIENT_PROCEDURES" hidden="1">"c5962"</definedName>
    <definedName name="IQ_HC_OUTPATIENT_PROCEDURES_SF" hidden="1">"c6012"</definedName>
    <definedName name="IQ_HC_OUTPATIENT_REV_PER_ADMISSION" hidden="1">"c5995"</definedName>
    <definedName name="IQ_HC_OUTPATIENT_SVCS_PCT_REV" hidden="1">"c5974"</definedName>
    <definedName name="IQ_HC_OUTPATIENT_SVCS_PCT_REV_SF" hidden="1">"c6014"</definedName>
    <definedName name="IQ_HC_PATIENT_DAYS" hidden="1">"c5960"</definedName>
    <definedName name="IQ_HC_PATIENT_DAYS_SF" hidden="1">"c6010"</definedName>
    <definedName name="IQ_HC_PROF_GEN_LIAB_CLAIM_PAID" hidden="1">"c5991"</definedName>
    <definedName name="IQ_HC_PROF_GEN_LIAB_EXP_BENEFIT" hidden="1">"c5992"</definedName>
    <definedName name="IQ_HC_PROVISION_DOUBTFUL_PCT_REV" hidden="1">"c5972"</definedName>
    <definedName name="IQ_HC_REV_GROWTH" hidden="1">"c5996"</definedName>
    <definedName name="IQ_HC_REV_PER_CASE" hidden="1">"c9979"</definedName>
    <definedName name="IQ_HC_REV_PER_DISCHARGE" hidden="1">"c9990"</definedName>
    <definedName name="IQ_HC_REV_PER_EQUIV_ADMISSION" hidden="1">"c5959"</definedName>
    <definedName name="IQ_HC_REV_PER_EQUIV_ADMISSION_SF" hidden="1">"c6008"</definedName>
    <definedName name="IQ_HC_REV_PER_EQUIV_ADMISSIONS_GROWTH" hidden="1">"c5999"</definedName>
    <definedName name="IQ_HC_REV_PER_PATIENT_DAY" hidden="1">"c5969"</definedName>
    <definedName name="IQ_HC_REV_PER_PATIENT_DAY_SF" hidden="1">"c6018"</definedName>
    <definedName name="IQ_HC_RISK_COVERED_LIVES" hidden="1">"c9981"</definedName>
    <definedName name="IQ_HC_RISK_MEMBERSHIP" hidden="1">"c9984"</definedName>
    <definedName name="IQ_HC_SALARIES_PCT_REV" hidden="1">"c5970"</definedName>
    <definedName name="IQ_HC_SGA_MARGIN" hidden="1">"c9988"</definedName>
    <definedName name="IQ_HC_SUPPLIES_PCT_REV" hidden="1">"c5971"</definedName>
    <definedName name="IQ_HC_TOTAL_COVERED_LIVES" hidden="1">"c9983"</definedName>
    <definedName name="IQ_HC_TOTAL_MEMBERSHIP" hidden="1">"c9986"</definedName>
    <definedName name="IQ_HC_TOTAL_PROCEDURES" hidden="1">"c5963"</definedName>
    <definedName name="IQ_HC_TOTAL_PROCEDURES_SF" hidden="1">"c6013"</definedName>
    <definedName name="IQ_HC_UNINSURED_PCT_ADMISSIONS" hidden="1">"c5983"</definedName>
    <definedName name="IQ_HC_UNINSURED_PCT_REV" hidden="1">"c5979"</definedName>
    <definedName name="IQ_HELD_MATURITY_FDIC" hidden="1">"c6408"</definedName>
    <definedName name="IQ_HG_ACQUIRED_FRANCHISE_HOTEL_PROPERTIES" hidden="1">"c8584"</definedName>
    <definedName name="IQ_HG_ACQUIRED_FRANCHISE_ROOMS" hidden="1">"c8614"</definedName>
    <definedName name="IQ_HG_ACQUIRED_HOTEL_PROPERTIES" hidden="1">"c8572"</definedName>
    <definedName name="IQ_HG_ACQUIRED_MANAGED_HOTEL_PROPERTIES" hidden="1">"c8590"</definedName>
    <definedName name="IQ_HG_ACQUIRED_MANAGED_ROOMS" hidden="1">"c8620"</definedName>
    <definedName name="IQ_HG_ACQUIRED_OTHER_HOTEL_PROPERTIES" hidden="1">"c8596"</definedName>
    <definedName name="IQ_HG_ACQUIRED_OTHER_ROOMS" hidden="1">"c8626"</definedName>
    <definedName name="IQ_HG_ACQUIRED_OWNED_HOTEL_PROPERTIES" hidden="1">"c8578"</definedName>
    <definedName name="IQ_HG_ACQUIRED_OWNED_ROOMS" hidden="1">"c8608"</definedName>
    <definedName name="IQ_HG_ACQUIRED_ROOMS" hidden="1">"c8602"</definedName>
    <definedName name="IQ_HG_ADR_CHANGE_FRANCHISE" hidden="1">"c8684"</definedName>
    <definedName name="IQ_HG_ADR_CHANGE_MANAGED" hidden="1">"c8685"</definedName>
    <definedName name="IQ_HG_ADR_CHANGE_OTHER" hidden="1">"c8686"</definedName>
    <definedName name="IQ_HG_ADR_CHANGE_OWNED" hidden="1">"c8683"</definedName>
    <definedName name="IQ_HG_ADR_CHANGE_OWNED_COMP" hidden="1">"c8709"</definedName>
    <definedName name="IQ_HG_ADR_CHANGE_TOTAL" hidden="1">"c8687"</definedName>
    <definedName name="IQ_HG_ADR_CHANGE_TOTAL_COMP" hidden="1">"c8710"</definedName>
    <definedName name="IQ_HG_ADR_FRANCHISE" hidden="1">"c8664"</definedName>
    <definedName name="IQ_HG_ADR_MANAGED" hidden="1">"c8665"</definedName>
    <definedName name="IQ_HG_ADR_OTHER" hidden="1">"c8666"</definedName>
    <definedName name="IQ_HG_ADR_OWNED" hidden="1">"c8663"</definedName>
    <definedName name="IQ_HG_ADR_OWNED_COMP" hidden="1">"c8701"</definedName>
    <definedName name="IQ_HG_ADR_TOTAL" hidden="1">"c8667"</definedName>
    <definedName name="IQ_HG_ADR_TOTAL_COMP" hidden="1">"c8702"</definedName>
    <definedName name="IQ_HG_CASINOS_JV" hidden="1">"c8631"</definedName>
    <definedName name="IQ_HG_CASINOS_MANAGED" hidden="1">"c8632"</definedName>
    <definedName name="IQ_HG_CASINOS_OWNED" hidden="1">"c8630"</definedName>
    <definedName name="IQ_HG_CASINOS_TOTAL" hidden="1">"c8633"</definedName>
    <definedName name="IQ_HG_CLOSED_FRANCHISE_HOTEL_PROPERTIES" hidden="1">"c8586"</definedName>
    <definedName name="IQ_HG_CLOSED_FRANCHISE_ROOMS" hidden="1">"c8616"</definedName>
    <definedName name="IQ_HG_CLOSED_HOTEL_PROPERTIES" hidden="1">"c8574"</definedName>
    <definedName name="IQ_HG_CLOSED_MANAGED_HOTEL_PROPERTIES" hidden="1">"c8592"</definedName>
    <definedName name="IQ_HG_CLOSED_MANAGED_ROOMS" hidden="1">"c8622"</definedName>
    <definedName name="IQ_HG_CLOSED_OTHER_HOTEL_PROPERTIES" hidden="1">"c8598"</definedName>
    <definedName name="IQ_HG_CLOSED_OTHER_ROOMS" hidden="1">"c8628"</definedName>
    <definedName name="IQ_HG_CLOSED_OWNED_HOTEL_PROPERTIES" hidden="1">"c8580"</definedName>
    <definedName name="IQ_HG_CLOSED_OWNED_ROOMS" hidden="1">"c8610"</definedName>
    <definedName name="IQ_HG_CLOSED_ROOMS" hidden="1">"c8604"</definedName>
    <definedName name="IQ_HG_EXP_CASINO" hidden="1">"c8733"</definedName>
    <definedName name="IQ_HG_EXP_DEVELOPMENT" hidden="1">"c8738"</definedName>
    <definedName name="IQ_HG_EXP_ENTERTAINMENT" hidden="1">"c8736"</definedName>
    <definedName name="IQ_HG_EXP_FOOD_BEV" hidden="1">"c8734"</definedName>
    <definedName name="IQ_HG_EXP_FRANCHISE_MANAGEMENT" hidden="1">"c8744"</definedName>
    <definedName name="IQ_HG_EXP_OTHER_MNGD_FRANCHISE_PROP" hidden="1">"c8742"</definedName>
    <definedName name="IQ_HG_EXP_OWNED_LEASED_CONSOL_JV" hidden="1">"c8740"</definedName>
    <definedName name="IQ_HG_EXP_REIMBURSEMENTS" hidden="1">"c8743"</definedName>
    <definedName name="IQ_HG_EXP_RETAIL" hidden="1">"c8737"</definedName>
    <definedName name="IQ_HG_EXP_ROOMS" hidden="1">"c8735"</definedName>
    <definedName name="IQ_HG_EXP_THEATRE_CONCESSION" hidden="1">"c8739"</definedName>
    <definedName name="IQ_HG_EXP_VACA_OWNERSHIP_RES" hidden="1">"c8741"</definedName>
    <definedName name="IQ_HG_FOOD_PROM_COSTS" hidden="1">"c8746"</definedName>
    <definedName name="IQ_HG_FRANCHISE_HOTEL_PROPERTIES_BEG" hidden="1">"c8582"</definedName>
    <definedName name="IQ_HG_FRANCHISE_ROOMS_BEG" hidden="1">"c8612"</definedName>
    <definedName name="IQ_HG_GAMING_SPACE_JV" hidden="1">"c8635"</definedName>
    <definedName name="IQ_HG_GAMING_SPACE_MANAGED" hidden="1">"c8636"</definedName>
    <definedName name="IQ_HG_GAMING_SPACE_OWNED" hidden="1">"c8634"</definedName>
    <definedName name="IQ_HG_GAMING_SPACE_TOTAL" hidden="1">"c8637"</definedName>
    <definedName name="IQ_HG_HOTEL_PROPERTIES_BEG" hidden="1">"c8570"</definedName>
    <definedName name="IQ_HG_LAND_AVAIL_JV" hidden="1">"c8647"</definedName>
    <definedName name="IQ_HG_LAND_AVAIL_MANAGED" hidden="1">"c8648"</definedName>
    <definedName name="IQ_HG_LAND_AVAIL_OWNED" hidden="1">"c8646"</definedName>
    <definedName name="IQ_HG_LAND_AVAIL_TOTAL" hidden="1">"c8649"</definedName>
    <definedName name="IQ_HG_LAND_JV" hidden="1">"c8651"</definedName>
    <definedName name="IQ_HG_LAND_MANAGED" hidden="1">"c8652"</definedName>
    <definedName name="IQ_HG_LAND_OWNED" hidden="1">"c8650"</definedName>
    <definedName name="IQ_HG_LAND_TOTAL" hidden="1">"c8653"</definedName>
    <definedName name="IQ_HG_MANAGED_HOTEL_PROPERTIES_BEG" hidden="1">"c8588"</definedName>
    <definedName name="IQ_HG_MANAGED_ROOMS_BEG" hidden="1">"c8618"</definedName>
    <definedName name="IQ_HG_OCCUPANCY_CHANGE_FRANCHISE" hidden="1">"c8675"</definedName>
    <definedName name="IQ_HG_OCCUPANCY_CHANGE_MANAGED" hidden="1">"c8677"</definedName>
    <definedName name="IQ_HG_OCCUPANCY_CHANGE_OTHER" hidden="1">"c8679"</definedName>
    <definedName name="IQ_HG_OCCUPANCY_CHANGE_OWNED" hidden="1">"c8673"</definedName>
    <definedName name="IQ_HG_OCCUPANCY_CHANGE_OWNED_COMP" hidden="1">"c8705"</definedName>
    <definedName name="IQ_HG_OCCUPANCY_CHANGE_TOTAL" hidden="1">"c8681"</definedName>
    <definedName name="IQ_HG_OCCUPANCY_CHANGE_TOTAL_COMP" hidden="1">"c8707"</definedName>
    <definedName name="IQ_HG_OCCUPANCY_FRANCHISE" hidden="1">"c8659"</definedName>
    <definedName name="IQ_HG_OCCUPANCY_INCDEC_FRANCHISE" hidden="1">"c8676"</definedName>
    <definedName name="IQ_HG_OCCUPANCY_INCDEC_MANAGED" hidden="1">"c8678"</definedName>
    <definedName name="IQ_HG_OCCUPANCY_INCDEC_OTHER" hidden="1">"c8680"</definedName>
    <definedName name="IQ_HG_OCCUPANCY_INCDEC_OWNED" hidden="1">"c8674"</definedName>
    <definedName name="IQ_HG_OCCUPANCY_INCDEC_OWNED_COMP" hidden="1">"c8706"</definedName>
    <definedName name="IQ_HG_OCCUPANCY_INCDEC_TOTAL" hidden="1">"c8682"</definedName>
    <definedName name="IQ_HG_OCCUPANCY_INCDEC_TOTAL_COMP" hidden="1">"c8708"</definedName>
    <definedName name="IQ_HG_OCCUPANCY_MANAGED" hidden="1">"c8660"</definedName>
    <definedName name="IQ_HG_OCCUPANCY_OTHER" hidden="1">"c8661"</definedName>
    <definedName name="IQ_HG_OCCUPANCY_OWNED" hidden="1">"c8658"</definedName>
    <definedName name="IQ_HG_OCCUPANCY_OWNED_COMP" hidden="1">"c8699"</definedName>
    <definedName name="IQ_HG_OCCUPANCY_TOTAL" hidden="1">"c8662"</definedName>
    <definedName name="IQ_HG_OCCUPANCY_TOTAL_COMP" hidden="1">"c8700"</definedName>
    <definedName name="IQ_HG_OPENED_FRANCHISE_HOTEL_PROPERTIES" hidden="1">"c8583"</definedName>
    <definedName name="IQ_HG_OPENED_FRANCHISE_ROOMS" hidden="1">"c8613"</definedName>
    <definedName name="IQ_HG_OPENED_HOTEL_PROPERTIES" hidden="1">"c8571"</definedName>
    <definedName name="IQ_HG_OPENED_MANAGED_HOTEL_PROPERTIES" hidden="1">"c8589"</definedName>
    <definedName name="IQ_HG_OPENED_MANAGED_ROOMS" hidden="1">"c8619"</definedName>
    <definedName name="IQ_HG_OPENED_OTHER_HOTEL_PROPERTIES" hidden="1">"c8595"</definedName>
    <definedName name="IQ_HG_OPENED_OTHER_ROOMS" hidden="1">"c8625"</definedName>
    <definedName name="IQ_HG_OPENED_OWNED_HOTEL_PROPERTIES" hidden="1">"c8577"</definedName>
    <definedName name="IQ_HG_OPENED_OWNED_ROOMS" hidden="1">"c8607"</definedName>
    <definedName name="IQ_HG_OPENED_ROOMS" hidden="1">"c8601"</definedName>
    <definedName name="IQ_HG_OTHER_HOTEL_PROPERTIES_BEG" hidden="1">"c8594"</definedName>
    <definedName name="IQ_HG_OTHER_PROM_COSTS" hidden="1">"c8747"</definedName>
    <definedName name="IQ_HG_OTHER_ROOMS_BEG" hidden="1">"c8624"</definedName>
    <definedName name="IQ_HG_OWNED_HOTEL_PROPERTIES_BEG" hidden="1">"c8576"</definedName>
    <definedName name="IQ_HG_OWNED_ROOMS_BEG" hidden="1">"c8606"</definedName>
    <definedName name="IQ_HG_PARKING_SPACES_JV" hidden="1">"c8655"</definedName>
    <definedName name="IQ_HG_PARKING_SPACES_MANAGED" hidden="1">"c8656"</definedName>
    <definedName name="IQ_HG_PARKING_SPACES_OWNED" hidden="1">"c8654"</definedName>
    <definedName name="IQ_HG_PARKING_SPACES_TOTAL" hidden="1">"c8657"</definedName>
    <definedName name="IQ_HG_REV_BASE_MANAGEMENT_FEES" hidden="1">"c8726"</definedName>
    <definedName name="IQ_HG_REV_CASINO" hidden="1">"c8713"</definedName>
    <definedName name="IQ_HG_REV_COST_REIMBURSEMENT" hidden="1">"c8728"</definedName>
    <definedName name="IQ_HG_REV_ENTERTAINMENT" hidden="1">"c8716"</definedName>
    <definedName name="IQ_HG_REV_FOOD_BEV" hidden="1">"c8714"</definedName>
    <definedName name="IQ_HG_REV_FRANCHISE" hidden="1">"c8725"</definedName>
    <definedName name="IQ_HG_REV_INCENTIVE_MANAGEMENT_FEES" hidden="1">"c8727"</definedName>
    <definedName name="IQ_HG_REV_MANAGEMENT_FEES" hidden="1">"c8718"</definedName>
    <definedName name="IQ_HG_REV_OTHER_MNGD_FRANCHISE_PROP" hidden="1">"c8730"</definedName>
    <definedName name="IQ_HG_REV_OTHER_OP_SEGMENT" hidden="1">"c8721"</definedName>
    <definedName name="IQ_HG_REV_OTHER_OWNERSHIP_MIX" hidden="1">"c8731"</definedName>
    <definedName name="IQ_HG_REV_OWNED_LEASED_CONSOL_JV_HOTELS" hidden="1">"c8724"</definedName>
    <definedName name="IQ_HG_REV_PROMOTIONAL_ALLOWANCE" hidden="1">"c8722"</definedName>
    <definedName name="IQ_HG_REV_RACING" hidden="1">"c8719"</definedName>
    <definedName name="IQ_HG_REV_RETAIL" hidden="1">"c8717"</definedName>
    <definedName name="IQ_HG_REV_ROOMS" hidden="1">"c8715"</definedName>
    <definedName name="IQ_HG_REV_THEATRE_CONCESSION" hidden="1">"c8720"</definedName>
    <definedName name="IQ_HG_REV_TOTAL_OP_SEGMENT" hidden="1">"c8723"</definedName>
    <definedName name="IQ_HG_REV_TOTAL_OWNERSHIP_MIX" hidden="1">"c8732"</definedName>
    <definedName name="IQ_HG_REV_VACA_OWNERSHIP_RES_SALES_SVCS" hidden="1">"c8729"</definedName>
    <definedName name="IQ_HG_REVENUES_CHANGE_OWNED_COMP" hidden="1">"c8697"</definedName>
    <definedName name="IQ_HG_REVENUES_CHANGE_TOTAL_COMP" hidden="1">"c8698"</definedName>
    <definedName name="IQ_HG_REVPAR_CHANGE_MANAGED" hidden="1">"c8690"</definedName>
    <definedName name="IQ_HG_REVPAR_CHANGE_OTHER" hidden="1">"c8691"</definedName>
    <definedName name="IQ_HG_REVPAR_CHANGE_OWNED" hidden="1">"c8688"</definedName>
    <definedName name="IQ_HG_REVPAR_CHANGE_OWNED_COMP" hidden="1">"c8711"</definedName>
    <definedName name="IQ_HG_REVPAR_CHANGE_TOTAL" hidden="1">"c8692"</definedName>
    <definedName name="IQ_HG_REVPAR_CHANGE_TOTAL_COMP" hidden="1">"c8712"</definedName>
    <definedName name="IQ_HG_REVPAR_CHNAGE_FRANCHISE" hidden="1">"c8689"</definedName>
    <definedName name="IQ_HG_REVPAR_FRANCHISE" hidden="1">"c8669"</definedName>
    <definedName name="IQ_HG_REVPAR_MANAGED" hidden="1">"c8670"</definedName>
    <definedName name="IQ_HG_REVPAR_OTHER" hidden="1">"c8671"</definedName>
    <definedName name="IQ_HG_REVPAR_OWNED" hidden="1">"c8668"</definedName>
    <definedName name="IQ_HG_REVPAR_OWNED_COMP" hidden="1">"c8703"</definedName>
    <definedName name="IQ_HG_REVPAR_TOTAL" hidden="1">"c8672"</definedName>
    <definedName name="IQ_HG_REVPAR_TOTAL_COMP" hidden="1">"c8704"</definedName>
    <definedName name="IQ_HG_ROOM_PROM_COSTS" hidden="1">"c8745"</definedName>
    <definedName name="IQ_HG_ROOMS_BEG" hidden="1">"c8600"</definedName>
    <definedName name="IQ_HG_SLOT_MACHINES_JV" hidden="1">"c8639"</definedName>
    <definedName name="IQ_HG_SLOT_MACHINES_MANAGED" hidden="1">"c8640"</definedName>
    <definedName name="IQ_HG_SLOT_MACHINES_OWNED" hidden="1">"c8638"</definedName>
    <definedName name="IQ_HG_SLOT_MACHINES_TOTAL" hidden="1">"c8641"</definedName>
    <definedName name="IQ_HG_SOLD_FRANCHISE_HOTEL_PROPERTIES" hidden="1">"c8585"</definedName>
    <definedName name="IQ_HG_SOLD_FRANCHISE_ROOMS" hidden="1">"c8615"</definedName>
    <definedName name="IQ_HG_SOLD_HOTEL_PROPERTIES" hidden="1">"c8573"</definedName>
    <definedName name="IQ_HG_SOLD_MANAGED_HOTEL_PROPERTIES" hidden="1">"c8591"</definedName>
    <definedName name="IQ_HG_SOLD_MANAGED_ROOMS" hidden="1">"c8621"</definedName>
    <definedName name="IQ_HG_SOLD_OTHER_HOTEL_PROPERTIES" hidden="1">"c8597"</definedName>
    <definedName name="IQ_HG_SOLD_OTHER_ROOMS" hidden="1">"c8627"</definedName>
    <definedName name="IQ_HG_SOLD_OWNED_HOTEL_PROPERTIES" hidden="1">"c8579"</definedName>
    <definedName name="IQ_HG_SOLD_OWNED_ROOMS" hidden="1">"c8609"</definedName>
    <definedName name="IQ_HG_SOLD_ROOMS" hidden="1">"c8603"</definedName>
    <definedName name="IQ_HG_TABLE_GAMES_JV" hidden="1">"c8643"</definedName>
    <definedName name="IQ_HG_TABLE_GAMES_MANAGED" hidden="1">"c8644"</definedName>
    <definedName name="IQ_HG_TABLE_GAMES_OWNED" hidden="1">"c8642"</definedName>
    <definedName name="IQ_HG_TABLE_GAMES_TOTAL" hidden="1">"c8645"</definedName>
    <definedName name="IQ_HG_TOTAL_FRANCHISE_HOTEL_PROPERTIES" hidden="1">"c8587"</definedName>
    <definedName name="IQ_HG_TOTAL_FRANCHISE_ROOMS" hidden="1">"c8617"</definedName>
    <definedName name="IQ_HG_TOTAL_HOTEL_PROPERTIES" hidden="1">"c8575"</definedName>
    <definedName name="IQ_HG_TOTAL_MANAGED_HOTEL_PROPERTIES" hidden="1">"c8593"</definedName>
    <definedName name="IQ_HG_TOTAL_MANAGED_ROOMS" hidden="1">"c8623"</definedName>
    <definedName name="IQ_HG_TOTAL_OTHER_HOTEL_PROPERTIES" hidden="1">"c8599"</definedName>
    <definedName name="IQ_HG_TOTAL_OTHER_ROOMS" hidden="1">"c8629"</definedName>
    <definedName name="IQ_HG_TOTAL_OWNED_HOTEL_PROPERTIES" hidden="1">"c8581"</definedName>
    <definedName name="IQ_HG_TOTAL_OWNED_PROPERTIES_COMP" hidden="1">"c8693"</definedName>
    <definedName name="IQ_HG_TOTAL_OWNED_ROOMS" hidden="1">"c8611"</definedName>
    <definedName name="IQ_HG_TOTAL_OWNED_ROOMS_COMP" hidden="1">"c8695"</definedName>
    <definedName name="IQ_HG_TOTAL_PROM_COSTS" hidden="1">"c8748"</definedName>
    <definedName name="IQ_HG_TOTAL_PROPERTIES_COMP" hidden="1">"c8694"</definedName>
    <definedName name="IQ_HG_TOTAL_ROOMS" hidden="1">"c8605"</definedName>
    <definedName name="IQ_HG_TOTAL_ROOMS_COMP" hidden="1">"c8696"</definedName>
    <definedName name="IQ_HIGH_TARGET_PRICE" hidden="1">"c1651"</definedName>
    <definedName name="IQ_HIGH_TARGET_PRICE_CIQ" hidden="1">"c4659"</definedName>
    <definedName name="IQ_HIGHPRICE" hidden="1">"c545"</definedName>
    <definedName name="IQ_HOME_AVG_LOAN_SIZE" hidden="1">"c5911"</definedName>
    <definedName name="IQ_HOME_BACKLOG" hidden="1">"c5844"</definedName>
    <definedName name="IQ_HOME_BACKLOG_AVG_JV" hidden="1">"c5848"</definedName>
    <definedName name="IQ_HOME_BACKLOG_AVG_JV_GROWTH" hidden="1">"c5928"</definedName>
    <definedName name="IQ_HOME_BACKLOG_AVG_JV_INC" hidden="1">"c5851"</definedName>
    <definedName name="IQ_HOME_BACKLOG_AVG_JV_INC_GROWTH" hidden="1">"c5931"</definedName>
    <definedName name="IQ_HOME_BACKLOG_AVG_PRICE" hidden="1">"c5845"</definedName>
    <definedName name="IQ_HOME_BACKLOG_AVG_PRICE_GROWTH" hidden="1">"c5925"</definedName>
    <definedName name="IQ_HOME_BACKLOG_GROWTH" hidden="1">"c5924"</definedName>
    <definedName name="IQ_HOME_BACKLOG_JV" hidden="1">"c5847"</definedName>
    <definedName name="IQ_HOME_BACKLOG_JV_GROWTH" hidden="1">"c5927"</definedName>
    <definedName name="IQ_HOME_BACKLOG_JV_INC" hidden="1">"c5850"</definedName>
    <definedName name="IQ_HOME_BACKLOG_JV_INC_GROWTH" hidden="1">"c5930"</definedName>
    <definedName name="IQ_HOME_BACKLOG_VALUE" hidden="1">"c5846"</definedName>
    <definedName name="IQ_HOME_BACKLOG_VALUE_GROWTH" hidden="1">"c5926"</definedName>
    <definedName name="IQ_HOME_BACKLOG_VALUE_JV" hidden="1">"c5849"</definedName>
    <definedName name="IQ_HOME_BACKLOG_VALUE_JV_GROWTH" hidden="1">"c5929"</definedName>
    <definedName name="IQ_HOME_BACKLOG_VALUE_JV_INC" hidden="1">"c5852"</definedName>
    <definedName name="IQ_HOME_BACKLOG_VALUE_JV_INC_GROWTH" hidden="1">"c5932"</definedName>
    <definedName name="IQ_HOME_COMMUNITIES_ACTIVE" hidden="1">"c5862"</definedName>
    <definedName name="IQ_HOME_COMMUNITIES_ACTIVE_GROWTH" hidden="1">"c5942"</definedName>
    <definedName name="IQ_HOME_COMMUNITIES_ACTIVE_JV" hidden="1">"c5863"</definedName>
    <definedName name="IQ_HOME_COMMUNITIES_ACTIVE_JV_GROWTH" hidden="1">"c5943"</definedName>
    <definedName name="IQ_HOME_COMMUNITIES_ACTIVE_JV_INC" hidden="1">"c5864"</definedName>
    <definedName name="IQ_HOME_COMMUNITIES_ACTIVE_JV_INC_GROWTH" hidden="1">"c5944"</definedName>
    <definedName name="IQ_HOME_COST_CONSTRUCTION_SVCS" hidden="1">"c5882"</definedName>
    <definedName name="IQ_HOME_COST_ELIMINATIONS_OTHER" hidden="1">"c5883"</definedName>
    <definedName name="IQ_HOME_COST_FINANCIAL_SVCS" hidden="1">"c5881"</definedName>
    <definedName name="IQ_HOME_COST_HOUSING" hidden="1">"c5877"</definedName>
    <definedName name="IQ_HOME_COST_LAND_LOT" hidden="1">"c5878"</definedName>
    <definedName name="IQ_HOME_COST_OTHER_HOMEBUILDING" hidden="1">"c5879"</definedName>
    <definedName name="IQ_HOME_COST_TOTAL" hidden="1">"c5884"</definedName>
    <definedName name="IQ_HOME_COST_TOTAL_HOMEBUILDING" hidden="1">"c5880"</definedName>
    <definedName name="IQ_HOME_DELIVERED" hidden="1">"c5835"</definedName>
    <definedName name="IQ_HOME_DELIVERED_AVG_PRICE" hidden="1">"c5836"</definedName>
    <definedName name="IQ_HOME_DELIVERED_AVG_PRICE_GROWTH" hidden="1">"c5916"</definedName>
    <definedName name="IQ_HOME_DELIVERED_AVG_PRICE_JV" hidden="1">"c5839"</definedName>
    <definedName name="IQ_HOME_DELIVERED_AVG_PRICE_JV_GROWTH" hidden="1">"c5919"</definedName>
    <definedName name="IQ_HOME_DELIVERED_AVG_PRICE_JV_INC" hidden="1">"c5842"</definedName>
    <definedName name="IQ_HOME_DELIVERED_AVG_PRICE_JV_INC_GROWTH" hidden="1">"c5922"</definedName>
    <definedName name="IQ_HOME_DELIVERED_GROWTH" hidden="1">"c5915"</definedName>
    <definedName name="IQ_HOME_DELIVERED_JV" hidden="1">"c5838"</definedName>
    <definedName name="IQ_HOME_DELIVERED_JV_GROWTH" hidden="1">"c5918"</definedName>
    <definedName name="IQ_HOME_DELIVERED_JV_INC" hidden="1">"c5841"</definedName>
    <definedName name="IQ_HOME_DELIVERED_JV_INC_GROWTH" hidden="1">"c5921"</definedName>
    <definedName name="IQ_HOME_DELIVERED_VALUE" hidden="1">"c5837"</definedName>
    <definedName name="IQ_HOME_DELIVERED_VALUE_GROWTH" hidden="1">"c5917"</definedName>
    <definedName name="IQ_HOME_DELIVERED_VALUE_JV" hidden="1">"c5840"</definedName>
    <definedName name="IQ_HOME_DELIVERED_VALUE_JV_GROWTH" hidden="1">"c5920"</definedName>
    <definedName name="IQ_HOME_DELIVERED_VALUE_JV_INC" hidden="1">"c5843"</definedName>
    <definedName name="IQ_HOME_DELIVERED_VALUE_JV_INC_GROWTH" hidden="1">"c5923"</definedName>
    <definedName name="IQ_HOME_EQUITY_LOC_NET_CHARGE_OFFS_FDIC" hidden="1">"c6644"</definedName>
    <definedName name="IQ_HOME_EQUITY_LOC_TOTAL_CHARGE_OFFS_FDIC" hidden="1">"c6606"</definedName>
    <definedName name="IQ_HOME_EQUITY_LOC_TOTAL_RECOVERIES_FDIC" hidden="1">"c6625"</definedName>
    <definedName name="IQ_HOME_FINISHED_HOMES_CIP" hidden="1">"c5865"</definedName>
    <definedName name="IQ_HOME_FIRSTLIEN_MORT_ORIGINATED" hidden="1">"c5905"</definedName>
    <definedName name="IQ_HOME_FIRSTLIEN_MORT_ORIGINATED_VOL" hidden="1">"c5908"</definedName>
    <definedName name="IQ_HOME_HUC" hidden="1">"c5822"</definedName>
    <definedName name="IQ_HOME_HUC_JV" hidden="1">"c5823"</definedName>
    <definedName name="IQ_HOME_HUC_JV_INC" hidden="1">"c5824"</definedName>
    <definedName name="IQ_HOME_INV_NOT_OWNED" hidden="1">"c5868"</definedName>
    <definedName name="IQ_HOME_LAND_DEVELOPMENT" hidden="1">"c5866"</definedName>
    <definedName name="IQ_HOME_LAND_FUTURE_DEVELOPMENT" hidden="1">"c5867"</definedName>
    <definedName name="IQ_HOME_LOAN_APPLICATIONS" hidden="1">"c5910"</definedName>
    <definedName name="IQ_HOME_LOANS_SOLD_COUNT" hidden="1">"c5912"</definedName>
    <definedName name="IQ_HOME_LOANS_SOLD_VALUE" hidden="1">"c5913"</definedName>
    <definedName name="IQ_HOME_LOTS_CONTROLLED" hidden="1">"c5831"</definedName>
    <definedName name="IQ_HOME_LOTS_FINISHED" hidden="1">"c5827"</definedName>
    <definedName name="IQ_HOME_LOTS_HELD_SALE" hidden="1">"c5830"</definedName>
    <definedName name="IQ_HOME_LOTS_JV" hidden="1">"c5833"</definedName>
    <definedName name="IQ_HOME_LOTS_JV_INC" hidden="1">"c5834"</definedName>
    <definedName name="IQ_HOME_LOTS_OTHER" hidden="1">"c5832"</definedName>
    <definedName name="IQ_HOME_LOTS_OWNED" hidden="1">"c5828"</definedName>
    <definedName name="IQ_HOME_LOTS_UNDER_DEVELOPMENT" hidden="1">"c5826"</definedName>
    <definedName name="IQ_HOME_LOTS_UNDER_OPTION" hidden="1">"c5829"</definedName>
    <definedName name="IQ_HOME_LOTS_UNDEVELOPED" hidden="1">"c5825"</definedName>
    <definedName name="IQ_HOME_MORT_CAPTURE_RATE" hidden="1">"c5906"</definedName>
    <definedName name="IQ_HOME_MORT_ORIGINATED" hidden="1">"c5907"</definedName>
    <definedName name="IQ_HOME_OBLIGATIONS_INV_NOT_OWNED" hidden="1">"c5914"</definedName>
    <definedName name="IQ_HOME_ORDERS" hidden="1">"c5853"</definedName>
    <definedName name="IQ_HOME_ORDERS_AVG_PRICE" hidden="1">"c5854"</definedName>
    <definedName name="IQ_HOME_ORDERS_AVG_PRICE_GROWTH" hidden="1">"c5934"</definedName>
    <definedName name="IQ_HOME_ORDERS_AVG_PRICE_JV" hidden="1">"c5857"</definedName>
    <definedName name="IQ_HOME_ORDERS_AVG_PRICE_JV_GROWTH" hidden="1">"c5937"</definedName>
    <definedName name="IQ_HOME_ORDERS_AVG_PRICE_JV_INC" hidden="1">"c5860"</definedName>
    <definedName name="IQ_HOME_ORDERS_AVG_PRICE_JV_INC_GROWTH" hidden="1">"c5940"</definedName>
    <definedName name="IQ_HOME_ORDERS_GROWTH" hidden="1">"c5933"</definedName>
    <definedName name="IQ_HOME_ORDERS_JV" hidden="1">"c5856"</definedName>
    <definedName name="IQ_HOME_ORDERS_JV_GROWTH" hidden="1">"c5936"</definedName>
    <definedName name="IQ_HOME_ORDERS_JV_INC" hidden="1">"c5859"</definedName>
    <definedName name="IQ_HOME_ORDERS_JV_INC_GROWTH" hidden="1">"c5939"</definedName>
    <definedName name="IQ_HOME_ORDERS_VALUE" hidden="1">"c5855"</definedName>
    <definedName name="IQ_HOME_ORDERS_VALUE_GROWTH" hidden="1">"c5935"</definedName>
    <definedName name="IQ_HOME_ORDERS_VALUE_JV" hidden="1">"c5858"</definedName>
    <definedName name="IQ_HOME_ORDERS_VALUE_JV_GROWTH" hidden="1">"c5938"</definedName>
    <definedName name="IQ_HOME_ORDERS_VALUE_JV_INC" hidden="1">"c5861"</definedName>
    <definedName name="IQ_HOME_ORDERS_VALUE_JV_INC_GROWTH" hidden="1">"c5941"</definedName>
    <definedName name="IQ_HOME_ORIGINATION_TOTAL" hidden="1">"c5909"</definedName>
    <definedName name="IQ_HOME_PRETAX_INC_CONSTRUCTION_SVCS" hidden="1">"c5890"</definedName>
    <definedName name="IQ_HOME_PRETAX_INC_ELIMINATIONS_OTHER" hidden="1">"c5891"</definedName>
    <definedName name="IQ_HOME_PRETAX_INC_FINANCIAL_SVCS" hidden="1">"c5889"</definedName>
    <definedName name="IQ_HOME_PRETAX_INC_HOUSING" hidden="1">"c5885"</definedName>
    <definedName name="IQ_HOME_PRETAX_INC_LAND_LOT" hidden="1">"c5886"</definedName>
    <definedName name="IQ_HOME_PRETAX_INC_OTHER_HOMEBUILDING" hidden="1">"c5887"</definedName>
    <definedName name="IQ_HOME_PRETAX_INC_TOTAL" hidden="1">"c5892"</definedName>
    <definedName name="IQ_HOME_PRETAX_INC_TOTAL_HOMEBUILDING" hidden="1">"c5888"</definedName>
    <definedName name="IQ_HOME_PURCH_OBLIGATION_1YR" hidden="1">"c5898"</definedName>
    <definedName name="IQ_HOME_PURCH_OBLIGATION_2YR" hidden="1">"c5899"</definedName>
    <definedName name="IQ_HOME_PURCH_OBLIGATION_3YR" hidden="1">"c5900"</definedName>
    <definedName name="IQ_HOME_PURCH_OBLIGATION_4YR" hidden="1">"c5901"</definedName>
    <definedName name="IQ_HOME_PURCH_OBLIGATION_5YR" hidden="1">"c5902"</definedName>
    <definedName name="IQ_HOME_PURCH_OBLIGATION_AFTER5" hidden="1">"c5903"</definedName>
    <definedName name="IQ_HOME_PURCH_OBLIGATION_TOTAL" hidden="1">"c5904"</definedName>
    <definedName name="IQ_HOME_REV_CONSTRUCTION_SERVICES" hidden="1">"c5874"</definedName>
    <definedName name="IQ_HOME_REV_ELIMINATIONS_OTHER" hidden="1">"c5875"</definedName>
    <definedName name="IQ_HOME_REV_FINANCIAL_SERVICES" hidden="1">"c5873"</definedName>
    <definedName name="IQ_HOME_REV_HOUSING" hidden="1">"c5872"</definedName>
    <definedName name="IQ_HOME_REV_LAND_LOT" hidden="1">"c5870"</definedName>
    <definedName name="IQ_HOME_REV_OTHER_HOMEBUILDING" hidden="1">"c5871"</definedName>
    <definedName name="IQ_HOME_REV_TOTAL" hidden="1">"c5876"</definedName>
    <definedName name="IQ_HOME_SALES_NEW" hidden="1">"c6924"</definedName>
    <definedName name="IQ_HOME_SALES_NEW_APR" hidden="1">"c7584"</definedName>
    <definedName name="IQ_HOME_SALES_NEW_APR_FC" hidden="1">"c8464"</definedName>
    <definedName name="IQ_HOME_SALES_NEW_FC" hidden="1">"c7804"</definedName>
    <definedName name="IQ_HOME_SALES_NEW_POP" hidden="1">"c7144"</definedName>
    <definedName name="IQ_HOME_SALES_NEW_POP_FC" hidden="1">"c8024"</definedName>
    <definedName name="IQ_HOME_SALES_NEW_YOY" hidden="1">"c7364"</definedName>
    <definedName name="IQ_HOME_SALES_NEW_YOY_FC" hidden="1">"c8244"</definedName>
    <definedName name="IQ_HOME_TOTAL_INV" hidden="1">"c5869"</definedName>
    <definedName name="IQ_HOME_WARRANTY_RES_BEG" hidden="1">"c5893"</definedName>
    <definedName name="IQ_HOME_WARRANTY_RES_END" hidden="1">"c5897"</definedName>
    <definedName name="IQ_HOME_WARRANTY_RES_ISS" hidden="1">"c5894"</definedName>
    <definedName name="IQ_HOME_WARRANTY_RES_OTHER" hidden="1">"c5896"</definedName>
    <definedName name="IQ_HOME_WARRANTY_RES_PAY" hidden="1">"c5895"</definedName>
    <definedName name="IQ_HOMEOWNERS_WRITTEN" hidden="1">"c546"</definedName>
    <definedName name="IQ_HOURLY_COMP" hidden="1">"c6879"</definedName>
    <definedName name="IQ_HOURLY_COMP_APR" hidden="1">"c7539"</definedName>
    <definedName name="IQ_HOURLY_COMP_APR_FC" hidden="1">"c8419"</definedName>
    <definedName name="IQ_HOURLY_COMP_FC" hidden="1">"c7759"</definedName>
    <definedName name="IQ_HOURLY_COMP_POP" hidden="1">"c7099"</definedName>
    <definedName name="IQ_HOURLY_COMP_POP_FC" hidden="1">"c7979"</definedName>
    <definedName name="IQ_HOURLY_COMP_YOY" hidden="1">"c7319"</definedName>
    <definedName name="IQ_HOURLY_COMP_YOY_FC" hidden="1">"c8199"</definedName>
    <definedName name="IQ_HOUSING_COMPLETIONS" hidden="1">"c6881"</definedName>
    <definedName name="IQ_HOUSING_COMPLETIONS_APR" hidden="1">"c7541"</definedName>
    <definedName name="IQ_HOUSING_COMPLETIONS_APR_FC" hidden="1">"c8421"</definedName>
    <definedName name="IQ_HOUSING_COMPLETIONS_FC" hidden="1">"c7761"</definedName>
    <definedName name="IQ_HOUSING_COMPLETIONS_POP" hidden="1">"c7101"</definedName>
    <definedName name="IQ_HOUSING_COMPLETIONS_POP_FC" hidden="1">"c7981"</definedName>
    <definedName name="IQ_HOUSING_COMPLETIONS_SINGLE_FAM_APR_FC_UNUSED_UNUSED_UNUSED" hidden="1">"c8422"</definedName>
    <definedName name="IQ_HOUSING_COMPLETIONS_SINGLE_FAM_APR_UNUSED_UNUSED_UNUSED" hidden="1">"c7542"</definedName>
    <definedName name="IQ_HOUSING_COMPLETIONS_SINGLE_FAM_FC_UNUSED_UNUSED_UNUSED" hidden="1">"c7762"</definedName>
    <definedName name="IQ_HOUSING_COMPLETIONS_SINGLE_FAM_POP_FC_UNUSED_UNUSED_UNUSED" hidden="1">"c7982"</definedName>
    <definedName name="IQ_HOUSING_COMPLETIONS_SINGLE_FAM_POP_UNUSED_UNUSED_UNUSED" hidden="1">"c7102"</definedName>
    <definedName name="IQ_HOUSING_COMPLETIONS_SINGLE_FAM_UNUSED_UNUSED_UNUSED" hidden="1">"c6882"</definedName>
    <definedName name="IQ_HOUSING_COMPLETIONS_SINGLE_FAM_YOY_FC_UNUSED_UNUSED_UNUSED" hidden="1">"c8202"</definedName>
    <definedName name="IQ_HOUSING_COMPLETIONS_SINGLE_FAM_YOY_UNUSED_UNUSED_UNUSED" hidden="1">"c7322"</definedName>
    <definedName name="IQ_HOUSING_COMPLETIONS_YOY" hidden="1">"c7321"</definedName>
    <definedName name="IQ_HOUSING_COMPLETIONS_YOY_FC" hidden="1">"c8201"</definedName>
    <definedName name="IQ_HOUSING_PERMITS" hidden="1">"c6883"</definedName>
    <definedName name="IQ_HOUSING_PERMITS_APR" hidden="1">"c7543"</definedName>
    <definedName name="IQ_HOUSING_PERMITS_APR_FC" hidden="1">"c8423"</definedName>
    <definedName name="IQ_HOUSING_PERMITS_FC" hidden="1">"c7763"</definedName>
    <definedName name="IQ_HOUSING_PERMITS_POP" hidden="1">"c7103"</definedName>
    <definedName name="IQ_HOUSING_PERMITS_POP_FC" hidden="1">"c7983"</definedName>
    <definedName name="IQ_HOUSING_PERMITS_YOY" hidden="1">"c7323"</definedName>
    <definedName name="IQ_HOUSING_PERMITS_YOY_FC" hidden="1">"c8203"</definedName>
    <definedName name="IQ_HOUSING_STARTS" hidden="1">"c6884"</definedName>
    <definedName name="IQ_HOUSING_STARTS_APR" hidden="1">"c7544"</definedName>
    <definedName name="IQ_HOUSING_STARTS_APR_FC" hidden="1">"c8424"</definedName>
    <definedName name="IQ_HOUSING_STARTS_FC" hidden="1">"c7764"</definedName>
    <definedName name="IQ_HOUSING_STARTS_POP" hidden="1">"c7104"</definedName>
    <definedName name="IQ_HOUSING_STARTS_POP_FC" hidden="1">"c7984"</definedName>
    <definedName name="IQ_HOUSING_STARTS_SAAR" hidden="1">"c6885"</definedName>
    <definedName name="IQ_HOUSING_STARTS_SAAR_APR" hidden="1">"c7545"</definedName>
    <definedName name="IQ_HOUSING_STARTS_SAAR_APR_FC" hidden="1">"c8425"</definedName>
    <definedName name="IQ_HOUSING_STARTS_SAAR_FC" hidden="1">"c7765"</definedName>
    <definedName name="IQ_HOUSING_STARTS_SAAR_POP" hidden="1">"c7105"</definedName>
    <definedName name="IQ_HOUSING_STARTS_SAAR_POP_FC" hidden="1">"c7985"</definedName>
    <definedName name="IQ_HOUSING_STARTS_SAAR_YOY" hidden="1">"c7325"</definedName>
    <definedName name="IQ_HOUSING_STARTS_SAAR_YOY_FC" hidden="1">"c8205"</definedName>
    <definedName name="IQ_HOUSING_STARTS_YOY" hidden="1">"c7324"</definedName>
    <definedName name="IQ_HOUSING_STARTS_YOY_FC" hidden="1">"c8204"</definedName>
    <definedName name="IQ_HRS_WORKED_FULL_PT" hidden="1">"c6880"</definedName>
    <definedName name="IQ_HRS_WORKED_FULL_PT_APR" hidden="1">"c7540"</definedName>
    <definedName name="IQ_HRS_WORKED_FULL_PT_APR_FC" hidden="1">"c8420"</definedName>
    <definedName name="IQ_HRS_WORKED_FULL_PT_FC" hidden="1">"c7760"</definedName>
    <definedName name="IQ_HRS_WORKED_FULL_PT_POP" hidden="1">"c7100"</definedName>
    <definedName name="IQ_HRS_WORKED_FULL_PT_POP_FC" hidden="1">"c7980"</definedName>
    <definedName name="IQ_HRS_WORKED_FULL_PT_YOY" hidden="1">"c7320"</definedName>
    <definedName name="IQ_HRS_WORKED_FULL_PT_YOY_FC" hidden="1">"c8200"</definedName>
    <definedName name="IQ_IM_AVG_REV_PER_CLICK" hidden="1">"c9991"</definedName>
    <definedName name="IQ_IM_NUMBER_PAGE_VIEWS" hidden="1">"c9993"</definedName>
    <definedName name="IQ_IM_NUMBER_PAID_CLICKS" hidden="1">"c9995"</definedName>
    <definedName name="IQ_IM_NUMBER_PAID_CLICKS_GROWTH" hidden="1">"c9996"</definedName>
    <definedName name="IQ_IM_PAGE_VIEWS_GROWTH" hidden="1">"c9994"</definedName>
    <definedName name="IQ_IM_REV_PER_PAGE_VIEW_GROWTH" hidden="1">"c9992"</definedName>
    <definedName name="IQ_IM_TRAFFIC_ACQUISITION_CHANGE" hidden="1">"c9998"</definedName>
    <definedName name="IQ_IM_TRAFFIC_ACQUISITION_COST_TO_AD_REV_RATIO" hidden="1">"c10000"</definedName>
    <definedName name="IQ_IM_TRAFFIC_ACQUISITION_COST_TO_TOTAL_REV_RATIO" hidden="1">"c9999"</definedName>
    <definedName name="IQ_IM_TRAFFIC_ACQUISITION_COSTS" hidden="1">"c9997"</definedName>
    <definedName name="IQ_IMPAIR_OIL" hidden="1">"c547"</definedName>
    <definedName name="IQ_IMPAIRMENT_GW" hidden="1">"c548"</definedName>
    <definedName name="IQ_IMPORT_PRICE_INDEX" hidden="1">"c6886"</definedName>
    <definedName name="IQ_IMPORT_PRICE_INDEX_APR" hidden="1">"c7546"</definedName>
    <definedName name="IQ_IMPORT_PRICE_INDEX_APR_FC" hidden="1">"c8426"</definedName>
    <definedName name="IQ_IMPORT_PRICE_INDEX_FC" hidden="1">"c7766"</definedName>
    <definedName name="IQ_IMPORT_PRICE_INDEX_POP" hidden="1">"c7106"</definedName>
    <definedName name="IQ_IMPORT_PRICE_INDEX_POP_FC" hidden="1">"c7986"</definedName>
    <definedName name="IQ_IMPORT_PRICE_INDEX_YOY" hidden="1">"c7326"</definedName>
    <definedName name="IQ_IMPORT_PRICE_INDEX_YOY_FC" hidden="1">"c8206"</definedName>
    <definedName name="IQ_IMPORTS_GOODS" hidden="1">"c6887"</definedName>
    <definedName name="IQ_IMPORTS_GOODS_APR" hidden="1">"c7547"</definedName>
    <definedName name="IQ_IMPORTS_GOODS_APR_FC" hidden="1">"c8427"</definedName>
    <definedName name="IQ_IMPORTS_GOODS_FC" hidden="1">"c7767"</definedName>
    <definedName name="IQ_IMPORTS_GOODS_NONFACTOR_SERVICES" hidden="1">"c6888"</definedName>
    <definedName name="IQ_IMPORTS_GOODS_NONFACTOR_SERVICES_APR" hidden="1">"c7548"</definedName>
    <definedName name="IQ_IMPORTS_GOODS_NONFACTOR_SERVICES_APR_FC" hidden="1">"c8428"</definedName>
    <definedName name="IQ_IMPORTS_GOODS_NONFACTOR_SERVICES_FC" hidden="1">"c7768"</definedName>
    <definedName name="IQ_IMPORTS_GOODS_NONFACTOR_SERVICES_POP" hidden="1">"c7108"</definedName>
    <definedName name="IQ_IMPORTS_GOODS_NONFACTOR_SERVICES_POP_FC" hidden="1">"c7988"</definedName>
    <definedName name="IQ_IMPORTS_GOODS_NONFACTOR_SERVICES_YOY" hidden="1">"c7328"</definedName>
    <definedName name="IQ_IMPORTS_GOODS_NONFACTOR_SERVICES_YOY_FC" hidden="1">"c8208"</definedName>
    <definedName name="IQ_IMPORTS_GOODS_POP" hidden="1">"c7107"</definedName>
    <definedName name="IQ_IMPORTS_GOODS_POP_FC" hidden="1">"c7987"</definedName>
    <definedName name="IQ_IMPORTS_GOODS_REAL" hidden="1">"c11950"</definedName>
    <definedName name="IQ_IMPORTS_GOODS_REAL_APR" hidden="1">"c11953"</definedName>
    <definedName name="IQ_IMPORTS_GOODS_REAL_POP" hidden="1">"c11951"</definedName>
    <definedName name="IQ_IMPORTS_GOODS_REAL_SAAR_APR_FC_UNUSED_UNUSED_UNUSED" hidden="1">"c8523"</definedName>
    <definedName name="IQ_IMPORTS_GOODS_REAL_SAAR_APR_UNUSED_UNUSED_UNUSED" hidden="1">"c7643"</definedName>
    <definedName name="IQ_IMPORTS_GOODS_REAL_SAAR_FC_UNUSED_UNUSED_UNUSED" hidden="1">"c7863"</definedName>
    <definedName name="IQ_IMPORTS_GOODS_REAL_SAAR_POP_FC_UNUSED_UNUSED_UNUSED" hidden="1">"c8083"</definedName>
    <definedName name="IQ_IMPORTS_GOODS_REAL_SAAR_POP_UNUSED_UNUSED_UNUSED" hidden="1">"c7203"</definedName>
    <definedName name="IQ_IMPORTS_GOODS_REAL_SAAR_UNUSED_UNUSED_UNUSED" hidden="1">"c6983"</definedName>
    <definedName name="IQ_IMPORTS_GOODS_REAL_SAAR_YOY_FC_UNUSED_UNUSED_UNUSED" hidden="1">"c8303"</definedName>
    <definedName name="IQ_IMPORTS_GOODS_REAL_SAAR_YOY_UNUSED_UNUSED_UNUSED" hidden="1">"c7423"</definedName>
    <definedName name="IQ_IMPORTS_GOODS_REAL_YOY" hidden="1">"c11952"</definedName>
    <definedName name="IQ_IMPORTS_GOODS_SAAR" hidden="1">"c6891"</definedName>
    <definedName name="IQ_IMPORTS_GOODS_SAAR_APR" hidden="1">"c7551"</definedName>
    <definedName name="IQ_IMPORTS_GOODS_SAAR_APR_FC" hidden="1">"c8431"</definedName>
    <definedName name="IQ_IMPORTS_GOODS_SAAR_FC" hidden="1">"c7771"</definedName>
    <definedName name="IQ_IMPORTS_GOODS_SAAR_POP" hidden="1">"c7111"</definedName>
    <definedName name="IQ_IMPORTS_GOODS_SAAR_POP_FC" hidden="1">"c7991"</definedName>
    <definedName name="IQ_IMPORTS_GOODS_SAAR_USD_APR_FC" hidden="1">"c11849"</definedName>
    <definedName name="IQ_IMPORTS_GOODS_SAAR_USD_FC" hidden="1">"c11846"</definedName>
    <definedName name="IQ_IMPORTS_GOODS_SAAR_USD_POP_FC" hidden="1">"c11847"</definedName>
    <definedName name="IQ_IMPORTS_GOODS_SAAR_USD_YOY_FC" hidden="1">"c11848"</definedName>
    <definedName name="IQ_IMPORTS_GOODS_SAAR_YOY" hidden="1">"c7331"</definedName>
    <definedName name="IQ_IMPORTS_GOODS_SAAR_YOY_FC" hidden="1">"c8211"</definedName>
    <definedName name="IQ_IMPORTS_GOODS_SERVICES_APR_FC_UNUSED_UNUSED_UNUSED" hidden="1">"c8429"</definedName>
    <definedName name="IQ_IMPORTS_GOODS_SERVICES_APR_UNUSED_UNUSED_UNUSED" hidden="1">"c7549"</definedName>
    <definedName name="IQ_IMPORTS_GOODS_SERVICES_FC_UNUSED_UNUSED_UNUSED" hidden="1">"c7769"</definedName>
    <definedName name="IQ_IMPORTS_GOODS_SERVICES_POP_FC_UNUSED_UNUSED_UNUSED" hidden="1">"c7989"</definedName>
    <definedName name="IQ_IMPORTS_GOODS_SERVICES_POP_UNUSED_UNUSED_UNUSED" hidden="1">"c7109"</definedName>
    <definedName name="IQ_IMPORTS_GOODS_SERVICES_REAL" hidden="1">"c6985"</definedName>
    <definedName name="IQ_IMPORTS_GOODS_SERVICES_REAL_APR" hidden="1">"c7645"</definedName>
    <definedName name="IQ_IMPORTS_GOODS_SERVICES_REAL_APR_FC" hidden="1">"c8525"</definedName>
    <definedName name="IQ_IMPORTS_GOODS_SERVICES_REAL_FC" hidden="1">"c7865"</definedName>
    <definedName name="IQ_IMPORTS_GOODS_SERVICES_REAL_POP" hidden="1">"c7205"</definedName>
    <definedName name="IQ_IMPORTS_GOODS_SERVICES_REAL_POP_FC" hidden="1">"c8085"</definedName>
    <definedName name="IQ_IMPORTS_GOODS_SERVICES_REAL_SAAR" hidden="1">"c11958"</definedName>
    <definedName name="IQ_IMPORTS_GOODS_SERVICES_REAL_SAAR_APR" hidden="1">"c11961"</definedName>
    <definedName name="IQ_IMPORTS_GOODS_SERVICES_REAL_SAAR_APR_FC_UNUSED_UNUSED_UNUSED" hidden="1">"c8524"</definedName>
    <definedName name="IQ_IMPORTS_GOODS_SERVICES_REAL_SAAR_APR_UNUSED_UNUSED_UNUSED" hidden="1">"c7644"</definedName>
    <definedName name="IQ_IMPORTS_GOODS_SERVICES_REAL_SAAR_FC_UNUSED_UNUSED_UNUSED" hidden="1">"c7864"</definedName>
    <definedName name="IQ_IMPORTS_GOODS_SERVICES_REAL_SAAR_POP" hidden="1">"c11959"</definedName>
    <definedName name="IQ_IMPORTS_GOODS_SERVICES_REAL_SAAR_POP_FC_UNUSED_UNUSED_UNUSED" hidden="1">"c8084"</definedName>
    <definedName name="IQ_IMPORTS_GOODS_SERVICES_REAL_SAAR_POP_UNUSED_UNUSED_UNUSED" hidden="1">"c7204"</definedName>
    <definedName name="IQ_IMPORTS_GOODS_SERVICES_REAL_SAAR_UNUSED_UNUSED_UNUSED" hidden="1">"c6984"</definedName>
    <definedName name="IQ_IMPORTS_GOODS_SERVICES_REAL_SAAR_USD" hidden="1">"c11962"</definedName>
    <definedName name="IQ_IMPORTS_GOODS_SERVICES_REAL_SAAR_USD_APR" hidden="1">"c11965"</definedName>
    <definedName name="IQ_IMPORTS_GOODS_SERVICES_REAL_SAAR_USD_APR_FC" hidden="1">"c11969"</definedName>
    <definedName name="IQ_IMPORTS_GOODS_SERVICES_REAL_SAAR_USD_FC" hidden="1">"c11966"</definedName>
    <definedName name="IQ_IMPORTS_GOODS_SERVICES_REAL_SAAR_USD_POP" hidden="1">"c11963"</definedName>
    <definedName name="IQ_IMPORTS_GOODS_SERVICES_REAL_SAAR_USD_POP_FC" hidden="1">"c11967"</definedName>
    <definedName name="IQ_IMPORTS_GOODS_SERVICES_REAL_SAAR_USD_YOY" hidden="1">"c11964"</definedName>
    <definedName name="IQ_IMPORTS_GOODS_SERVICES_REAL_SAAR_USD_YOY_FC" hidden="1">"c11968"</definedName>
    <definedName name="IQ_IMPORTS_GOODS_SERVICES_REAL_SAAR_YOY" hidden="1">"c11960"</definedName>
    <definedName name="IQ_IMPORTS_GOODS_SERVICES_REAL_SAAR_YOY_FC_UNUSED_UNUSED_UNUSED" hidden="1">"c8304"</definedName>
    <definedName name="IQ_IMPORTS_GOODS_SERVICES_REAL_SAAR_YOY_UNUSED_UNUSED_UNUSED" hidden="1">"c7424"</definedName>
    <definedName name="IQ_IMPORTS_GOODS_SERVICES_REAL_USD" hidden="1">"c11954"</definedName>
    <definedName name="IQ_IMPORTS_GOODS_SERVICES_REAL_USD_APR" hidden="1">"c11957"</definedName>
    <definedName name="IQ_IMPORTS_GOODS_SERVICES_REAL_USD_POP" hidden="1">"c11955"</definedName>
    <definedName name="IQ_IMPORTS_GOODS_SERVICES_REAL_USD_YOY" hidden="1">"c11956"</definedName>
    <definedName name="IQ_IMPORTS_GOODS_SERVICES_REAL_YOY" hidden="1">"c7425"</definedName>
    <definedName name="IQ_IMPORTS_GOODS_SERVICES_REAL_YOY_FC" hidden="1">"c8305"</definedName>
    <definedName name="IQ_IMPORTS_GOODS_SERVICES_SAAR" hidden="1">"c6890"</definedName>
    <definedName name="IQ_IMPORTS_GOODS_SERVICES_SAAR_APR" hidden="1">"c7550"</definedName>
    <definedName name="IQ_IMPORTS_GOODS_SERVICES_SAAR_APR_FC" hidden="1">"c8430"</definedName>
    <definedName name="IQ_IMPORTS_GOODS_SERVICES_SAAR_FC" hidden="1">"c7770"</definedName>
    <definedName name="IQ_IMPORTS_GOODS_SERVICES_SAAR_POP" hidden="1">"c7110"</definedName>
    <definedName name="IQ_IMPORTS_GOODS_SERVICES_SAAR_POP_FC" hidden="1">"c7990"</definedName>
    <definedName name="IQ_IMPORTS_GOODS_SERVICES_SAAR_YOY" hidden="1">"c7330"</definedName>
    <definedName name="IQ_IMPORTS_GOODS_SERVICES_SAAR_YOY_FC" hidden="1">"c8210"</definedName>
    <definedName name="IQ_IMPORTS_GOODS_SERVICES_UNUSED_UNUSED_UNUSED" hidden="1">"c6889"</definedName>
    <definedName name="IQ_IMPORTS_GOODS_SERVICES_USD" hidden="1">"c11842"</definedName>
    <definedName name="IQ_IMPORTS_GOODS_SERVICES_USD_APR" hidden="1">"c11845"</definedName>
    <definedName name="IQ_IMPORTS_GOODS_SERVICES_USD_POP" hidden="1">"c11843"</definedName>
    <definedName name="IQ_IMPORTS_GOODS_SERVICES_USD_YOY" hidden="1">"c11844"</definedName>
    <definedName name="IQ_IMPORTS_GOODS_SERVICES_YOY_FC_UNUSED_UNUSED_UNUSED" hidden="1">"c8209"</definedName>
    <definedName name="IQ_IMPORTS_GOODS_SERVICES_YOY_UNUSED_UNUSED_UNUSED" hidden="1">"c7329"</definedName>
    <definedName name="IQ_IMPORTS_GOODS_USD_APR_FC" hidden="1">"c11841"</definedName>
    <definedName name="IQ_IMPORTS_GOODS_USD_FC" hidden="1">"c11838"</definedName>
    <definedName name="IQ_IMPORTS_GOODS_USD_POP_FC" hidden="1">"c11839"</definedName>
    <definedName name="IQ_IMPORTS_GOODS_USD_YOY_FC" hidden="1">"c11840"</definedName>
    <definedName name="IQ_IMPORTS_GOODS_YOY" hidden="1">"c7327"</definedName>
    <definedName name="IQ_IMPORTS_GOODS_YOY_FC" hidden="1">"c8207"</definedName>
    <definedName name="IQ_IMPORTS_NONFACTOR_SERVICES" hidden="1">"c6892"</definedName>
    <definedName name="IQ_IMPORTS_NONFACTOR_SERVICES_APR" hidden="1">"c7552"</definedName>
    <definedName name="IQ_IMPORTS_NONFACTOR_SERVICES_APR_FC" hidden="1">"c8432"</definedName>
    <definedName name="IQ_IMPORTS_NONFACTOR_SERVICES_FC" hidden="1">"c7772"</definedName>
    <definedName name="IQ_IMPORTS_NONFACTOR_SERVICES_POP" hidden="1">"c7112"</definedName>
    <definedName name="IQ_IMPORTS_NONFACTOR_SERVICES_POP_FC" hidden="1">"c7992"</definedName>
    <definedName name="IQ_IMPORTS_NONFACTOR_SERVICES_SAAR" hidden="1">"c6893"</definedName>
    <definedName name="IQ_IMPORTS_NONFACTOR_SERVICES_SAAR_APR" hidden="1">"c7553"</definedName>
    <definedName name="IQ_IMPORTS_NONFACTOR_SERVICES_SAAR_APR_FC" hidden="1">"c8433"</definedName>
    <definedName name="IQ_IMPORTS_NONFACTOR_SERVICES_SAAR_FC" hidden="1">"c7773"</definedName>
    <definedName name="IQ_IMPORTS_NONFACTOR_SERVICES_SAAR_POP" hidden="1">"c7113"</definedName>
    <definedName name="IQ_IMPORTS_NONFACTOR_SERVICES_SAAR_POP_FC" hidden="1">"c7993"</definedName>
    <definedName name="IQ_IMPORTS_NONFACTOR_SERVICES_SAAR_USD_APR_FC" hidden="1">"c11857"</definedName>
    <definedName name="IQ_IMPORTS_NONFACTOR_SERVICES_SAAR_USD_FC" hidden="1">"c11854"</definedName>
    <definedName name="IQ_IMPORTS_NONFACTOR_SERVICES_SAAR_USD_POP_FC" hidden="1">"c11855"</definedName>
    <definedName name="IQ_IMPORTS_NONFACTOR_SERVICES_SAAR_USD_YOY_FC" hidden="1">"c11856"</definedName>
    <definedName name="IQ_IMPORTS_NONFACTOR_SERVICES_SAAR_YOY" hidden="1">"c7333"</definedName>
    <definedName name="IQ_IMPORTS_NONFACTOR_SERVICES_SAAR_YOY_FC" hidden="1">"c8213"</definedName>
    <definedName name="IQ_IMPORTS_NONFACTOR_SERVICES_USD_APR_FC" hidden="1">"c11853"</definedName>
    <definedName name="IQ_IMPORTS_NONFACTOR_SERVICES_USD_FC" hidden="1">"c11850"</definedName>
    <definedName name="IQ_IMPORTS_NONFACTOR_SERVICES_USD_POP_FC" hidden="1">"c11851"</definedName>
    <definedName name="IQ_IMPORTS_NONFACTOR_SERVICES_USD_YOY_FC" hidden="1">"c11852"</definedName>
    <definedName name="IQ_IMPORTS_NONFACTOR_SERVICES_YOY" hidden="1">"c7332"</definedName>
    <definedName name="IQ_IMPORTS_NONFACTOR_SERVICES_YOY_FC" hidden="1">"c8212"</definedName>
    <definedName name="IQ_IMPORTS_SERVICES" hidden="1">"c11858"</definedName>
    <definedName name="IQ_IMPORTS_SERVICES_APR" hidden="1">"c11861"</definedName>
    <definedName name="IQ_IMPORTS_SERVICES_POP" hidden="1">"c11859"</definedName>
    <definedName name="IQ_IMPORTS_SERVICES_REAL" hidden="1">"c6986"</definedName>
    <definedName name="IQ_IMPORTS_SERVICES_REAL_APR" hidden="1">"c7646"</definedName>
    <definedName name="IQ_IMPORTS_SERVICES_REAL_APR_FC" hidden="1">"c8526"</definedName>
    <definedName name="IQ_IMPORTS_SERVICES_REAL_FC" hidden="1">"c7866"</definedName>
    <definedName name="IQ_IMPORTS_SERVICES_REAL_POP" hidden="1">"c7206"</definedName>
    <definedName name="IQ_IMPORTS_SERVICES_REAL_POP_FC" hidden="1">"c8086"</definedName>
    <definedName name="IQ_IMPORTS_SERVICES_REAL_YOY" hidden="1">"c7426"</definedName>
    <definedName name="IQ_IMPORTS_SERVICES_REAL_YOY_FC" hidden="1">"c8306"</definedName>
    <definedName name="IQ_IMPORTS_SERVICES_YOY" hidden="1">"c11860"</definedName>
    <definedName name="IQ_IMPUT_OPER_LEASE_DEPR" hidden="1">"c2987"</definedName>
    <definedName name="IQ_IMPUT_OPER_LEASE_INT_EXP" hidden="1">"c2986"</definedName>
    <definedName name="IQ_INC_AFTER_TAX" hidden="1">"c1598"</definedName>
    <definedName name="IQ_INC_AVAIL_EXCL" hidden="1">"c1395"</definedName>
    <definedName name="IQ_INC_AVAIL_INCL" hidden="1">"c1396"</definedName>
    <definedName name="IQ_INC_BEFORE_TAX" hidden="1">"c1375"</definedName>
    <definedName name="IQ_INC_EQUITY" hidden="1">"c549"</definedName>
    <definedName name="IQ_INC_EQUITY_BR" hidden="1">"c550"</definedName>
    <definedName name="IQ_INC_EQUITY_CF" hidden="1">"c551"</definedName>
    <definedName name="IQ_INC_EQUITY_FIN" hidden="1">"c552"</definedName>
    <definedName name="IQ_INC_EQUITY_INS" hidden="1">"c553"</definedName>
    <definedName name="IQ_INC_EQUITY_RE" hidden="1">"c6222"</definedName>
    <definedName name="IQ_INC_EQUITY_REC_BNK" hidden="1">"c554"</definedName>
    <definedName name="IQ_INC_EQUITY_REIT" hidden="1">"c555"</definedName>
    <definedName name="IQ_INC_EQUITY_REV_BNK" hidden="1">"c556"</definedName>
    <definedName name="IQ_INC_EQUITY_UTI" hidden="1">"c557"</definedName>
    <definedName name="IQ_INC_REAL_ESTATE_REC" hidden="1">"c558"</definedName>
    <definedName name="IQ_INC_REAL_ESTATE_REV" hidden="1">"c559"</definedName>
    <definedName name="IQ_INC_TAX" hidden="1">"c560"</definedName>
    <definedName name="IQ_INC_TAX_EXCL" hidden="1">"c1599"</definedName>
    <definedName name="IQ_INC_TAX_PAY_CURRENT" hidden="1">"c561"</definedName>
    <definedName name="IQ_INC_TRADE_ACT" hidden="1">"c562"</definedName>
    <definedName name="IQ_INCIDENTAL_CHANGES_BUSINESS_COMBINATIONS_FDIC" hidden="1">"c6502"</definedName>
    <definedName name="IQ_INCOME_BEFORE_EXTRA_FDIC" hidden="1">"c6585"</definedName>
    <definedName name="IQ_INCOME_EARNED_FDIC" hidden="1">"c6359"</definedName>
    <definedName name="IQ_INCOME_TAXES_FDIC" hidden="1">"c6582"</definedName>
    <definedName name="IQ_INDEX_LEADING_IND" hidden="1">"c6894"</definedName>
    <definedName name="IQ_INDEX_LEADING_IND_APR" hidden="1">"c7554"</definedName>
    <definedName name="IQ_INDEX_LEADING_IND_APR_FC" hidden="1">"c8434"</definedName>
    <definedName name="IQ_INDEX_LEADING_IND_FC" hidden="1">"c7774"</definedName>
    <definedName name="IQ_INDEX_LEADING_IND_POP" hidden="1">"c7114"</definedName>
    <definedName name="IQ_INDEX_LEADING_IND_POP_FC" hidden="1">"c7994"</definedName>
    <definedName name="IQ_INDEX_LEADING_IND_YOY" hidden="1">"c7334"</definedName>
    <definedName name="IQ_INDEX_LEADING_IND_YOY_FC" hidden="1">"c8214"</definedName>
    <definedName name="IQ_INDICATED_ATTRIB_ORE_RESOURCES_ALUM" hidden="1">"c9238"</definedName>
    <definedName name="IQ_INDICATED_ATTRIB_ORE_RESOURCES_COP" hidden="1">"c9182"</definedName>
    <definedName name="IQ_INDICATED_ATTRIB_ORE_RESOURCES_DIAM" hidden="1">"c9662"</definedName>
    <definedName name="IQ_INDICATED_ATTRIB_ORE_RESOURCES_GOLD" hidden="1">"c9023"</definedName>
    <definedName name="IQ_INDICATED_ATTRIB_ORE_RESOURCES_IRON" hidden="1">"c9397"</definedName>
    <definedName name="IQ_INDICATED_ATTRIB_ORE_RESOURCES_LEAD" hidden="1">"c9450"</definedName>
    <definedName name="IQ_INDICATED_ATTRIB_ORE_RESOURCES_MANG" hidden="1">"c9503"</definedName>
    <definedName name="IQ_INDICATED_ATTRIB_ORE_RESOURCES_MOLYB" hidden="1">"c9715"</definedName>
    <definedName name="IQ_INDICATED_ATTRIB_ORE_RESOURCES_NICK" hidden="1">"c9291"</definedName>
    <definedName name="IQ_INDICATED_ATTRIB_ORE_RESOURCES_PLAT" hidden="1">"c9129"</definedName>
    <definedName name="IQ_INDICATED_ATTRIB_ORE_RESOURCES_SILVER" hidden="1">"c9076"</definedName>
    <definedName name="IQ_INDICATED_ATTRIB_ORE_RESOURCES_TITAN" hidden="1">"c9556"</definedName>
    <definedName name="IQ_INDICATED_ATTRIB_ORE_RESOURCES_URAN" hidden="1">"c9609"</definedName>
    <definedName name="IQ_INDICATED_ATTRIB_ORE_RESOURCES_ZINC" hidden="1">"c9344"</definedName>
    <definedName name="IQ_INDICATED_ORE_RESOURCES_ALUM" hidden="1">"c9224"</definedName>
    <definedName name="IQ_INDICATED_ORE_RESOURCES_COP" hidden="1">"c9168"</definedName>
    <definedName name="IQ_INDICATED_ORE_RESOURCES_DIAM" hidden="1">"c9648"</definedName>
    <definedName name="IQ_INDICATED_ORE_RESOURCES_GOLD" hidden="1">"c9009"</definedName>
    <definedName name="IQ_INDICATED_ORE_RESOURCES_IRON" hidden="1">"c9383"</definedName>
    <definedName name="IQ_INDICATED_ORE_RESOURCES_LEAD" hidden="1">"c9436"</definedName>
    <definedName name="IQ_INDICATED_ORE_RESOURCES_MANG" hidden="1">"c9489"</definedName>
    <definedName name="IQ_INDICATED_ORE_RESOURCES_MOLYB" hidden="1">"c9701"</definedName>
    <definedName name="IQ_INDICATED_ORE_RESOURCES_NICK" hidden="1">"c9277"</definedName>
    <definedName name="IQ_INDICATED_ORE_RESOURCES_PLAT" hidden="1">"c9115"</definedName>
    <definedName name="IQ_INDICATED_ORE_RESOURCES_SILVER" hidden="1">"c9062"</definedName>
    <definedName name="IQ_INDICATED_ORE_RESOURCES_TITAN" hidden="1">"c9542"</definedName>
    <definedName name="IQ_INDICATED_ORE_RESOURCES_URAN" hidden="1">"c9595"</definedName>
    <definedName name="IQ_INDICATED_ORE_RESOURCES_ZINC" hidden="1">"c9330"</definedName>
    <definedName name="IQ_INDICATED_RECOV_ATTRIB_RESOURCES_ALUM" hidden="1">"c9243"</definedName>
    <definedName name="IQ_INDICATED_RECOV_ATTRIB_RESOURCES_COAL" hidden="1">"c9817"</definedName>
    <definedName name="IQ_INDICATED_RECOV_ATTRIB_RESOURCES_COP" hidden="1">"c9187"</definedName>
    <definedName name="IQ_INDICATED_RECOV_ATTRIB_RESOURCES_DIAM" hidden="1">"c9667"</definedName>
    <definedName name="IQ_INDICATED_RECOV_ATTRIB_RESOURCES_GOLD" hidden="1">"c9028"</definedName>
    <definedName name="IQ_INDICATED_RECOV_ATTRIB_RESOURCES_IRON" hidden="1">"c9402"</definedName>
    <definedName name="IQ_INDICATED_RECOV_ATTRIB_RESOURCES_LEAD" hidden="1">"c9455"</definedName>
    <definedName name="IQ_INDICATED_RECOV_ATTRIB_RESOURCES_MANG" hidden="1">"c9508"</definedName>
    <definedName name="IQ_INDICATED_RECOV_ATTRIB_RESOURCES_MET_COAL" hidden="1">"c9757"</definedName>
    <definedName name="IQ_INDICATED_RECOV_ATTRIB_RESOURCES_MOLYB" hidden="1">"c9720"</definedName>
    <definedName name="IQ_INDICATED_RECOV_ATTRIB_RESOURCES_NICK" hidden="1">"c9296"</definedName>
    <definedName name="IQ_INDICATED_RECOV_ATTRIB_RESOURCES_PLAT" hidden="1">"c9134"</definedName>
    <definedName name="IQ_INDICATED_RECOV_ATTRIB_RESOURCES_SILVER" hidden="1">"c9081"</definedName>
    <definedName name="IQ_INDICATED_RECOV_ATTRIB_RESOURCES_STEAM" hidden="1">"c9787"</definedName>
    <definedName name="IQ_INDICATED_RECOV_ATTRIB_RESOURCES_TITAN" hidden="1">"c9561"</definedName>
    <definedName name="IQ_INDICATED_RECOV_ATTRIB_RESOURCES_URAN" hidden="1">"c9614"</definedName>
    <definedName name="IQ_INDICATED_RECOV_ATTRIB_RESOURCES_ZINC" hidden="1">"c9349"</definedName>
    <definedName name="IQ_INDICATED_RECOV_RESOURCES_ALUM" hidden="1">"c9233"</definedName>
    <definedName name="IQ_INDICATED_RECOV_RESOURCES_COAL" hidden="1">"c9812"</definedName>
    <definedName name="IQ_INDICATED_RECOV_RESOURCES_COP" hidden="1">"c9177"</definedName>
    <definedName name="IQ_INDICATED_RECOV_RESOURCES_DIAM" hidden="1">"c9657"</definedName>
    <definedName name="IQ_INDICATED_RECOV_RESOURCES_GOLD" hidden="1">"c9018"</definedName>
    <definedName name="IQ_INDICATED_RECOV_RESOURCES_IRON" hidden="1">"c9392"</definedName>
    <definedName name="IQ_INDICATED_RECOV_RESOURCES_LEAD" hidden="1">"c9445"</definedName>
    <definedName name="IQ_INDICATED_RECOV_RESOURCES_MANG" hidden="1">"c9498"</definedName>
    <definedName name="IQ_INDICATED_RECOV_RESOURCES_MET_COAL" hidden="1">"c9752"</definedName>
    <definedName name="IQ_INDICATED_RECOV_RESOURCES_MOLYB" hidden="1">"c9710"</definedName>
    <definedName name="IQ_INDICATED_RECOV_RESOURCES_NICK" hidden="1">"c9286"</definedName>
    <definedName name="IQ_INDICATED_RECOV_RESOURCES_PLAT" hidden="1">"c9124"</definedName>
    <definedName name="IQ_INDICATED_RECOV_RESOURCES_SILVER" hidden="1">"c9071"</definedName>
    <definedName name="IQ_INDICATED_RECOV_RESOURCES_STEAM" hidden="1">"c9782"</definedName>
    <definedName name="IQ_INDICATED_RECOV_RESOURCES_TITAN" hidden="1">"c9551"</definedName>
    <definedName name="IQ_INDICATED_RECOV_RESOURCES_URAN" hidden="1">"c9604"</definedName>
    <definedName name="IQ_INDICATED_RECOV_RESOURCES_ZINC" hidden="1">"c9339"</definedName>
    <definedName name="IQ_INDICATED_RESOURCES_CALORIFIC_VALUE_COAL" hidden="1">"c9807"</definedName>
    <definedName name="IQ_INDICATED_RESOURCES_CALORIFIC_VALUE_MET_COAL" hidden="1">"c9747"</definedName>
    <definedName name="IQ_INDICATED_RESOURCES_CALORIFIC_VALUE_STEAM" hidden="1">"c9777"</definedName>
    <definedName name="IQ_INDICATED_RESOURCES_GRADE_ALUM" hidden="1">"c9225"</definedName>
    <definedName name="IQ_INDICATED_RESOURCES_GRADE_COP" hidden="1">"c9169"</definedName>
    <definedName name="IQ_INDICATED_RESOURCES_GRADE_DIAM" hidden="1">"c9649"</definedName>
    <definedName name="IQ_INDICATED_RESOURCES_GRADE_GOLD" hidden="1">"c9010"</definedName>
    <definedName name="IQ_INDICATED_RESOURCES_GRADE_IRON" hidden="1">"c9384"</definedName>
    <definedName name="IQ_INDICATED_RESOURCES_GRADE_LEAD" hidden="1">"c9437"</definedName>
    <definedName name="IQ_INDICATED_RESOURCES_GRADE_MANG" hidden="1">"c9490"</definedName>
    <definedName name="IQ_INDICATED_RESOURCES_GRADE_MOLYB" hidden="1">"c9702"</definedName>
    <definedName name="IQ_INDICATED_RESOURCES_GRADE_NICK" hidden="1">"c9278"</definedName>
    <definedName name="IQ_INDICATED_RESOURCES_GRADE_PLAT" hidden="1">"c9116"</definedName>
    <definedName name="IQ_INDICATED_RESOURCES_GRADE_SILVER" hidden="1">"c9063"</definedName>
    <definedName name="IQ_INDICATED_RESOURCES_GRADE_TITAN" hidden="1">"c9543"</definedName>
    <definedName name="IQ_INDICATED_RESOURCES_GRADE_URAN" hidden="1">"c9596"</definedName>
    <definedName name="IQ_INDICATED_RESOURCES_GRADE_ZINC" hidden="1">"c9331"</definedName>
    <definedName name="IQ_INDIVIDUALS_CHARGE_OFFS_FDIC" hidden="1">"c6599"</definedName>
    <definedName name="IQ_INDIVIDUALS_LOANS_FDIC" hidden="1">"c6318"</definedName>
    <definedName name="IQ_INDIVIDUALS_NET_CHARGE_OFFS_FDIC" hidden="1">"c6637"</definedName>
    <definedName name="IQ_INDIVIDUALS_OTHER_LOANS_FDIC" hidden="1">"c6321"</definedName>
    <definedName name="IQ_INDIVIDUALS_PARTNERSHIPS_CORP_DEPOSITS_FOREIGN_FDIC" hidden="1">"c6479"</definedName>
    <definedName name="IQ_INDIVIDUALS_PARTNERSHIPS_CORP_NONTRANSACTION_ACCOUNTS_FDIC" hidden="1">"c6545"</definedName>
    <definedName name="IQ_INDIVIDUALS_PARTNERSHIPS_CORP_TOTAL_DEPOSITS_FDIC" hidden="1">"c6471"</definedName>
    <definedName name="IQ_INDIVIDUALS_PARTNERSHIPS_CORP_TRANSACTION_ACCOUNTS_FDIC" hidden="1">"c6537"</definedName>
    <definedName name="IQ_INDIVIDUALS_RECOVERIES_FDIC" hidden="1">"c6618"</definedName>
    <definedName name="IQ_INDUSTRIAL_PROD" hidden="1">"c6895"</definedName>
    <definedName name="IQ_INDUSTRIAL_PROD_APR" hidden="1">"c7555"</definedName>
    <definedName name="IQ_INDUSTRIAL_PROD_APR_FC" hidden="1">"c8435"</definedName>
    <definedName name="IQ_INDUSTRIAL_PROD_FC" hidden="1">"c7775"</definedName>
    <definedName name="IQ_INDUSTRIAL_PROD_POP" hidden="1">"c7115"</definedName>
    <definedName name="IQ_INDUSTRIAL_PROD_POP_FC" hidden="1">"c7995"</definedName>
    <definedName name="IQ_INDUSTRIAL_PROD_YOY" hidden="1">"c7335"</definedName>
    <definedName name="IQ_INDUSTRIAL_PROD_YOY_FC" hidden="1">"c8215"</definedName>
    <definedName name="IQ_INDUSTRY" hidden="1">"c3601"</definedName>
    <definedName name="IQ_INDUSTRY_GROUP" hidden="1">"c3602"</definedName>
    <definedName name="IQ_INDUSTRY_SECTOR" hidden="1">"c3603"</definedName>
    <definedName name="IQ_INFERRED_ATTRIB_ORE_RESOURCES_ALUM" hidden="1">"c9240"</definedName>
    <definedName name="IQ_INFERRED_ATTRIB_ORE_RESOURCES_COP" hidden="1">"c9184"</definedName>
    <definedName name="IQ_INFERRED_ATTRIB_ORE_RESOURCES_DIAM" hidden="1">"c9664"</definedName>
    <definedName name="IQ_INFERRED_ATTRIB_ORE_RESOURCES_GOLD" hidden="1">"c9025"</definedName>
    <definedName name="IQ_INFERRED_ATTRIB_ORE_RESOURCES_IRON" hidden="1">"c9399"</definedName>
    <definedName name="IQ_INFERRED_ATTRIB_ORE_RESOURCES_LEAD" hidden="1">"c9452"</definedName>
    <definedName name="IQ_INFERRED_ATTRIB_ORE_RESOURCES_MANG" hidden="1">"c9505"</definedName>
    <definedName name="IQ_INFERRED_ATTRIB_ORE_RESOURCES_MOLYB" hidden="1">"c9717"</definedName>
    <definedName name="IQ_INFERRED_ATTRIB_ORE_RESOURCES_NICK" hidden="1">"c9293"</definedName>
    <definedName name="IQ_INFERRED_ATTRIB_ORE_RESOURCES_PLAT" hidden="1">"c9131"</definedName>
    <definedName name="IQ_INFERRED_ATTRIB_ORE_RESOURCES_SILVER" hidden="1">"c9078"</definedName>
    <definedName name="IQ_INFERRED_ATTRIB_ORE_RESOURCES_TITAN" hidden="1">"c9558"</definedName>
    <definedName name="IQ_INFERRED_ATTRIB_ORE_RESOURCES_URAN" hidden="1">"c9611"</definedName>
    <definedName name="IQ_INFERRED_ATTRIB_ORE_RESOURCES_ZINC" hidden="1">"c9346"</definedName>
    <definedName name="IQ_INFERRED_ORE_RESOURCES_ALUM" hidden="1">"c9228"</definedName>
    <definedName name="IQ_INFERRED_ORE_RESOURCES_COP" hidden="1">"c9172"</definedName>
    <definedName name="IQ_INFERRED_ORE_RESOURCES_DIAM" hidden="1">"c9652"</definedName>
    <definedName name="IQ_INFERRED_ORE_RESOURCES_GOLD" hidden="1">"c9013"</definedName>
    <definedName name="IQ_INFERRED_ORE_RESOURCES_IRON" hidden="1">"c9387"</definedName>
    <definedName name="IQ_INFERRED_ORE_RESOURCES_LEAD" hidden="1">"c9440"</definedName>
    <definedName name="IQ_INFERRED_ORE_RESOURCES_MANG" hidden="1">"c9493"</definedName>
    <definedName name="IQ_INFERRED_ORE_RESOURCES_MOLYB" hidden="1">"c9705"</definedName>
    <definedName name="IQ_INFERRED_ORE_RESOURCES_NICK" hidden="1">"c9281"</definedName>
    <definedName name="IQ_INFERRED_ORE_RESOURCES_PLAT" hidden="1">"c9119"</definedName>
    <definedName name="IQ_INFERRED_ORE_RESOURCES_SILVER" hidden="1">"c9066"</definedName>
    <definedName name="IQ_INFERRED_ORE_RESOURCES_TITAN" hidden="1">"c9546"</definedName>
    <definedName name="IQ_INFERRED_ORE_RESOURCES_URAN" hidden="1">"c9599"</definedName>
    <definedName name="IQ_INFERRED_ORE_RESOURCES_ZINC" hidden="1">"c9334"</definedName>
    <definedName name="IQ_INFERRED_RECOV_ATTRIB_RESOURCES_ALUM" hidden="1">"c9245"</definedName>
    <definedName name="IQ_INFERRED_RECOV_ATTRIB_RESOURCES_COAL" hidden="1">"c9819"</definedName>
    <definedName name="IQ_INFERRED_RECOV_ATTRIB_RESOURCES_COP" hidden="1">"c9189"</definedName>
    <definedName name="IQ_INFERRED_RECOV_ATTRIB_RESOURCES_DIAM" hidden="1">"c9669"</definedName>
    <definedName name="IQ_INFERRED_RECOV_ATTRIB_RESOURCES_GOLD" hidden="1">"c9030"</definedName>
    <definedName name="IQ_INFERRED_RECOV_ATTRIB_RESOURCES_IRON" hidden="1">"c9404"</definedName>
    <definedName name="IQ_INFERRED_RECOV_ATTRIB_RESOURCES_LEAD" hidden="1">"c9457"</definedName>
    <definedName name="IQ_INFERRED_RECOV_ATTRIB_RESOURCES_MANG" hidden="1">"c9510"</definedName>
    <definedName name="IQ_INFERRED_RECOV_ATTRIB_RESOURCES_MET_COAL" hidden="1">"c9759"</definedName>
    <definedName name="IQ_INFERRED_RECOV_ATTRIB_RESOURCES_MOLYB" hidden="1">"c9722"</definedName>
    <definedName name="IQ_INFERRED_RECOV_ATTRIB_RESOURCES_NICK" hidden="1">"c9298"</definedName>
    <definedName name="IQ_INFERRED_RECOV_ATTRIB_RESOURCES_PLAT" hidden="1">"c9136"</definedName>
    <definedName name="IQ_INFERRED_RECOV_ATTRIB_RESOURCES_SILVER" hidden="1">"c9083"</definedName>
    <definedName name="IQ_INFERRED_RECOV_ATTRIB_RESOURCES_STEAM" hidden="1">"c9789"</definedName>
    <definedName name="IQ_INFERRED_RECOV_ATTRIB_RESOURCES_TITAN" hidden="1">"c9563"</definedName>
    <definedName name="IQ_INFERRED_RECOV_ATTRIB_RESOURCES_URAN" hidden="1">"c9616"</definedName>
    <definedName name="IQ_INFERRED_RECOV_ATTRIB_RESOURCES_ZINC" hidden="1">"c9351"</definedName>
    <definedName name="IQ_INFERRED_RECOV_RESOURCES_ALUM" hidden="1">"c9235"</definedName>
    <definedName name="IQ_INFERRED_RECOV_RESOURCES_COAL" hidden="1">"c9814"</definedName>
    <definedName name="IQ_INFERRED_RECOV_RESOURCES_COP" hidden="1">"c9179"</definedName>
    <definedName name="IQ_INFERRED_RECOV_RESOURCES_DIAM" hidden="1">"c9659"</definedName>
    <definedName name="IQ_INFERRED_RECOV_RESOURCES_GOLD" hidden="1">"c9020"</definedName>
    <definedName name="IQ_INFERRED_RECOV_RESOURCES_IRON" hidden="1">"c9394"</definedName>
    <definedName name="IQ_INFERRED_RECOV_RESOURCES_LEAD" hidden="1">"c9447"</definedName>
    <definedName name="IQ_INFERRED_RECOV_RESOURCES_MANG" hidden="1">"c9500"</definedName>
    <definedName name="IQ_INFERRED_RECOV_RESOURCES_MET_COAL" hidden="1">"c9754"</definedName>
    <definedName name="IQ_INFERRED_RECOV_RESOURCES_MOLYB" hidden="1">"c9712"</definedName>
    <definedName name="IQ_INFERRED_RECOV_RESOURCES_NICK" hidden="1">"c9288"</definedName>
    <definedName name="IQ_INFERRED_RECOV_RESOURCES_PLAT" hidden="1">"c9126"</definedName>
    <definedName name="IQ_INFERRED_RECOV_RESOURCES_SILVER" hidden="1">"c9073"</definedName>
    <definedName name="IQ_INFERRED_RECOV_RESOURCES_STEAM" hidden="1">"c9784"</definedName>
    <definedName name="IQ_INFERRED_RECOV_RESOURCES_TITAN" hidden="1">"c9553"</definedName>
    <definedName name="IQ_INFERRED_RECOV_RESOURCES_URAN" hidden="1">"c9606"</definedName>
    <definedName name="IQ_INFERRED_RECOV_RESOURCES_ZINC" hidden="1">"c9341"</definedName>
    <definedName name="IQ_INFERRED_RESOURCES_CALORIFIC_VALUE_COAL" hidden="1">"c9809"</definedName>
    <definedName name="IQ_INFERRED_RESOURCES_CALORIFIC_VALUE_MET_COAL" hidden="1">"c9749"</definedName>
    <definedName name="IQ_INFERRED_RESOURCES_CALORIFIC_VALUE_STEAM" hidden="1">"c9779"</definedName>
    <definedName name="IQ_INFERRED_RESOURCES_GRADE_ALUM" hidden="1">"c9229"</definedName>
    <definedName name="IQ_INFERRED_RESOURCES_GRADE_COP" hidden="1">"c9173"</definedName>
    <definedName name="IQ_INFERRED_RESOURCES_GRADE_DIAM" hidden="1">"c9653"</definedName>
    <definedName name="IQ_INFERRED_RESOURCES_GRADE_GOLD" hidden="1">"c9014"</definedName>
    <definedName name="IQ_INFERRED_RESOURCES_GRADE_IRON" hidden="1">"c9388"</definedName>
    <definedName name="IQ_INFERRED_RESOURCES_GRADE_LEAD" hidden="1">"c9441"</definedName>
    <definedName name="IQ_INFERRED_RESOURCES_GRADE_MANG" hidden="1">"c9494"</definedName>
    <definedName name="IQ_INFERRED_RESOURCES_GRADE_MOLYB" hidden="1">"c9706"</definedName>
    <definedName name="IQ_INFERRED_RESOURCES_GRADE_NICK" hidden="1">"c9282"</definedName>
    <definedName name="IQ_INFERRED_RESOURCES_GRADE_PLAT" hidden="1">"c9120"</definedName>
    <definedName name="IQ_INFERRED_RESOURCES_GRADE_SILVER" hidden="1">"c9067"</definedName>
    <definedName name="IQ_INFERRED_RESOURCES_GRADE_TITAN" hidden="1">"c9547"</definedName>
    <definedName name="IQ_INFERRED_RESOURCES_GRADE_URAN" hidden="1">"c9600"</definedName>
    <definedName name="IQ_INFERRED_RESOURCES_GRADE_ZINC" hidden="1">"c9335"</definedName>
    <definedName name="IQ_INFLATION_RATE" hidden="1">"c6899"</definedName>
    <definedName name="IQ_INFLATION_RATE_CORE" hidden="1">"c11783"</definedName>
    <definedName name="IQ_INFLATION_RATE_CORE_POP" hidden="1">"c11784"</definedName>
    <definedName name="IQ_INFLATION_RATE_CORE_YOY" hidden="1">"c11785"</definedName>
    <definedName name="IQ_INFLATION_RATE_FC" hidden="1">"c7779"</definedName>
    <definedName name="IQ_INFLATION_RATE_POP" hidden="1">"c7119"</definedName>
    <definedName name="IQ_INFLATION_RATE_POP_FC" hidden="1">"c7999"</definedName>
    <definedName name="IQ_INFLATION_RATE_YOY" hidden="1">"c7339"</definedName>
    <definedName name="IQ_INFLATION_RATE_YOY_FC" hidden="1">"c8219"</definedName>
    <definedName name="IQ_INITIAL_CLAIMS" hidden="1">"c6900"</definedName>
    <definedName name="IQ_INITIAL_CLAIMS_APR" hidden="1">"c7560"</definedName>
    <definedName name="IQ_INITIAL_CLAIMS_APR_FC" hidden="1">"c8440"</definedName>
    <definedName name="IQ_INITIAL_CLAIMS_FC" hidden="1">"c7780"</definedName>
    <definedName name="IQ_INITIAL_CLAIMS_POP" hidden="1">"c7120"</definedName>
    <definedName name="IQ_INITIAL_CLAIMS_POP_FC" hidden="1">"c8000"</definedName>
    <definedName name="IQ_INS_ANNUITY_LIAB" hidden="1">"c563"</definedName>
    <definedName name="IQ_INS_ANNUITY_REV" hidden="1">"c2788"</definedName>
    <definedName name="IQ_INS_DIV_EXP" hidden="1">"c564"</definedName>
    <definedName name="IQ_INS_DIV_REV" hidden="1">"c565"</definedName>
    <definedName name="IQ_INS_IN_FORCE" hidden="1">"c566"</definedName>
    <definedName name="IQ_INS_LIAB" hidden="1">"c567"</definedName>
    <definedName name="IQ_INS_POLICY_EXP" hidden="1">"c568"</definedName>
    <definedName name="IQ_INS_REV" hidden="1">"c569"</definedName>
    <definedName name="IQ_INS_SETTLE" hidden="1">"c570"</definedName>
    <definedName name="IQ_INS_SETTLE_BNK" hidden="1">"c571"</definedName>
    <definedName name="IQ_INS_SETTLE_BR" hidden="1">"c572"</definedName>
    <definedName name="IQ_INS_SETTLE_FIN" hidden="1">"c573"</definedName>
    <definedName name="IQ_INS_SETTLE_INS" hidden="1">"c574"</definedName>
    <definedName name="IQ_INS_SETTLE_RE" hidden="1">"c6223"</definedName>
    <definedName name="IQ_INS_SETTLE_REIT" hidden="1">"c575"</definedName>
    <definedName name="IQ_INS_SETTLE_UTI" hidden="1">"c576"</definedName>
    <definedName name="IQ_INSIDER_3MTH_BOUGHT_PCT" hidden="1">"c1534"</definedName>
    <definedName name="IQ_INSIDER_3MTH_NET_PCT" hidden="1">"c1535"</definedName>
    <definedName name="IQ_INSIDER_3MTH_SOLD_PCT" hidden="1">"c1533"</definedName>
    <definedName name="IQ_INSIDER_6MTH_BOUGHT_PCT" hidden="1">"c1537"</definedName>
    <definedName name="IQ_INSIDER_6MTH_NET_PCT" hidden="1">"c1538"</definedName>
    <definedName name="IQ_INSIDER_6MTH_SOLD_PCT" hidden="1">"c1536"</definedName>
    <definedName name="IQ_INSIDER_LOANS_FDIC" hidden="1">"c6365"</definedName>
    <definedName name="IQ_INSIDER_OVER_TOTAL" hidden="1">"c1581"</definedName>
    <definedName name="IQ_INSIDER_OWNER" hidden="1">"c577"</definedName>
    <definedName name="IQ_INSIDER_PERCENT" hidden="1">"c578"</definedName>
    <definedName name="IQ_INSIDER_SHARES" hidden="1">"c579"</definedName>
    <definedName name="IQ_INST_DEPOSITS" hidden="1">"c89"</definedName>
    <definedName name="IQ_INSTITUTIONAL_OVER_TOTAL" hidden="1">"c1580"</definedName>
    <definedName name="IQ_INSTITUTIONAL_OWNER" hidden="1">"c580"</definedName>
    <definedName name="IQ_INSTITUTIONAL_PERCENT" hidden="1">"c581"</definedName>
    <definedName name="IQ_INSTITUTIONAL_SHARES" hidden="1">"c582"</definedName>
    <definedName name="IQ_INSTITUTIONS_EARNINGS_GAINS_FDIC" hidden="1">"c6723"</definedName>
    <definedName name="IQ_INSUR_RECEIV" hidden="1">"c1600"</definedName>
    <definedName name="IQ_INSURANCE_COMMISSION_FEES_FDIC" hidden="1">"c6670"</definedName>
    <definedName name="IQ_INSURANCE_UNDERWRITING_INCOME_FDIC" hidden="1">"c6671"</definedName>
    <definedName name="IQ_INT_BEARING_DEPOSITS" hidden="1">"c1166"</definedName>
    <definedName name="IQ_INT_BORROW" hidden="1">"c583"</definedName>
    <definedName name="IQ_INT_DEMAND_NOTES_FDIC" hidden="1">"c6567"</definedName>
    <definedName name="IQ_INT_DEPOSITS" hidden="1">"c584"</definedName>
    <definedName name="IQ_INT_DIV_INC" hidden="1">"c585"</definedName>
    <definedName name="IQ_INT_DOMESTIC_DEPOSITS_FDIC" hidden="1">"c6564"</definedName>
    <definedName name="IQ_INT_EXP_BR" hidden="1">"c586"</definedName>
    <definedName name="IQ_INT_EXP_COVERAGE" hidden="1">"c587"</definedName>
    <definedName name="IQ_INT_EXP_FIN" hidden="1">"c588"</definedName>
    <definedName name="IQ_INT_EXP_INCL_CAP" hidden="1">"c2988"</definedName>
    <definedName name="IQ_INT_EXP_INS" hidden="1">"c589"</definedName>
    <definedName name="IQ_INT_EXP_LTD" hidden="1">"c2086"</definedName>
    <definedName name="IQ_INT_EXP_RE" hidden="1">"c6224"</definedName>
    <definedName name="IQ_INT_EXP_REIT" hidden="1">"c590"</definedName>
    <definedName name="IQ_INT_EXP_TOTAL" hidden="1">"c591"</definedName>
    <definedName name="IQ_INT_EXP_TOTAL_BNK_SUBTOTAL_AP" hidden="1">"c8977"</definedName>
    <definedName name="IQ_INT_EXP_TOTAL_FDIC" hidden="1">"c6569"</definedName>
    <definedName name="IQ_INT_EXP_UTI" hidden="1">"c592"</definedName>
    <definedName name="IQ_INT_FED_FUNDS_FDIC" hidden="1">"c6566"</definedName>
    <definedName name="IQ_INT_FOREIGN_DEPOSITS_FDIC" hidden="1">"c6565"</definedName>
    <definedName name="IQ_INT_INC_BR" hidden="1">"c593"</definedName>
    <definedName name="IQ_INT_INC_DEPOSITORY_INST_FDIC" hidden="1">"c6558"</definedName>
    <definedName name="IQ_INT_INC_DOM_LOANS_FDIC" hidden="1">"c6555"</definedName>
    <definedName name="IQ_INT_INC_FED_FUNDS_FDIC" hidden="1">"c6561"</definedName>
    <definedName name="IQ_INT_INC_FIN" hidden="1">"c594"</definedName>
    <definedName name="IQ_INT_INC_FOREIGN_LOANS_FDIC" hidden="1">"c6556"</definedName>
    <definedName name="IQ_INT_INC_INVEST" hidden="1">"c595"</definedName>
    <definedName name="IQ_INT_INC_LEASE_RECEIVABLES_FDIC" hidden="1">"c6557"</definedName>
    <definedName name="IQ_INT_INC_LOANS" hidden="1">"c596"</definedName>
    <definedName name="IQ_INT_INC_OTHER_FDIC" hidden="1">"c6562"</definedName>
    <definedName name="IQ_INT_INC_RE" hidden="1">"c6225"</definedName>
    <definedName name="IQ_INT_INC_REIT" hidden="1">"c597"</definedName>
    <definedName name="IQ_INT_INC_SECURITIES_FDIC" hidden="1">"c6559"</definedName>
    <definedName name="IQ_INT_INC_TOTAL" hidden="1">"c598"</definedName>
    <definedName name="IQ_INT_INC_TOTAL_BNK_SUBTOTAL_AP" hidden="1">"c8976"</definedName>
    <definedName name="IQ_INT_INC_TOTAL_FDIC" hidden="1">"c6563"</definedName>
    <definedName name="IQ_INT_INC_TRADING_ACCOUNTS_FDIC" hidden="1">"c6560"</definedName>
    <definedName name="IQ_INT_INC_UTI" hidden="1">"c599"</definedName>
    <definedName name="IQ_INT_INV_INC" hidden="1">"c600"</definedName>
    <definedName name="IQ_INT_INV_INC_RE" hidden="1">"c6226"</definedName>
    <definedName name="IQ_INT_INV_INC_REIT" hidden="1">"c601"</definedName>
    <definedName name="IQ_INT_INV_INC_UTI" hidden="1">"c602"</definedName>
    <definedName name="IQ_INT_ON_BORROWING_COVERAGE" hidden="1">"c603"</definedName>
    <definedName name="IQ_INT_RATE_SPREAD" hidden="1">"c604"</definedName>
    <definedName name="IQ_INT_SUB_NOTES_FDIC" hidden="1">"c6568"</definedName>
    <definedName name="IQ_INTANGIBLES_NET" hidden="1">"c1407"</definedName>
    <definedName name="IQ_INTEREST_BEARING_BALANCES_FDIC" hidden="1">"c6371"</definedName>
    <definedName name="IQ_INTEREST_BEARING_DEPOSITS_DOMESTIC_FDIC" hidden="1">"c6478"</definedName>
    <definedName name="IQ_INTEREST_BEARING_DEPOSITS_FDIC" hidden="1">"c6373"</definedName>
    <definedName name="IQ_INTEREST_BEARING_DEPOSITS_FOREIGN_FDIC" hidden="1">"c6485"</definedName>
    <definedName name="IQ_INTEREST_CASH_DEPOSITS" hidden="1">"c2255"</definedName>
    <definedName name="IQ_INTEREST_EXP" hidden="1">"c618"</definedName>
    <definedName name="IQ_INTEREST_EXP_NET" hidden="1">"c1450"</definedName>
    <definedName name="IQ_INTEREST_EXP_NON" hidden="1">"c1383"</definedName>
    <definedName name="IQ_INTEREST_EXP_SUPPL" hidden="1">"c1460"</definedName>
    <definedName name="IQ_INTEREST_INC" hidden="1">"c1393"</definedName>
    <definedName name="IQ_INTEREST_INC_NON" hidden="1">"c1384"</definedName>
    <definedName name="IQ_INTEREST_INVEST_INC" hidden="1">"c619"</definedName>
    <definedName name="IQ_INTEREST_RATE_CONTRACTS_FDIC" hidden="1">"c6512"</definedName>
    <definedName name="IQ_INTEREST_RATE_EXPOSURES_FDIC" hidden="1">"c6662"</definedName>
    <definedName name="IQ_INV_10YR_ANN_CAGR" hidden="1">"c6164"</definedName>
    <definedName name="IQ_INV_10YR_ANN_GROWTH" hidden="1">"c1930"</definedName>
    <definedName name="IQ_INV_1YR_ANN_GROWTH" hidden="1">"c1925"</definedName>
    <definedName name="IQ_INV_2YR_ANN_CAGR" hidden="1">"c6160"</definedName>
    <definedName name="IQ_INV_2YR_ANN_GROWTH" hidden="1">"c1926"</definedName>
    <definedName name="IQ_INV_3YR_ANN_CAGR" hidden="1">"c6161"</definedName>
    <definedName name="IQ_INV_3YR_ANN_GROWTH" hidden="1">"c1927"</definedName>
    <definedName name="IQ_INV_5YR_ANN_CAGR" hidden="1">"c6162"</definedName>
    <definedName name="IQ_INV_5YR_ANN_GROWTH" hidden="1">"c1928"</definedName>
    <definedName name="IQ_INV_7YR_ANN_CAGR" hidden="1">"c6163"</definedName>
    <definedName name="IQ_INV_7YR_ANN_GROWTH" hidden="1">"c1929"</definedName>
    <definedName name="IQ_INV_BANKING_FEE" hidden="1">"c620"</definedName>
    <definedName name="IQ_INV_METHOD" hidden="1">"c621"</definedName>
    <definedName name="IQ_INVENTORIES" hidden="1">"c6901"</definedName>
    <definedName name="IQ_INVENTORIES_APR" hidden="1">"c7561"</definedName>
    <definedName name="IQ_INVENTORIES_APR_FC" hidden="1">"c8441"</definedName>
    <definedName name="IQ_INVENTORIES_FC" hidden="1">"c7781"</definedName>
    <definedName name="IQ_INVENTORIES_POP" hidden="1">"c7121"</definedName>
    <definedName name="IQ_INVENTORIES_POP_FC" hidden="1">"c8001"</definedName>
    <definedName name="IQ_INVENTORIES_YOY" hidden="1">"c7341"</definedName>
    <definedName name="IQ_INVENTORIES_YOY_FC" hidden="1">"c8221"</definedName>
    <definedName name="IQ_INVENTORY" hidden="1">"c622"</definedName>
    <definedName name="IQ_INVENTORY_TURNS" hidden="1">"c623"</definedName>
    <definedName name="IQ_INVENTORY_UTI" hidden="1">"c624"</definedName>
    <definedName name="IQ_INVEST_DEBT" hidden="1">"c625"</definedName>
    <definedName name="IQ_INVEST_EQUITY_PREF" hidden="1">"c626"</definedName>
    <definedName name="IQ_INVEST_FHLB" hidden="1">"c627"</definedName>
    <definedName name="IQ_INVEST_GOV_SECURITY" hidden="1">"c5510"</definedName>
    <definedName name="IQ_INVEST_LOANS_CF" hidden="1">"c628"</definedName>
    <definedName name="IQ_INVEST_LOANS_CF_BNK" hidden="1">"c629"</definedName>
    <definedName name="IQ_INVEST_LOANS_CF_BR" hidden="1">"c630"</definedName>
    <definedName name="IQ_INVEST_LOANS_CF_FIN" hidden="1">"c631"</definedName>
    <definedName name="IQ_INVEST_LOANS_CF_INS" hidden="1">"c632"</definedName>
    <definedName name="IQ_INVEST_LOANS_CF_RE" hidden="1">"c6227"</definedName>
    <definedName name="IQ_INVEST_LOANS_CF_REIT" hidden="1">"c633"</definedName>
    <definedName name="IQ_INVEST_LOANS_CF_UTI" hidden="1">"c634"</definedName>
    <definedName name="IQ_INVEST_MUNI_SECURITY" hidden="1">"c5512"</definedName>
    <definedName name="IQ_INVEST_REAL_ESTATE" hidden="1">"c635"</definedName>
    <definedName name="IQ_INVEST_SECURITY" hidden="1">"c636"</definedName>
    <definedName name="IQ_INVEST_SECURITY_CF" hidden="1">"c637"</definedName>
    <definedName name="IQ_INVEST_SECURITY_CF_BNK" hidden="1">"c638"</definedName>
    <definedName name="IQ_INVEST_SECURITY_CF_BR" hidden="1">"c639"</definedName>
    <definedName name="IQ_INVEST_SECURITY_CF_FIN" hidden="1">"c640"</definedName>
    <definedName name="IQ_INVEST_SECURITY_CF_INS" hidden="1">"c641"</definedName>
    <definedName name="IQ_INVEST_SECURITY_CF_RE" hidden="1">"c6228"</definedName>
    <definedName name="IQ_INVEST_SECURITY_CF_REIT" hidden="1">"c642"</definedName>
    <definedName name="IQ_INVEST_SECURITY_CF_UTI" hidden="1">"c643"</definedName>
    <definedName name="IQ_INVEST_SECURITY_SUPPL" hidden="1">"c5511"</definedName>
    <definedName name="IQ_INVESTMENT_BANKING_OTHER_FEES_FDIC" hidden="1">"c6666"</definedName>
    <definedName name="IQ_IPRD" hidden="1">"c644"</definedName>
    <definedName name="IQ_IRA_KEOGH_ACCOUNTS_FDIC" hidden="1">"c6496"</definedName>
    <definedName name="IQ_ISM_INDEX" hidden="1">"c6902"</definedName>
    <definedName name="IQ_ISM_INDEX_APR" hidden="1">"c7562"</definedName>
    <definedName name="IQ_ISM_INDEX_APR_FC" hidden="1">"c8442"</definedName>
    <definedName name="IQ_ISM_INDEX_FC" hidden="1">"c7782"</definedName>
    <definedName name="IQ_ISM_INDEX_POP" hidden="1">"c7122"</definedName>
    <definedName name="IQ_ISM_INDEX_POP_FC" hidden="1">"c8002"</definedName>
    <definedName name="IQ_ISM_INDEX_YOY" hidden="1">"c7342"</definedName>
    <definedName name="IQ_ISM_INDEX_YOY_FC" hidden="1">"c8222"</definedName>
    <definedName name="IQ_ISM_SERVICES_APR_FC_UNUSED_UNUSED_UNUSED" hidden="1">"c8443"</definedName>
    <definedName name="IQ_ISM_SERVICES_APR_UNUSED_UNUSED_UNUSED" hidden="1">"c7563"</definedName>
    <definedName name="IQ_ISM_SERVICES_FC_UNUSED_UNUSED_UNUSED" hidden="1">"c7783"</definedName>
    <definedName name="IQ_ISM_SERVICES_INDEX" hidden="1">"c11862"</definedName>
    <definedName name="IQ_ISM_SERVICES_INDEX_APR" hidden="1">"c11865"</definedName>
    <definedName name="IQ_ISM_SERVICES_INDEX_POP" hidden="1">"c11863"</definedName>
    <definedName name="IQ_ISM_SERVICES_INDEX_YOY" hidden="1">"c11864"</definedName>
    <definedName name="IQ_ISM_SERVICES_POP_FC_UNUSED_UNUSED_UNUSED" hidden="1">"c8003"</definedName>
    <definedName name="IQ_ISM_SERVICES_POP_UNUSED_UNUSED_UNUSED" hidden="1">"c7123"</definedName>
    <definedName name="IQ_ISM_SERVICES_UNUSED_UNUSED_UNUSED" hidden="1">"c6903"</definedName>
    <definedName name="IQ_ISM_SERVICES_YOY_FC_UNUSED_UNUSED_UNUSED" hidden="1">"c8223"</definedName>
    <definedName name="IQ_ISM_SERVICES_YOY_UNUSED_UNUSED_UNUSED" hidden="1">"c7343"</definedName>
    <definedName name="IQ_ISS_DEBT_NET" hidden="1">"c1391"</definedName>
    <definedName name="IQ_ISS_STOCK_NET" hidden="1">"c1601"</definedName>
    <definedName name="IQ_ISSUE_CURRENCY" hidden="1">"c2156"</definedName>
    <definedName name="IQ_ISSUE_NAME" hidden="1">"c2142"</definedName>
    <definedName name="IQ_ISSUED_GUARANTEED_US_FDIC" hidden="1">"c6404"</definedName>
    <definedName name="IQ_ISSUER" hidden="1">"c2143"</definedName>
    <definedName name="IQ_ISSUER_CIQID" hidden="1">"c2258"</definedName>
    <definedName name="IQ_ISSUER_PARENT" hidden="1">"c2144"</definedName>
    <definedName name="IQ_ISSUER_PARENT_CIQID" hidden="1">"c2260"</definedName>
    <definedName name="IQ_ISSUER_PARENT_TICKER" hidden="1">"c2259"</definedName>
    <definedName name="IQ_ISSUER_TICKER" hidden="1">"c2252"</definedName>
    <definedName name="IQ_JR_SUB_DEBT" hidden="1">"c2534"</definedName>
    <definedName name="IQ_JR_SUB_DEBT_EBITDA" hidden="1">"c2560"</definedName>
    <definedName name="IQ_JR_SUB_DEBT_EBITDA_CAPEX" hidden="1">"c2561"</definedName>
    <definedName name="IQ_JR_SUB_DEBT_PCT" hidden="1">"c2535"</definedName>
    <definedName name="IQ_LAND" hidden="1">"c645"</definedName>
    <definedName name="IQ_LARGE_CAP_LABOR_COST_INDEX" hidden="1">"c6904"</definedName>
    <definedName name="IQ_LARGE_CAP_LABOR_COST_INDEX_APR" hidden="1">"c7564"</definedName>
    <definedName name="IQ_LARGE_CAP_LABOR_COST_INDEX_APR_FC" hidden="1">"c8444"</definedName>
    <definedName name="IQ_LARGE_CAP_LABOR_COST_INDEX_FC" hidden="1">"c7784"</definedName>
    <definedName name="IQ_LARGE_CAP_LABOR_COST_INDEX_POP" hidden="1">"c7124"</definedName>
    <definedName name="IQ_LARGE_CAP_LABOR_COST_INDEX_POP_FC" hidden="1">"c8004"</definedName>
    <definedName name="IQ_LARGE_CAP_LABOR_COST_INDEX_YOY" hidden="1">"c7344"</definedName>
    <definedName name="IQ_LARGE_CAP_LABOR_COST_INDEX_YOY_FC" hidden="1">"c8224"</definedName>
    <definedName name="IQ_LAST_PMT_DATE" hidden="1">"c2188"</definedName>
    <definedName name="IQ_LAST_SPLIT_DATE" hidden="1">"c2095"</definedName>
    <definedName name="IQ_LAST_SPLIT_FACTOR" hidden="1">"c2093"</definedName>
    <definedName name="IQ_LASTPRICINGDATE" hidden="1">"c3051"</definedName>
    <definedName name="IQ_LASTSALEPRICE" hidden="1">"c646"</definedName>
    <definedName name="IQ_LASTSALEPRICE_DATE" hidden="1">"c2109"</definedName>
    <definedName name="IQ_LATEST_MONTHLY_FACTOR" hidden="1">"c8971"</definedName>
    <definedName name="IQ_LATEST_MONTHLY_FACTOR_DATE" hidden="1">"c8972"</definedName>
    <definedName name="IQ_LATESTK" hidden="1">1000</definedName>
    <definedName name="IQ_LATESTQ" hidden="1">500</definedName>
    <definedName name="IQ_LEAD_UNDERWRITER" hidden="1">"c8957"</definedName>
    <definedName name="IQ_LEASE_FINANCING_RECEIVABLES_CHARGE_OFFS_FDIC" hidden="1">"c6602"</definedName>
    <definedName name="IQ_LEASE_FINANCING_RECEIVABLES_FDIC" hidden="1">"c6433"</definedName>
    <definedName name="IQ_LEASE_FINANCING_RECEIVABLES_NET_CHARGE_OFFS_FDIC" hidden="1">"c6640"</definedName>
    <definedName name="IQ_LEASE_FINANCING_RECEIVABLES_RECOVERIES_FDIC" hidden="1">"c6621"</definedName>
    <definedName name="IQ_LEASE_FINANCING_RECEIVABLES_TOTAL_LOANS_FOREIGN_FDIC" hidden="1">"c6449"</definedName>
    <definedName name="IQ_LEGAL_SETTLE" hidden="1">"c647"</definedName>
    <definedName name="IQ_LEGAL_SETTLE_BNK" hidden="1">"c648"</definedName>
    <definedName name="IQ_LEGAL_SETTLE_BR" hidden="1">"c649"</definedName>
    <definedName name="IQ_LEGAL_SETTLE_FIN" hidden="1">"c650"</definedName>
    <definedName name="IQ_LEGAL_SETTLE_INS" hidden="1">"c651"</definedName>
    <definedName name="IQ_LEGAL_SETTLE_RE" hidden="1">"c6229"</definedName>
    <definedName name="IQ_LEGAL_SETTLE_REIT" hidden="1">"c652"</definedName>
    <definedName name="IQ_LEGAL_SETTLE_UTI" hidden="1">"c653"</definedName>
    <definedName name="IQ_LEVERAGE_RATIO" hidden="1">"c654"</definedName>
    <definedName name="IQ_LEVERED_FCF" hidden="1">"c1907"</definedName>
    <definedName name="IQ_LFCF_10YR_ANN_CAGR" hidden="1">"c6174"</definedName>
    <definedName name="IQ_LFCF_10YR_ANN_GROWTH" hidden="1">"c1942"</definedName>
    <definedName name="IQ_LFCF_1YR_ANN_GROWTH" hidden="1">"c1937"</definedName>
    <definedName name="IQ_LFCF_2YR_ANN_CAGR" hidden="1">"c6170"</definedName>
    <definedName name="IQ_LFCF_2YR_ANN_GROWTH" hidden="1">"c1938"</definedName>
    <definedName name="IQ_LFCF_3YR_ANN_CAGR" hidden="1">"c6171"</definedName>
    <definedName name="IQ_LFCF_3YR_ANN_GROWTH" hidden="1">"c1939"</definedName>
    <definedName name="IQ_LFCF_5YR_ANN_CAGR" hidden="1">"c6172"</definedName>
    <definedName name="IQ_LFCF_5YR_ANN_GROWTH" hidden="1">"c1940"</definedName>
    <definedName name="IQ_LFCF_7YR_ANN_CAGR" hidden="1">"c6173"</definedName>
    <definedName name="IQ_LFCF_7YR_ANN_GROWTH" hidden="1">"c1941"</definedName>
    <definedName name="IQ_LFCF_MARGIN" hidden="1">"c1961"</definedName>
    <definedName name="IQ_LH_STATUTORY_SURPLUS" hidden="1">"c2771"</definedName>
    <definedName name="IQ_LIAB_AP" hidden="1">"c8886"</definedName>
    <definedName name="IQ_LIAB_AP_ABS" hidden="1">"c8905"</definedName>
    <definedName name="IQ_LIAB_NAME_AP" hidden="1">"c8924"</definedName>
    <definedName name="IQ_LIAB_NAME_AP_ABS" hidden="1">"c8943"</definedName>
    <definedName name="IQ_LICENSED_POPS" hidden="1">"c2123"</definedName>
    <definedName name="IQ_LIFE_EARNED" hidden="1">"c2739"</definedName>
    <definedName name="IQ_LIFE_INSURANCE_ASSETS_FDIC" hidden="1">"c6372"</definedName>
    <definedName name="IQ_LIFOR" hidden="1">"c655"</definedName>
    <definedName name="IQ_LL" hidden="1">"c656"</definedName>
    <definedName name="IQ_LOAN_COMMITMENTS_REVOLVING_FDIC" hidden="1">"c6524"</definedName>
    <definedName name="IQ_LOAN_LEASE_RECEIV" hidden="1">"c657"</definedName>
    <definedName name="IQ_LOAN_LOSS" hidden="1">"c1386"</definedName>
    <definedName name="IQ_LOAN_LOSS_ALLOW_FDIC" hidden="1">"c6326"</definedName>
    <definedName name="IQ_LOAN_LOSS_ALLOWANCE_NONCURRENT_LOANS_FDIC" hidden="1">"c6740"</definedName>
    <definedName name="IQ_LOAN_LOSSES_FDIC" hidden="1">"c6580"</definedName>
    <definedName name="IQ_LOAN_SERVICE_REV" hidden="1">"c658"</definedName>
    <definedName name="IQ_LOANS_AND_LEASES_HELD_FDIC" hidden="1">"c6367"</definedName>
    <definedName name="IQ_LOANS_CF" hidden="1">"c659"</definedName>
    <definedName name="IQ_LOANS_CF_BNK" hidden="1">"c660"</definedName>
    <definedName name="IQ_LOANS_CF_BR" hidden="1">"c661"</definedName>
    <definedName name="IQ_LOANS_CF_FIN" hidden="1">"c662"</definedName>
    <definedName name="IQ_LOANS_CF_INS" hidden="1">"c663"</definedName>
    <definedName name="IQ_LOANS_CF_RE" hidden="1">"c6230"</definedName>
    <definedName name="IQ_LOANS_CF_REIT" hidden="1">"c664"</definedName>
    <definedName name="IQ_LOANS_CF_UTI" hidden="1">"c665"</definedName>
    <definedName name="IQ_LOANS_DEPOSITORY_INSTITUTIONS_FDIC" hidden="1">"c6382"</definedName>
    <definedName name="IQ_LOANS_FOR_SALE" hidden="1">"c666"</definedName>
    <definedName name="IQ_LOANS_HELD_FOREIGN_FDIC" hidden="1">"c6315"</definedName>
    <definedName name="IQ_LOANS_LEASES_FOREIGN_FDIC" hidden="1">"c6383"</definedName>
    <definedName name="IQ_LOANS_LEASES_GROSS_FDIC" hidden="1">"c6323"</definedName>
    <definedName name="IQ_LOANS_LEASES_GROSS_FOREIGN_FDIC" hidden="1">"c6384"</definedName>
    <definedName name="IQ_LOANS_LEASES_NET_FDIC" hidden="1">"c6327"</definedName>
    <definedName name="IQ_LOANS_LEASES_NET_UNEARNED_FDIC" hidden="1">"c6325"</definedName>
    <definedName name="IQ_LOANS_NOT_SECURED_RE_FDIC" hidden="1">"c6381"</definedName>
    <definedName name="IQ_LOANS_PAST_DUE" hidden="1">"c667"</definedName>
    <definedName name="IQ_LOANS_RECEIV_CURRENT" hidden="1">"c668"</definedName>
    <definedName name="IQ_LOANS_RECEIV_LT" hidden="1">"c669"</definedName>
    <definedName name="IQ_LOANS_RECEIV_LT_UTI" hidden="1">"c670"</definedName>
    <definedName name="IQ_LOANS_SECURED_BY_RE_CHARGE_OFFS_FDIC" hidden="1">"c6588"</definedName>
    <definedName name="IQ_LOANS_SECURED_BY_RE_RECOVERIES_FDIC" hidden="1">"c6607"</definedName>
    <definedName name="IQ_LOANS_SECURED_NON_US_FDIC" hidden="1">"c6380"</definedName>
    <definedName name="IQ_LOANS_SECURED_RE_NET_CHARGE_OFFS_FDIC" hidden="1">"c6626"</definedName>
    <definedName name="IQ_LOANS_TO_DEPOSITORY_INSTITUTIONS_FOREIGN_FDIC" hidden="1">"c6453"</definedName>
    <definedName name="IQ_LOANS_TO_FOREIGN_GOVERNMENTS_FDIC" hidden="1">"c6448"</definedName>
    <definedName name="IQ_LOANS_TO_INDIVIDUALS_FOREIGN_FDIC" hidden="1">"c6452"</definedName>
    <definedName name="IQ_LONG_TERM_ASSETS_FDIC" hidden="1">"c6361"</definedName>
    <definedName name="IQ_LONG_TERM_DEBT" hidden="1">"c1387"</definedName>
    <definedName name="IQ_LONG_TERM_DEBT_OVER_TOTAL_CAP" hidden="1">"c1388"</definedName>
    <definedName name="IQ_LONG_TERM_GROWTH" hidden="1">"c671"</definedName>
    <definedName name="IQ_LONG_TERM_INV" hidden="1">"c1389"</definedName>
    <definedName name="IQ_LOSS_ALLOWANCE_LOANS_FDIC" hidden="1">"c6739"</definedName>
    <definedName name="IQ_LOSS_LOSS_EXP" hidden="1">"c672"</definedName>
    <definedName name="IQ_LOSS_TO_NET_EARNED" hidden="1">"c2751"</definedName>
    <definedName name="IQ_LOW_TARGET_PRICE" hidden="1">"c1652"</definedName>
    <definedName name="IQ_LOW_TARGET_PRICE_CIQ" hidden="1">"c4660"</definedName>
    <definedName name="IQ_LOWPRICE" hidden="1">"c673"</definedName>
    <definedName name="IQ_LT_ASSETS_AP" hidden="1">"c8882"</definedName>
    <definedName name="IQ_LT_ASSETS_AP_ABS" hidden="1">"c8901"</definedName>
    <definedName name="IQ_LT_ASSETS_NAME_AP" hidden="1">"c8920"</definedName>
    <definedName name="IQ_LT_ASSETS_NAME_AP_ABS" hidden="1">"c8939"</definedName>
    <definedName name="IQ_LT_DEBT" hidden="1">"c674"</definedName>
    <definedName name="IQ_LT_DEBT_BNK" hidden="1">"c675"</definedName>
    <definedName name="IQ_LT_DEBT_BR" hidden="1">"c676"</definedName>
    <definedName name="IQ_LT_DEBT_CAPITAL" hidden="1">"c677"</definedName>
    <definedName name="IQ_LT_DEBT_CAPITAL_LEASES" hidden="1">"c2542"</definedName>
    <definedName name="IQ_LT_DEBT_CAPITAL_LEASES_PCT" hidden="1">"c2543"</definedName>
    <definedName name="IQ_LT_DEBT_EQUITY" hidden="1">"c678"</definedName>
    <definedName name="IQ_LT_DEBT_FIN" hidden="1">"c679"</definedName>
    <definedName name="IQ_LT_DEBT_INS" hidden="1">"c680"</definedName>
    <definedName name="IQ_LT_DEBT_ISSUED" hidden="1">"c681"</definedName>
    <definedName name="IQ_LT_DEBT_ISSUED_BNK" hidden="1">"c682"</definedName>
    <definedName name="IQ_LT_DEBT_ISSUED_BR" hidden="1">"c683"</definedName>
    <definedName name="IQ_LT_DEBT_ISSUED_FIN" hidden="1">"c684"</definedName>
    <definedName name="IQ_LT_DEBT_ISSUED_INS" hidden="1">"c685"</definedName>
    <definedName name="IQ_LT_DEBT_ISSUED_RE" hidden="1">"c6231"</definedName>
    <definedName name="IQ_LT_DEBT_ISSUED_REIT" hidden="1">"c686"</definedName>
    <definedName name="IQ_LT_DEBT_ISSUED_UTI" hidden="1">"c687"</definedName>
    <definedName name="IQ_LT_DEBT_RE" hidden="1">"c6232"</definedName>
    <definedName name="IQ_LT_DEBT_REIT" hidden="1">"c688"</definedName>
    <definedName name="IQ_LT_DEBT_REPAID" hidden="1">"c689"</definedName>
    <definedName name="IQ_LT_DEBT_REPAID_BNK" hidden="1">"c690"</definedName>
    <definedName name="IQ_LT_DEBT_REPAID_BR" hidden="1">"c691"</definedName>
    <definedName name="IQ_LT_DEBT_REPAID_FIN" hidden="1">"c692"</definedName>
    <definedName name="IQ_LT_DEBT_REPAID_INS" hidden="1">"c693"</definedName>
    <definedName name="IQ_LT_DEBT_REPAID_RE" hidden="1">"c6233"</definedName>
    <definedName name="IQ_LT_DEBT_REPAID_REIT" hidden="1">"c694"</definedName>
    <definedName name="IQ_LT_DEBT_REPAID_UTI" hidden="1">"c695"</definedName>
    <definedName name="IQ_LT_DEBT_UTI" hidden="1">"c696"</definedName>
    <definedName name="IQ_LT_INVEST" hidden="1">"c697"</definedName>
    <definedName name="IQ_LT_INVEST_BR" hidden="1">"c698"</definedName>
    <definedName name="IQ_LT_INVEST_FIN" hidden="1">"c699"</definedName>
    <definedName name="IQ_LT_INVEST_RE" hidden="1">"c6234"</definedName>
    <definedName name="IQ_LT_INVEST_REIT" hidden="1">"c700"</definedName>
    <definedName name="IQ_LT_INVEST_UTI" hidden="1">"c701"</definedName>
    <definedName name="IQ_LT_LIAB_AP" hidden="1">"c8885"</definedName>
    <definedName name="IQ_LT_LIAB_AP_ABS" hidden="1">"c8904"</definedName>
    <definedName name="IQ_LT_LIAB_NAME_AP" hidden="1">"c8923"</definedName>
    <definedName name="IQ_LT_LIAB_NAME_AP_ABS" hidden="1">"c8942"</definedName>
    <definedName name="IQ_LT_NOTE_RECEIV" hidden="1">"c1602"</definedName>
    <definedName name="IQ_LTD_DUE_AFTER_FIVE" hidden="1">"c704"</definedName>
    <definedName name="IQ_LTD_DUE_CY" hidden="1">"c705"</definedName>
    <definedName name="IQ_LTD_DUE_CY1" hidden="1">"c706"</definedName>
    <definedName name="IQ_LTD_DUE_CY2" hidden="1">"c707"</definedName>
    <definedName name="IQ_LTD_DUE_CY3" hidden="1">"c708"</definedName>
    <definedName name="IQ_LTD_DUE_CY4" hidden="1">"c709"</definedName>
    <definedName name="IQ_LTD_DUE_NEXT_FIVE" hidden="1">"c710"</definedName>
    <definedName name="IQ_LTM" hidden="1">2000</definedName>
    <definedName name="IQ_LTM_REVENUE_OVER_EMPLOYEES" hidden="1">"c1437"</definedName>
    <definedName name="IQ_M1" hidden="1">"c6906"</definedName>
    <definedName name="IQ_M1_APR" hidden="1">"c7566"</definedName>
    <definedName name="IQ_M1_APR_FC" hidden="1">"c8446"</definedName>
    <definedName name="IQ_M1_FC" hidden="1">"c7786"</definedName>
    <definedName name="IQ_M1_POP" hidden="1">"c7126"</definedName>
    <definedName name="IQ_M1_POP_FC" hidden="1">"c8006"</definedName>
    <definedName name="IQ_M1_YOY" hidden="1">"c7346"</definedName>
    <definedName name="IQ_M1_YOY_FC" hidden="1">"c8226"</definedName>
    <definedName name="IQ_M2" hidden="1">"c6907"</definedName>
    <definedName name="IQ_M2_APR" hidden="1">"c7567"</definedName>
    <definedName name="IQ_M2_APR_FC" hidden="1">"c8447"</definedName>
    <definedName name="IQ_M2_FC" hidden="1">"c7787"</definedName>
    <definedName name="IQ_M2_POP" hidden="1">"c7127"</definedName>
    <definedName name="IQ_M2_POP_FC" hidden="1">"c8007"</definedName>
    <definedName name="IQ_M2_YOY" hidden="1">"c7347"</definedName>
    <definedName name="IQ_M2_YOY_FC" hidden="1">"c8227"</definedName>
    <definedName name="IQ_M3" hidden="1">"c6908"</definedName>
    <definedName name="IQ_M3_APR" hidden="1">"c7568"</definedName>
    <definedName name="IQ_M3_APR_FC" hidden="1">"c8448"</definedName>
    <definedName name="IQ_M3_FC" hidden="1">"c7788"</definedName>
    <definedName name="IQ_M3_POP" hidden="1">"c7128"</definedName>
    <definedName name="IQ_M3_POP_FC" hidden="1">"c8008"</definedName>
    <definedName name="IQ_M3_YOY" hidden="1">"c7348"</definedName>
    <definedName name="IQ_M3_YOY_FC" hidden="1">"c8228"</definedName>
    <definedName name="IQ_MACHINERY" hidden="1">"c711"</definedName>
    <definedName name="IQ_MAINT_CAPEX" hidden="1">"c2947"</definedName>
    <definedName name="IQ_MAINT_CAPEX_ACT_OR_EST_CIQ" hidden="1">"c4987"</definedName>
    <definedName name="IQ_MAINT_REPAIR" hidden="1">"c2087"</definedName>
    <definedName name="IQ_MAKE_WHOLE_END_DATE" hidden="1">"c2493"</definedName>
    <definedName name="IQ_MAKE_WHOLE_SPREAD" hidden="1">"c2494"</definedName>
    <definedName name="IQ_MAKE_WHOLE_START_DATE" hidden="1">"c2492"</definedName>
    <definedName name="IQ_MAN_INVENTORIES" hidden="1">"c6913"</definedName>
    <definedName name="IQ_MAN_INVENTORIES_APR" hidden="1">"c7573"</definedName>
    <definedName name="IQ_MAN_INVENTORIES_APR_FC" hidden="1">"c8453"</definedName>
    <definedName name="IQ_MAN_INVENTORIES_FC" hidden="1">"c7793"</definedName>
    <definedName name="IQ_MAN_INVENTORIES_POP" hidden="1">"c7133"</definedName>
    <definedName name="IQ_MAN_INVENTORIES_POP_FC" hidden="1">"c8013"</definedName>
    <definedName name="IQ_MAN_INVENTORIES_YOY" hidden="1">"c7353"</definedName>
    <definedName name="IQ_MAN_INVENTORIES_YOY_FC" hidden="1">"c8233"</definedName>
    <definedName name="IQ_MAN_IS_RATIO" hidden="1">"c6912"</definedName>
    <definedName name="IQ_MAN_IS_RATIO_APR" hidden="1">"c7572"</definedName>
    <definedName name="IQ_MAN_IS_RATIO_APR_FC" hidden="1">"c8452"</definedName>
    <definedName name="IQ_MAN_IS_RATIO_FC" hidden="1">"c7792"</definedName>
    <definedName name="IQ_MAN_IS_RATIO_POP" hidden="1">"c7132"</definedName>
    <definedName name="IQ_MAN_IS_RATIO_POP_FC" hidden="1">"c8012"</definedName>
    <definedName name="IQ_MAN_IS_RATIO_YOY" hidden="1">"c7352"</definedName>
    <definedName name="IQ_MAN_IS_RATIO_YOY_FC" hidden="1">"c8232"</definedName>
    <definedName name="IQ_MAN_ORDERS" hidden="1">"c6914"</definedName>
    <definedName name="IQ_MAN_ORDERS_APR" hidden="1">"c7574"</definedName>
    <definedName name="IQ_MAN_ORDERS_APR_FC" hidden="1">"c8454"</definedName>
    <definedName name="IQ_MAN_ORDERS_FC" hidden="1">"c7794"</definedName>
    <definedName name="IQ_MAN_ORDERS_POP" hidden="1">"c7134"</definedName>
    <definedName name="IQ_MAN_ORDERS_POP_FC" hidden="1">"c8014"</definedName>
    <definedName name="IQ_MAN_ORDERS_YOY" hidden="1">"c7354"</definedName>
    <definedName name="IQ_MAN_ORDERS_YOY_FC" hidden="1">"c8234"</definedName>
    <definedName name="IQ_MAN_OUTPUT_HR" hidden="1">"c6915"</definedName>
    <definedName name="IQ_MAN_OUTPUT_HR_APR" hidden="1">"c7575"</definedName>
    <definedName name="IQ_MAN_OUTPUT_HR_APR_FC" hidden="1">"c8455"</definedName>
    <definedName name="IQ_MAN_OUTPUT_HR_FC" hidden="1">"c7795"</definedName>
    <definedName name="IQ_MAN_OUTPUT_HR_POP" hidden="1">"c7135"</definedName>
    <definedName name="IQ_MAN_OUTPUT_HR_POP_FC" hidden="1">"c8015"</definedName>
    <definedName name="IQ_MAN_OUTPUT_HR_YOY" hidden="1">"c7355"</definedName>
    <definedName name="IQ_MAN_OUTPUT_HR_YOY_FC" hidden="1">"c8235"</definedName>
    <definedName name="IQ_MAN_PAYROLLS" hidden="1">"c6916"</definedName>
    <definedName name="IQ_MAN_PAYROLLS_APR" hidden="1">"c7576"</definedName>
    <definedName name="IQ_MAN_PAYROLLS_APR_FC" hidden="1">"c8456"</definedName>
    <definedName name="IQ_MAN_PAYROLLS_FC" hidden="1">"c7796"</definedName>
    <definedName name="IQ_MAN_PAYROLLS_POP" hidden="1">"c7136"</definedName>
    <definedName name="IQ_MAN_PAYROLLS_POP_FC" hidden="1">"c8016"</definedName>
    <definedName name="IQ_MAN_PAYROLLS_YOY" hidden="1">"c7356"</definedName>
    <definedName name="IQ_MAN_PAYROLLS_YOY_FC" hidden="1">"c8236"</definedName>
    <definedName name="IQ_MAN_SHIPMENTS" hidden="1">"c6917"</definedName>
    <definedName name="IQ_MAN_SHIPMENTS_APR" hidden="1">"c7577"</definedName>
    <definedName name="IQ_MAN_SHIPMENTS_APR_FC" hidden="1">"c8457"</definedName>
    <definedName name="IQ_MAN_SHIPMENTS_FC" hidden="1">"c7797"</definedName>
    <definedName name="IQ_MAN_SHIPMENTS_POP" hidden="1">"c7137"</definedName>
    <definedName name="IQ_MAN_SHIPMENTS_POP_FC" hidden="1">"c8017"</definedName>
    <definedName name="IQ_MAN_SHIPMENTS_YOY" hidden="1">"c7357"</definedName>
    <definedName name="IQ_MAN_SHIPMENTS_YOY_FC" hidden="1">"c8237"</definedName>
    <definedName name="IQ_MAN_TOTAL_HR" hidden="1">"c6918"</definedName>
    <definedName name="IQ_MAN_TOTAL_HR_APR" hidden="1">"c7578"</definedName>
    <definedName name="IQ_MAN_TOTAL_HR_APR_FC" hidden="1">"c8458"</definedName>
    <definedName name="IQ_MAN_TOTAL_HR_FC" hidden="1">"c7798"</definedName>
    <definedName name="IQ_MAN_TOTAL_HR_POP" hidden="1">"c7138"</definedName>
    <definedName name="IQ_MAN_TOTAL_HR_POP_FC" hidden="1">"c8018"</definedName>
    <definedName name="IQ_MAN_TOTAL_HR_YOY" hidden="1">"c7358"</definedName>
    <definedName name="IQ_MAN_TOTAL_HR_YOY_FC" hidden="1">"c8238"</definedName>
    <definedName name="IQ_MAN_TRADE_INVENTORIES" hidden="1">"c6910"</definedName>
    <definedName name="IQ_MAN_TRADE_INVENTORIES_APR" hidden="1">"c7570"</definedName>
    <definedName name="IQ_MAN_TRADE_INVENTORIES_APR_FC" hidden="1">"c8450"</definedName>
    <definedName name="IQ_MAN_TRADE_INVENTORIES_FC" hidden="1">"c7790"</definedName>
    <definedName name="IQ_MAN_TRADE_INVENTORIES_POP" hidden="1">"c7130"</definedName>
    <definedName name="IQ_MAN_TRADE_INVENTORIES_POP_FC" hidden="1">"c8010"</definedName>
    <definedName name="IQ_MAN_TRADE_INVENTORIES_YOY" hidden="1">"c7350"</definedName>
    <definedName name="IQ_MAN_TRADE_INVENTORIES_YOY_FC" hidden="1">"c8230"</definedName>
    <definedName name="IQ_MAN_TRADE_IS_RATIO" hidden="1">"c6909"</definedName>
    <definedName name="IQ_MAN_TRADE_IS_RATIO_FC" hidden="1">"c7789"</definedName>
    <definedName name="IQ_MAN_TRADE_IS_RATIO_POP" hidden="1">"c7129"</definedName>
    <definedName name="IQ_MAN_TRADE_IS_RATIO_POP_FC" hidden="1">"c8009"</definedName>
    <definedName name="IQ_MAN_TRADE_IS_RATIO_YOY" hidden="1">"c7349"</definedName>
    <definedName name="IQ_MAN_TRADE_IS_RATIO_YOY_FC" hidden="1">"c8229"</definedName>
    <definedName name="IQ_MAN_TRADE_SALES" hidden="1">"c6911"</definedName>
    <definedName name="IQ_MAN_TRADE_SALES_APR" hidden="1">"c7571"</definedName>
    <definedName name="IQ_MAN_TRADE_SALES_APR_FC" hidden="1">"c8451"</definedName>
    <definedName name="IQ_MAN_TRADE_SALES_FC" hidden="1">"c7791"</definedName>
    <definedName name="IQ_MAN_TRADE_SALES_POP" hidden="1">"c7131"</definedName>
    <definedName name="IQ_MAN_TRADE_SALES_POP_FC" hidden="1">"c8011"</definedName>
    <definedName name="IQ_MAN_TRADE_SALES_YOY" hidden="1">"c7351"</definedName>
    <definedName name="IQ_MAN_TRADE_SALES_YOY_FC" hidden="1">"c8231"</definedName>
    <definedName name="IQ_MAN_WAGES" hidden="1">"c6919"</definedName>
    <definedName name="IQ_MAN_WAGES_APR" hidden="1">"c7579"</definedName>
    <definedName name="IQ_MAN_WAGES_APR_FC" hidden="1">"c8459"</definedName>
    <definedName name="IQ_MAN_WAGES_FC" hidden="1">"c7799"</definedName>
    <definedName name="IQ_MAN_WAGES_POP" hidden="1">"c7139"</definedName>
    <definedName name="IQ_MAN_WAGES_POP_FC" hidden="1">"c8019"</definedName>
    <definedName name="IQ_MAN_WAGES_YOY" hidden="1">"c7359"</definedName>
    <definedName name="IQ_MAN_WAGES_YOY_FC" hidden="1">"c8239"</definedName>
    <definedName name="IQ_MANAGED_PROP" hidden="1">"c8763"</definedName>
    <definedName name="IQ_MANAGED_SQ_FT" hidden="1">"c8779"</definedName>
    <definedName name="IQ_MANAGED_UNITS" hidden="1">"c8771"</definedName>
    <definedName name="IQ_MARGIN_ANNUAL_PREMIUM_EQUIVALENT_NEW_BUSINESS" hidden="1">"c9970"</definedName>
    <definedName name="IQ_MARGIN_PV_PREMIUMS_NEW_BUSINESS" hidden="1">"c9971"</definedName>
    <definedName name="IQ_MARKET_CAP_LFCF" hidden="1">"c2209"</definedName>
    <definedName name="IQ_MARKETCAP" hidden="1">"c712"</definedName>
    <definedName name="IQ_MARKETING" hidden="1">"c2239"</definedName>
    <definedName name="IQ_MATURITY_DATE" hidden="1">"c2146"</definedName>
    <definedName name="IQ_MATURITY_ONE_YEAR_LESS_FDIC" hidden="1">"c6425"</definedName>
    <definedName name="IQ_MC_ASO_COVERED_LIVES" hidden="1">"c9918"</definedName>
    <definedName name="IQ_MC_ASO_MEMBERSHIP" hidden="1">"c9921"</definedName>
    <definedName name="IQ_MC_CLAIMS_RESERVES" hidden="1">"c9941"</definedName>
    <definedName name="IQ_MC_COMBINED_RATIO" hidden="1">"c9933"</definedName>
    <definedName name="IQ_MC_DAYS_CLAIMS_PAYABLE" hidden="1">"c9937"</definedName>
    <definedName name="IQ_MC_DAYS_CLAIMS_PAYABLE_EXCL_CAPITATION" hidden="1">"c9938"</definedName>
    <definedName name="IQ_MC_MEDICAL_COSTS_PMPM" hidden="1">"c9925"</definedName>
    <definedName name="IQ_MC_PARENT_CASH" hidden="1">"c9942"</definedName>
    <definedName name="IQ_MC_PREMIUMS_PMPM" hidden="1">"c9924"</definedName>
    <definedName name="IQ_MC_RATIO" hidden="1">"c2783"</definedName>
    <definedName name="IQ_MC_RECEIPT_CYCLE_TIME_DAYS" hidden="1">"c9939"</definedName>
    <definedName name="IQ_MC_RECEIPT_CYCLE_TIME_MONTHS" hidden="1">"c9940"</definedName>
    <definedName name="IQ_MC_RISK_COVERED_LIVES" hidden="1">"c9917"</definedName>
    <definedName name="IQ_MC_RISK_MEMBERSHIP" hidden="1">"c9920"</definedName>
    <definedName name="IQ_MC_SELLILNG_COSTS_RATIO" hidden="1">"c9928"</definedName>
    <definedName name="IQ_MC_SGA_PMPM" hidden="1">"c9926"</definedName>
    <definedName name="IQ_MC_STATUTORY_SURPLUS" hidden="1">"c2772"</definedName>
    <definedName name="IQ_MC_TOTAL_COVERED_LIVES" hidden="1">"c9919"</definedName>
    <definedName name="IQ_MC_TOTAL_MEMBERSHIP" hidden="1">"c9922"</definedName>
    <definedName name="IQ_MC_TOTAL_MEMBERSHIP_CAPITATION" hidden="1">"c9923"</definedName>
    <definedName name="IQ_MC_UNPROCESSED_CLAIMS_INVENTORY_DAYS" hidden="1">"c9936"</definedName>
    <definedName name="IQ_MC_UNPROCESSED_CLAIMS_INVENTORY_NUMBER" hidden="1">"c9934"</definedName>
    <definedName name="IQ_MC_UNPROCESSED_CLAIMS_INVENTORY_VALUE" hidden="1">"c9935"</definedName>
    <definedName name="IQ_MEASURED_ATTRIB_ORE_RESOURCES_ALUM" hidden="1">"c9237"</definedName>
    <definedName name="IQ_MEASURED_ATTRIB_ORE_RESOURCES_COP" hidden="1">"c9181"</definedName>
    <definedName name="IQ_MEASURED_ATTRIB_ORE_RESOURCES_DIAM" hidden="1">"c9661"</definedName>
    <definedName name="IQ_MEASURED_ATTRIB_ORE_RESOURCES_GOLD" hidden="1">"c9022"</definedName>
    <definedName name="IQ_MEASURED_ATTRIB_ORE_RESOURCES_IRON" hidden="1">"c9396"</definedName>
    <definedName name="IQ_MEASURED_ATTRIB_ORE_RESOURCES_LEAD" hidden="1">"c9449"</definedName>
    <definedName name="IQ_MEASURED_ATTRIB_ORE_RESOURCES_MANG" hidden="1">"c9502"</definedName>
    <definedName name="IQ_MEASURED_ATTRIB_ORE_RESOURCES_MOLYB" hidden="1">"c9714"</definedName>
    <definedName name="IQ_MEASURED_ATTRIB_ORE_RESOURCES_NICK" hidden="1">"c9290"</definedName>
    <definedName name="IQ_MEASURED_ATTRIB_ORE_RESOURCES_PLAT" hidden="1">"c9128"</definedName>
    <definedName name="IQ_MEASURED_ATTRIB_ORE_RESOURCES_SILVER" hidden="1">"c9075"</definedName>
    <definedName name="IQ_MEASURED_ATTRIB_ORE_RESOURCES_TITAN" hidden="1">"c9555"</definedName>
    <definedName name="IQ_MEASURED_ATTRIB_ORE_RESOURCES_URAN" hidden="1">"c9608"</definedName>
    <definedName name="IQ_MEASURED_ATTRIB_ORE_RESOURCES_ZINC" hidden="1">"c9343"</definedName>
    <definedName name="IQ_MEASURED_INDICATED_ATTRIB_ORE_RESOURCES_ALUM" hidden="1">"c9239"</definedName>
    <definedName name="IQ_MEASURED_INDICATED_ATTRIB_ORE_RESOURCES_COP" hidden="1">"c9183"</definedName>
    <definedName name="IQ_MEASURED_INDICATED_ATTRIB_ORE_RESOURCES_DIAM" hidden="1">"c9663"</definedName>
    <definedName name="IQ_MEASURED_INDICATED_ATTRIB_ORE_RESOURCES_GOLD" hidden="1">"c9024"</definedName>
    <definedName name="IQ_MEASURED_INDICATED_ATTRIB_ORE_RESOURCES_IRON" hidden="1">"c9398"</definedName>
    <definedName name="IQ_MEASURED_INDICATED_ATTRIB_ORE_RESOURCES_LEAD" hidden="1">"c9451"</definedName>
    <definedName name="IQ_MEASURED_INDICATED_ATTRIB_ORE_RESOURCES_MANG" hidden="1">"c9504"</definedName>
    <definedName name="IQ_MEASURED_INDICATED_ATTRIB_ORE_RESOURCES_MOLYB" hidden="1">"c9716"</definedName>
    <definedName name="IQ_MEASURED_INDICATED_ATTRIB_ORE_RESOURCES_NICK" hidden="1">"c9292"</definedName>
    <definedName name="IQ_MEASURED_INDICATED_ATTRIB_ORE_RESOURCES_PLAT" hidden="1">"c9130"</definedName>
    <definedName name="IQ_MEASURED_INDICATED_ATTRIB_ORE_RESOURCES_SILVER" hidden="1">"c9077"</definedName>
    <definedName name="IQ_MEASURED_INDICATED_ATTRIB_ORE_RESOURCES_TITAN" hidden="1">"c9557"</definedName>
    <definedName name="IQ_MEASURED_INDICATED_ATTRIB_ORE_RESOURCES_URAN" hidden="1">"c9610"</definedName>
    <definedName name="IQ_MEASURED_INDICATED_ATTRIB_ORE_RESOURCES_ZINC" hidden="1">"c9345"</definedName>
    <definedName name="IQ_MEASURED_INDICATED_ORE_RESOURCES_ALUM" hidden="1">"c9226"</definedName>
    <definedName name="IQ_MEASURED_INDICATED_ORE_RESOURCES_COP" hidden="1">"c9170"</definedName>
    <definedName name="IQ_MEASURED_INDICATED_ORE_RESOURCES_DIAM" hidden="1">"c9650"</definedName>
    <definedName name="IQ_MEASURED_INDICATED_ORE_RESOURCES_GOLD" hidden="1">"c9011"</definedName>
    <definedName name="IQ_MEASURED_INDICATED_ORE_RESOURCES_IRON" hidden="1">"c9385"</definedName>
    <definedName name="IQ_MEASURED_INDICATED_ORE_RESOURCES_LEAD" hidden="1">"c9438"</definedName>
    <definedName name="IQ_MEASURED_INDICATED_ORE_RESOURCES_MANG" hidden="1">"c9491"</definedName>
    <definedName name="IQ_MEASURED_INDICATED_ORE_RESOURCES_MOLYB" hidden="1">"c9703"</definedName>
    <definedName name="IQ_MEASURED_INDICATED_ORE_RESOURCES_NICK" hidden="1">"c9279"</definedName>
    <definedName name="IQ_MEASURED_INDICATED_ORE_RESOURCES_PLAT" hidden="1">"c9117"</definedName>
    <definedName name="IQ_MEASURED_INDICATED_ORE_RESOURCES_SILVER" hidden="1">"c9064"</definedName>
    <definedName name="IQ_MEASURED_INDICATED_ORE_RESOURCES_TITAN" hidden="1">"c9544"</definedName>
    <definedName name="IQ_MEASURED_INDICATED_ORE_RESOURCES_URAN" hidden="1">"c9597"</definedName>
    <definedName name="IQ_MEASURED_INDICATED_ORE_RESOURCES_ZINC" hidden="1">"c9332"</definedName>
    <definedName name="IQ_MEASURED_INDICATED_RECOV_RESOURCES_ALUM" hidden="1">"c9234"</definedName>
    <definedName name="IQ_MEASURED_INDICATED_RECOV_RESOURCES_COAL" hidden="1">"c9813"</definedName>
    <definedName name="IQ_MEASURED_INDICATED_RECOV_RESOURCES_COP" hidden="1">"c9178"</definedName>
    <definedName name="IQ_MEASURED_INDICATED_RECOV_RESOURCES_DIAM" hidden="1">"c9658"</definedName>
    <definedName name="IQ_MEASURED_INDICATED_RECOV_RESOURCES_GOLD" hidden="1">"c9019"</definedName>
    <definedName name="IQ_MEASURED_INDICATED_RECOV_RESOURCES_IRON" hidden="1">"c9393"</definedName>
    <definedName name="IQ_MEASURED_INDICATED_RECOV_RESOURCES_LEAD" hidden="1">"c9446"</definedName>
    <definedName name="IQ_MEASURED_INDICATED_RECOV_RESOURCES_MANG" hidden="1">"c9499"</definedName>
    <definedName name="IQ_MEASURED_INDICATED_RECOV_RESOURCES_MET_COAL" hidden="1">"c9753"</definedName>
    <definedName name="IQ_MEASURED_INDICATED_RECOV_RESOURCES_MOLYB" hidden="1">"c9711"</definedName>
    <definedName name="IQ_MEASURED_INDICATED_RECOV_RESOURCES_NICK" hidden="1">"c9287"</definedName>
    <definedName name="IQ_MEASURED_INDICATED_RECOV_RESOURCES_PLAT" hidden="1">"c9125"</definedName>
    <definedName name="IQ_MEASURED_INDICATED_RECOV_RESOURCES_SILVER" hidden="1">"c9072"</definedName>
    <definedName name="IQ_MEASURED_INDICATED_RECOV_RESOURCES_STEAM" hidden="1">"c9783"</definedName>
    <definedName name="IQ_MEASURED_INDICATED_RECOV_RESOURCES_TITAN" hidden="1">"c9552"</definedName>
    <definedName name="IQ_MEASURED_INDICATED_RECOV_RESOURCES_URAN" hidden="1">"c9605"</definedName>
    <definedName name="IQ_MEASURED_INDICATED_RECOV_RESOURCES_ZINC" hidden="1">"c9340"</definedName>
    <definedName name="IQ_MEASURED_INDICATED_RESOURCES_GRADE_ALUM" hidden="1">"c9227"</definedName>
    <definedName name="IQ_MEASURED_INDICATED_RESOURCES_GRADE_COP" hidden="1">"c9171"</definedName>
    <definedName name="IQ_MEASURED_INDICATED_RESOURCES_GRADE_DIAM" hidden="1">"c9651"</definedName>
    <definedName name="IQ_MEASURED_INDICATED_RESOURCES_GRADE_GOLD" hidden="1">"c9012"</definedName>
    <definedName name="IQ_MEASURED_INDICATED_RESOURCES_GRADE_IRON" hidden="1">"c9386"</definedName>
    <definedName name="IQ_MEASURED_INDICATED_RESOURCES_GRADE_LEAD" hidden="1">"c9439"</definedName>
    <definedName name="IQ_MEASURED_INDICATED_RESOURCES_GRADE_MANG" hidden="1">"c9492"</definedName>
    <definedName name="IQ_MEASURED_INDICATED_RESOURCES_GRADE_MOLYB" hidden="1">"c9704"</definedName>
    <definedName name="IQ_MEASURED_INDICATED_RESOURCES_GRADE_NICK" hidden="1">"c9280"</definedName>
    <definedName name="IQ_MEASURED_INDICATED_RESOURCES_GRADE_PLAT" hidden="1">"c9118"</definedName>
    <definedName name="IQ_MEASURED_INDICATED_RESOURCES_GRADE_SILVER" hidden="1">"c9065"</definedName>
    <definedName name="IQ_MEASURED_INDICATED_RESOURCES_GRADE_TITAN" hidden="1">"c9545"</definedName>
    <definedName name="IQ_MEASURED_INDICATED_RESOURCES_GRADE_URAN" hidden="1">"c9598"</definedName>
    <definedName name="IQ_MEASURED_INDICATED_RESOURCES_GRADE_ZINC" hidden="1">"c9333"</definedName>
    <definedName name="IQ_MEASURED_ORE_RESOURCES_ALUM" hidden="1">"c9222"</definedName>
    <definedName name="IQ_MEASURED_ORE_RESOURCES_COP" hidden="1">"c9166"</definedName>
    <definedName name="IQ_MEASURED_ORE_RESOURCES_DIAM" hidden="1">"c9646"</definedName>
    <definedName name="IQ_MEASURED_ORE_RESOURCES_GOLD" hidden="1">"c9007"</definedName>
    <definedName name="IQ_MEASURED_ORE_RESOURCES_IRON" hidden="1">"c9381"</definedName>
    <definedName name="IQ_MEASURED_ORE_RESOURCES_LEAD" hidden="1">"c9434"</definedName>
    <definedName name="IQ_MEASURED_ORE_RESOURCES_MANG" hidden="1">"c9487"</definedName>
    <definedName name="IQ_MEASURED_ORE_RESOURCES_MOLYB" hidden="1">"c9699"</definedName>
    <definedName name="IQ_MEASURED_ORE_RESOURCES_NICK" hidden="1">"c9275"</definedName>
    <definedName name="IQ_MEASURED_ORE_RESOURCES_PLAT" hidden="1">"c9113"</definedName>
    <definedName name="IQ_MEASURED_ORE_RESOURCES_SILVER" hidden="1">"c9060"</definedName>
    <definedName name="IQ_MEASURED_ORE_RESOURCES_TITAN" hidden="1">"c9540"</definedName>
    <definedName name="IQ_MEASURED_ORE_RESOURCES_URAN" hidden="1">"c9593"</definedName>
    <definedName name="IQ_MEASURED_ORE_RESOURCES_ZINC" hidden="1">"c9328"</definedName>
    <definedName name="IQ_MEASURED_RECOV_ATTRIB_RESOURCES_ALUM" hidden="1">"c9242"</definedName>
    <definedName name="IQ_MEASURED_RECOV_ATTRIB_RESOURCES_COAL" hidden="1">"c9816"</definedName>
    <definedName name="IQ_MEASURED_RECOV_ATTRIB_RESOURCES_COP" hidden="1">"c9186"</definedName>
    <definedName name="IQ_MEASURED_RECOV_ATTRIB_RESOURCES_DIAM" hidden="1">"c9666"</definedName>
    <definedName name="IQ_MEASURED_RECOV_ATTRIB_RESOURCES_GOLD" hidden="1">"c9027"</definedName>
    <definedName name="IQ_MEASURED_RECOV_ATTRIB_RESOURCES_IRON" hidden="1">"c9401"</definedName>
    <definedName name="IQ_MEASURED_RECOV_ATTRIB_RESOURCES_LEAD" hidden="1">"c9454"</definedName>
    <definedName name="IQ_MEASURED_RECOV_ATTRIB_RESOURCES_MANG" hidden="1">"c9507"</definedName>
    <definedName name="IQ_MEASURED_RECOV_ATTRIB_RESOURCES_MET_COAL" hidden="1">"c9756"</definedName>
    <definedName name="IQ_MEASURED_RECOV_ATTRIB_RESOURCES_MOLYB" hidden="1">"c9719"</definedName>
    <definedName name="IQ_MEASURED_RECOV_ATTRIB_RESOURCES_NICK" hidden="1">"c9295"</definedName>
    <definedName name="IQ_MEASURED_RECOV_ATTRIB_RESOURCES_PLAT" hidden="1">"c9133"</definedName>
    <definedName name="IQ_MEASURED_RECOV_ATTRIB_RESOURCES_SILVER" hidden="1">"c9080"</definedName>
    <definedName name="IQ_MEASURED_RECOV_ATTRIB_RESOURCES_STEAM" hidden="1">"c9786"</definedName>
    <definedName name="IQ_MEASURED_RECOV_ATTRIB_RESOURCES_TITAN" hidden="1">"c9560"</definedName>
    <definedName name="IQ_MEASURED_RECOV_ATTRIB_RESOURCES_URAN" hidden="1">"c9613"</definedName>
    <definedName name="IQ_MEASURED_RECOV_ATTRIB_RESOURCES_ZINC" hidden="1">"c9348"</definedName>
    <definedName name="IQ_MEASURED_RECOV_RESOURCES_ALUM" hidden="1">"c9232"</definedName>
    <definedName name="IQ_MEASURED_RECOV_RESOURCES_COAL" hidden="1">"c9811"</definedName>
    <definedName name="IQ_MEASURED_RECOV_RESOURCES_COP" hidden="1">"c9176"</definedName>
    <definedName name="IQ_MEASURED_RECOV_RESOURCES_DIAM" hidden="1">"c9656"</definedName>
    <definedName name="IQ_MEASURED_RECOV_RESOURCES_GOLD" hidden="1">"c9017"</definedName>
    <definedName name="IQ_MEASURED_RECOV_RESOURCES_IRON" hidden="1">"c9391"</definedName>
    <definedName name="IQ_MEASURED_RECOV_RESOURCES_LEAD" hidden="1">"c9444"</definedName>
    <definedName name="IQ_MEASURED_RECOV_RESOURCES_MANG" hidden="1">"c9497"</definedName>
    <definedName name="IQ_MEASURED_RECOV_RESOURCES_MET_COAL" hidden="1">"c9751"</definedName>
    <definedName name="IQ_MEASURED_RECOV_RESOURCES_MOLYB" hidden="1">"c9709"</definedName>
    <definedName name="IQ_MEASURED_RECOV_RESOURCES_NICK" hidden="1">"c9285"</definedName>
    <definedName name="IQ_MEASURED_RECOV_RESOURCES_PLAT" hidden="1">"c9123"</definedName>
    <definedName name="IQ_MEASURED_RECOV_RESOURCES_SILVER" hidden="1">"c9070"</definedName>
    <definedName name="IQ_MEASURED_RECOV_RESOURCES_STEAM" hidden="1">"c9781"</definedName>
    <definedName name="IQ_MEASURED_RECOV_RESOURCES_TITAN" hidden="1">"c9550"</definedName>
    <definedName name="IQ_MEASURED_RECOV_RESOURCES_URAN" hidden="1">"c9603"</definedName>
    <definedName name="IQ_MEASURED_RECOV_RESOURCES_ZINC" hidden="1">"c9338"</definedName>
    <definedName name="IQ_MEASURED_RESOURCES_CALORIFIC_VALUE_COAL" hidden="1">"c9806"</definedName>
    <definedName name="IQ_MEASURED_RESOURCES_CALORIFIC_VALUE_MET_COAL" hidden="1">"c9746"</definedName>
    <definedName name="IQ_MEASURED_RESOURCES_CALORIFIC_VALUE_STEAM" hidden="1">"c9776"</definedName>
    <definedName name="IQ_MEASURED_RESOURCES_GRADE_ALUM" hidden="1">"c9223"</definedName>
    <definedName name="IQ_MEASURED_RESOURCES_GRADE_COP" hidden="1">"c9167"</definedName>
    <definedName name="IQ_MEASURED_RESOURCES_GRADE_DIAM" hidden="1">"c9647"</definedName>
    <definedName name="IQ_MEASURED_RESOURCES_GRADE_GOLD" hidden="1">"c9008"</definedName>
    <definedName name="IQ_MEASURED_RESOURCES_GRADE_IRON" hidden="1">"c9382"</definedName>
    <definedName name="IQ_MEASURED_RESOURCES_GRADE_LEAD" hidden="1">"c9435"</definedName>
    <definedName name="IQ_MEASURED_RESOURCES_GRADE_MANG" hidden="1">"c9488"</definedName>
    <definedName name="IQ_MEASURED_RESOURCES_GRADE_MOLYB" hidden="1">"c9700"</definedName>
    <definedName name="IQ_MEASURED_RESOURCES_GRADE_NICK" hidden="1">"c9276"</definedName>
    <definedName name="IQ_MEASURED_RESOURCES_GRADE_PLAT" hidden="1">"c9114"</definedName>
    <definedName name="IQ_MEASURED_RESOURCES_GRADE_SILVER" hidden="1">"c9061"</definedName>
    <definedName name="IQ_MEASURED_RESOURCES_GRADE_TITAN" hidden="1">"c9541"</definedName>
    <definedName name="IQ_MEASURED_RESOURCES_GRADE_URAN" hidden="1">"c9594"</definedName>
    <definedName name="IQ_MEASURED_RESOURCES_GRADE_ZINC" hidden="1">"c9329"</definedName>
    <definedName name="IQ_MEDIAN_NEW_HOME_SALES_APR_FC_UNUSED_UNUSED_UNUSED" hidden="1">"c8460"</definedName>
    <definedName name="IQ_MEDIAN_NEW_HOME_SALES_APR_UNUSED_UNUSED_UNUSED" hidden="1">"c7580"</definedName>
    <definedName name="IQ_MEDIAN_NEW_HOME_SALES_FC_UNUSED_UNUSED_UNUSED" hidden="1">"c7800"</definedName>
    <definedName name="IQ_MEDIAN_NEW_HOME_SALES_POP_FC_UNUSED_UNUSED_UNUSED" hidden="1">"c8020"</definedName>
    <definedName name="IQ_MEDIAN_NEW_HOME_SALES_POP_UNUSED_UNUSED_UNUSED" hidden="1">"c7140"</definedName>
    <definedName name="IQ_MEDIAN_NEW_HOME_SALES_UNUSED_UNUSED_UNUSED" hidden="1">"c6920"</definedName>
    <definedName name="IQ_MEDIAN_NEW_HOME_SALES_YOY_FC_UNUSED_UNUSED_UNUSED" hidden="1">"c8240"</definedName>
    <definedName name="IQ_MEDIAN_NEW_HOME_SALES_YOY_UNUSED_UNUSED_UNUSED" hidden="1">"c7360"</definedName>
    <definedName name="IQ_MEDIAN_TARGET_PRICE" hidden="1">"c1650"</definedName>
    <definedName name="IQ_MEDIAN_TARGET_PRICE_CIQ" hidden="1">"c4658"</definedName>
    <definedName name="IQ_MERGER" hidden="1">"c713"</definedName>
    <definedName name="IQ_MERGER_BNK" hidden="1">"c714"</definedName>
    <definedName name="IQ_MERGER_BR" hidden="1">"c715"</definedName>
    <definedName name="IQ_MERGER_FIN" hidden="1">"c716"</definedName>
    <definedName name="IQ_MERGER_INS" hidden="1">"c717"</definedName>
    <definedName name="IQ_MERGER_RE" hidden="1">"c6235"</definedName>
    <definedName name="IQ_MERGER_REIT" hidden="1">"c718"</definedName>
    <definedName name="IQ_MERGER_RESTRUCTURE" hidden="1">"c719"</definedName>
    <definedName name="IQ_MERGER_RESTRUCTURE_BNK" hidden="1">"c720"</definedName>
    <definedName name="IQ_MERGER_RESTRUCTURE_BR" hidden="1">"c721"</definedName>
    <definedName name="IQ_MERGER_RESTRUCTURE_FIN" hidden="1">"c722"</definedName>
    <definedName name="IQ_MERGER_RESTRUCTURE_INS" hidden="1">"c723"</definedName>
    <definedName name="IQ_MERGER_RESTRUCTURE_RE" hidden="1">"c6236"</definedName>
    <definedName name="IQ_MERGER_RESTRUCTURE_REIT" hidden="1">"c724"</definedName>
    <definedName name="IQ_MERGER_RESTRUCTURE_UTI" hidden="1">"c725"</definedName>
    <definedName name="IQ_MERGER_UTI" hidden="1">"c726"</definedName>
    <definedName name="IQ_MI_RECOV_ATTRIB_RESOURCES_ALUM" hidden="1">"c9244"</definedName>
    <definedName name="IQ_MI_RECOV_ATTRIB_RESOURCES_COAL" hidden="1">"c9818"</definedName>
    <definedName name="IQ_MI_RECOV_ATTRIB_RESOURCES_COP" hidden="1">"c9188"</definedName>
    <definedName name="IQ_MI_RECOV_ATTRIB_RESOURCES_DIAM" hidden="1">"c9668"</definedName>
    <definedName name="IQ_MI_RECOV_ATTRIB_RESOURCES_GOLD" hidden="1">"c9029"</definedName>
    <definedName name="IQ_MI_RECOV_ATTRIB_RESOURCES_IRON" hidden="1">"c9403"</definedName>
    <definedName name="IQ_MI_RECOV_ATTRIB_RESOURCES_LEAD" hidden="1">"c9456"</definedName>
    <definedName name="IQ_MI_RECOV_ATTRIB_RESOURCES_MANG" hidden="1">"c9509"</definedName>
    <definedName name="IQ_MI_RECOV_ATTRIB_RESOURCES_MET_COAL" hidden="1">"c9758"</definedName>
    <definedName name="IQ_MI_RECOV_ATTRIB_RESOURCES_MOLYB" hidden="1">"c9721"</definedName>
    <definedName name="IQ_MI_RECOV_ATTRIB_RESOURCES_NICK" hidden="1">"c9297"</definedName>
    <definedName name="IQ_MI_RECOV_ATTRIB_RESOURCES_PLAT" hidden="1">"c9135"</definedName>
    <definedName name="IQ_MI_RECOV_ATTRIB_RESOURCES_SILVER" hidden="1">"c9082"</definedName>
    <definedName name="IQ_MI_RECOV_ATTRIB_RESOURCES_STEAM" hidden="1">"c9788"</definedName>
    <definedName name="IQ_MI_RECOV_ATTRIB_RESOURCES_TITAN" hidden="1">"c9562"</definedName>
    <definedName name="IQ_MI_RECOV_ATTRIB_RESOURCES_URAN" hidden="1">"c9615"</definedName>
    <definedName name="IQ_MI_RECOV_ATTRIB_RESOURCES_ZINC" hidden="1">"c9350"</definedName>
    <definedName name="IQ_MI_RESOURCES_CALORIFIC_VALUE_COAL" hidden="1">"c9808"</definedName>
    <definedName name="IQ_MI_RESOURCES_CALORIFIC_VALUE_MET_COAL" hidden="1">"c9748"</definedName>
    <definedName name="IQ_MI_RESOURCES_CALORIFIC_VALUE_STEAM" hidden="1">"c9778"</definedName>
    <definedName name="IQ_MINORITY_INTEREST" hidden="1">"c727"</definedName>
    <definedName name="IQ_MINORITY_INTEREST_BNK" hidden="1">"c728"</definedName>
    <definedName name="IQ_MINORITY_INTEREST_BR" hidden="1">"c729"</definedName>
    <definedName name="IQ_MINORITY_INTEREST_CF" hidden="1">"c730"</definedName>
    <definedName name="IQ_MINORITY_INTEREST_FIN" hidden="1">"c731"</definedName>
    <definedName name="IQ_MINORITY_INTEREST_INS" hidden="1">"c732"</definedName>
    <definedName name="IQ_MINORITY_INTEREST_IS" hidden="1">"c733"</definedName>
    <definedName name="IQ_MINORITY_INTEREST_RE" hidden="1">"c6237"</definedName>
    <definedName name="IQ_MINORITY_INTEREST_REIT" hidden="1">"c734"</definedName>
    <definedName name="IQ_MINORITY_INTEREST_TOTAL" hidden="1">"c1905"</definedName>
    <definedName name="IQ_MINORITY_INTEREST_UTI" hidden="1">"c735"</definedName>
    <definedName name="IQ_MISC_ADJUST_CF" hidden="1">"c736"</definedName>
    <definedName name="IQ_MISC_EARN_ADJ" hidden="1">"c1603"</definedName>
    <definedName name="IQ_MKTCAP_EBT_EXCL" hidden="1">"c737"</definedName>
    <definedName name="IQ_MKTCAP_EBT_EXCL_AVG" hidden="1">"c738"</definedName>
    <definedName name="IQ_MKTCAP_EBT_INCL_AVG" hidden="1">"c739"</definedName>
    <definedName name="IQ_MKTCAP_TOTAL_REV" hidden="1">"c740"</definedName>
    <definedName name="IQ_MKTCAP_TOTAL_REV_AVG" hidden="1">"c741"</definedName>
    <definedName name="IQ_MKTCAP_TOTAL_REV_FWD" hidden="1">"c742"</definedName>
    <definedName name="IQ_MKTCAP_TOTAL_REV_FWD_CIQ" hidden="1">"c4041"</definedName>
    <definedName name="IQ_MM_ACCOUNT" hidden="1">"c743"</definedName>
    <definedName name="IQ_MM_ACCRETION_EXPENSE" hidden="1">"c9845"</definedName>
    <definedName name="IQ_MM_ARO_BEG" hidden="1">"c9842"</definedName>
    <definedName name="IQ_MM_ARO_TOTAL" hidden="1">"c9850"</definedName>
    <definedName name="IQ_MM_CURRENT_PORT_ARO" hidden="1">"c9851"</definedName>
    <definedName name="IQ_MM_DEVELOPED_ACREAGE" hidden="1">"c9832"</definedName>
    <definedName name="IQ_MM_DEVELOPED_SQ_KMS" hidden="1">"c9831"</definedName>
    <definedName name="IQ_MM_DEVELOPED_SQ_MILES" hidden="1">"c9833"</definedName>
    <definedName name="IQ_MM_EXPLORATION_EXPENDITURE_TOT" hidden="1">"c9840"</definedName>
    <definedName name="IQ_MM_FX_ADJUSTMENT" hidden="1">"c9847"</definedName>
    <definedName name="IQ_MM_LIABILITIES_INCURRED_ACQUIRED" hidden="1">"c9843"</definedName>
    <definedName name="IQ_MM_LIABILITIES_REL_SPIN_OFFS" hidden="1">"c9848"</definedName>
    <definedName name="IQ_MM_LIABILITIES_SETTLED_DISPOSED" hidden="1">"c9844"</definedName>
    <definedName name="IQ_MM_NON_CURRENT_PORT_ARO" hidden="1">"c9852"</definedName>
    <definedName name="IQ_MM_NUMBER_MINES" hidden="1">"c9839"</definedName>
    <definedName name="IQ_MM_OTHER_ADJUSTMENTS_ARO" hidden="1">"c9849"</definedName>
    <definedName name="IQ_MM_REMAINING_MINE_LIFE" hidden="1">"c9838"</definedName>
    <definedName name="IQ_MM_RESOURCES_INCL_EXCL_RESERVES" hidden="1">"c9841"</definedName>
    <definedName name="IQ_MM_REVISIONS_ESTIMATE" hidden="1">"c9846"</definedName>
    <definedName name="IQ_MM_STRIPPING_RATIO" hidden="1">"c9837"</definedName>
    <definedName name="IQ_MM_UNDEVELOPED_ACREAGE" hidden="1">"c9835"</definedName>
    <definedName name="IQ_MM_UNDEVELOPED_SQ_KMS" hidden="1">"c9834"</definedName>
    <definedName name="IQ_MM_UNDEVELOPED_SQ_MILES" hidden="1">"c9836"</definedName>
    <definedName name="IQ_MONEY_MARKET_DEPOSIT_ACCOUNTS_FDIC" hidden="1">"c6553"</definedName>
    <definedName name="IQ_MONTH" hidden="1">15000</definedName>
    <definedName name="IQ_MORT_BANK_ACT" hidden="1">"c744"</definedName>
    <definedName name="IQ_MORT_BANKING_FEE" hidden="1">"c745"</definedName>
    <definedName name="IQ_MORT_INT_INC" hidden="1">"c746"</definedName>
    <definedName name="IQ_MORT_LOANS" hidden="1">"c747"</definedName>
    <definedName name="IQ_MORT_SECURITY" hidden="1">"c748"</definedName>
    <definedName name="IQ_MORTGAGE_BACKED_SECURITIES_FDIC" hidden="1">"c6402"</definedName>
    <definedName name="IQ_MORTGAGE_SERV_RIGHTS" hidden="1">"c2242"</definedName>
    <definedName name="IQ_MORTGAGE_SERVICING_FDIC" hidden="1">"c6335"</definedName>
    <definedName name="IQ_MULTIFAMILY_RESIDENTIAL_LOANS_FDIC" hidden="1">"c6311"</definedName>
    <definedName name="IQ_NAMES_REVISION_DATE_" hidden="1">40231.5582175926</definedName>
    <definedName name="IQ_NAPM_BUS_CONDITIONS" hidden="1">"c6921"</definedName>
    <definedName name="IQ_NAPM_BUS_CONDITIONS_APR" hidden="1">"c7581"</definedName>
    <definedName name="IQ_NAPM_BUS_CONDITIONS_APR_FC" hidden="1">"c8461"</definedName>
    <definedName name="IQ_NAPM_BUS_CONDITIONS_FC" hidden="1">"c7801"</definedName>
    <definedName name="IQ_NAPM_BUS_CONDITIONS_POP" hidden="1">"c7141"</definedName>
    <definedName name="IQ_NAPM_BUS_CONDITIONS_POP_FC" hidden="1">"c8021"</definedName>
    <definedName name="IQ_NAPM_BUS_CONDITIONS_YOY" hidden="1">"c7361"</definedName>
    <definedName name="IQ_NAPM_BUS_CONDITIONS_YOY_FC" hidden="1">"c8241"</definedName>
    <definedName name="IQ_NET_CHANGE" hidden="1">"c749"</definedName>
    <definedName name="IQ_NET_CHARGE_OFFS_FDIC" hidden="1">"c6641"</definedName>
    <definedName name="IQ_NET_CHARGE_OFFS_LOANS_FDIC" hidden="1">"c6751"</definedName>
    <definedName name="IQ_NET_CLAIM_EXP_INCUR" hidden="1">"c2757"</definedName>
    <definedName name="IQ_NET_CLAIM_EXP_INCUR_CY" hidden="1">"c2761"</definedName>
    <definedName name="IQ_NET_CLAIM_EXP_INCUR_PY" hidden="1">"c2762"</definedName>
    <definedName name="IQ_NET_CLAIM_EXP_PAID" hidden="1">"c2760"</definedName>
    <definedName name="IQ_NET_CLAIM_EXP_PAID_CY" hidden="1">"c2763"</definedName>
    <definedName name="IQ_NET_CLAIM_EXP_PAID_PY" hidden="1">"c2764"</definedName>
    <definedName name="IQ_NET_CLAIM_EXP_RES" hidden="1">"c2754"</definedName>
    <definedName name="IQ_NET_DEBT" hidden="1">"c1584"</definedName>
    <definedName name="IQ_NET_DEBT_EBITDA" hidden="1">"c750"</definedName>
    <definedName name="IQ_NET_DEBT_EBITDA_CAPEX" hidden="1">"c2949"</definedName>
    <definedName name="IQ_NET_DEBT_ISSUED" hidden="1">"c751"</definedName>
    <definedName name="IQ_NET_DEBT_ISSUED_BNK" hidden="1">"c752"</definedName>
    <definedName name="IQ_NET_DEBT_ISSUED_BR" hidden="1">"c753"</definedName>
    <definedName name="IQ_NET_DEBT_ISSUED_FIN" hidden="1">"c754"</definedName>
    <definedName name="IQ_NET_DEBT_ISSUED_INS" hidden="1">"c755"</definedName>
    <definedName name="IQ_NET_DEBT_ISSUED_RE" hidden="1">"c6238"</definedName>
    <definedName name="IQ_NET_DEBT_ISSUED_REIT" hidden="1">"c756"</definedName>
    <definedName name="IQ_NET_DEBT_ISSUED_UTI" hidden="1">"c757"</definedName>
    <definedName name="IQ_NET_EARNED" hidden="1">"c2734"</definedName>
    <definedName name="IQ_NET_INC" hidden="1">"c1394"</definedName>
    <definedName name="IQ_NET_INC_BEFORE" hidden="1">"c1368"</definedName>
    <definedName name="IQ_NET_INC_CF" hidden="1">"c1397"</definedName>
    <definedName name="IQ_NET_INC_MARGIN" hidden="1">"c1398"</definedName>
    <definedName name="IQ_NET_INCOME_FDIC" hidden="1">"c6587"</definedName>
    <definedName name="IQ_NET_INT_INC_10YR_ANN_CAGR" hidden="1">"c6100"</definedName>
    <definedName name="IQ_NET_INT_INC_10YR_ANN_GROWTH" hidden="1">"c758"</definedName>
    <definedName name="IQ_NET_INT_INC_1YR_ANN_GROWTH" hidden="1">"c759"</definedName>
    <definedName name="IQ_NET_INT_INC_2YR_ANN_CAGR" hidden="1">"c6101"</definedName>
    <definedName name="IQ_NET_INT_INC_2YR_ANN_GROWTH" hidden="1">"c760"</definedName>
    <definedName name="IQ_NET_INT_INC_3YR_ANN_CAGR" hidden="1">"c6102"</definedName>
    <definedName name="IQ_NET_INT_INC_3YR_ANN_GROWTH" hidden="1">"c761"</definedName>
    <definedName name="IQ_NET_INT_INC_5YR_ANN_CAGR" hidden="1">"c6103"</definedName>
    <definedName name="IQ_NET_INT_INC_5YR_ANN_GROWTH" hidden="1">"c762"</definedName>
    <definedName name="IQ_NET_INT_INC_7YR_ANN_CAGR" hidden="1">"c6104"</definedName>
    <definedName name="IQ_NET_INT_INC_7YR_ANN_GROWTH" hidden="1">"c763"</definedName>
    <definedName name="IQ_NET_INT_INC_AFTER_LL_BNK_SUBTOTAL_AP" hidden="1">"c8979"</definedName>
    <definedName name="IQ_NET_INT_INC_BNK" hidden="1">"c764"</definedName>
    <definedName name="IQ_NET_INT_INC_BNK_AP" hidden="1">"c8874"</definedName>
    <definedName name="IQ_NET_INT_INC_BNK_AP_ABS" hidden="1">"c8893"</definedName>
    <definedName name="IQ_NET_INT_INC_BNK_FDIC" hidden="1">"c6570"</definedName>
    <definedName name="IQ_NET_INT_INC_BNK_NAME_AP" hidden="1">"c8912"</definedName>
    <definedName name="IQ_NET_INT_INC_BNK_NAME_AP_ABS" hidden="1">"c8931"</definedName>
    <definedName name="IQ_NET_INT_INC_BNK_SUBTOTAL_AP" hidden="1">"c8978"</definedName>
    <definedName name="IQ_NET_INT_INC_BR" hidden="1">"c765"</definedName>
    <definedName name="IQ_NET_INT_INC_FIN" hidden="1">"c766"</definedName>
    <definedName name="IQ_NET_INT_INC_TOTAL_REV" hidden="1">"c767"</definedName>
    <definedName name="IQ_NET_INT_MARGIN" hidden="1">"c768"</definedName>
    <definedName name="IQ_NET_INTEREST_EXP" hidden="1">"c769"</definedName>
    <definedName name="IQ_NET_INTEREST_EXP_RE" hidden="1">"c6239"</definedName>
    <definedName name="IQ_NET_INTEREST_EXP_REIT" hidden="1">"c770"</definedName>
    <definedName name="IQ_NET_INTEREST_EXP_UTI" hidden="1">"c771"</definedName>
    <definedName name="IQ_NET_INTEREST_INC" hidden="1">"c1392"</definedName>
    <definedName name="IQ_NET_INTEREST_INC_AFTER_LL" hidden="1">"c1604"</definedName>
    <definedName name="IQ_NET_INTEREST_MARGIN_FDIC" hidden="1">"c6726"</definedName>
    <definedName name="IQ_NET_LIFE_INS_IN_FORCE" hidden="1">"c2769"</definedName>
    <definedName name="IQ_NET_LOANS" hidden="1">"c772"</definedName>
    <definedName name="IQ_NET_LOANS_10YR_ANN_CAGR" hidden="1">"c6105"</definedName>
    <definedName name="IQ_NET_LOANS_10YR_ANN_GROWTH" hidden="1">"c773"</definedName>
    <definedName name="IQ_NET_LOANS_1YR_ANN_GROWTH" hidden="1">"c774"</definedName>
    <definedName name="IQ_NET_LOANS_2YR_ANN_CAGR" hidden="1">"c6106"</definedName>
    <definedName name="IQ_NET_LOANS_2YR_ANN_GROWTH" hidden="1">"c775"</definedName>
    <definedName name="IQ_NET_LOANS_3YR_ANN_CAGR" hidden="1">"c6107"</definedName>
    <definedName name="IQ_NET_LOANS_3YR_ANN_GROWTH" hidden="1">"c776"</definedName>
    <definedName name="IQ_NET_LOANS_5YR_ANN_CAGR" hidden="1">"c6108"</definedName>
    <definedName name="IQ_NET_LOANS_5YR_ANN_GROWTH" hidden="1">"c777"</definedName>
    <definedName name="IQ_NET_LOANS_7YR_ANN_CAGR" hidden="1">"c6109"</definedName>
    <definedName name="IQ_NET_LOANS_7YR_ANN_GROWTH" hidden="1">"c778"</definedName>
    <definedName name="IQ_NET_LOANS_LEASES_CORE_DEPOSITS_FDIC" hidden="1">"c6743"</definedName>
    <definedName name="IQ_NET_LOANS_LEASES_DEPOSITS_FDIC" hidden="1">"c6742"</definedName>
    <definedName name="IQ_NET_LOANS_TOTAL_DEPOSITS" hidden="1">"c779"</definedName>
    <definedName name="IQ_NET_OPERATING_INCOME_ASSETS_FDIC" hidden="1">"c6729"</definedName>
    <definedName name="IQ_NET_RENTAL_EXP_FN" hidden="1">"c780"</definedName>
    <definedName name="IQ_NET_SECURITIZATION_INCOME_FDIC" hidden="1">"c6669"</definedName>
    <definedName name="IQ_NET_SERVICING_FEES_FDIC" hidden="1">"c6668"</definedName>
    <definedName name="IQ_NET_TO_GROSS_EARNED" hidden="1">"c2750"</definedName>
    <definedName name="IQ_NET_TO_GROSS_WRITTEN" hidden="1">"c2729"</definedName>
    <definedName name="IQ_NET_WORKING_CAP" hidden="1">"c3493"</definedName>
    <definedName name="IQ_NET_WRITTEN" hidden="1">"c2728"</definedName>
    <definedName name="IQ_NEW_PREM" hidden="1">"c2785"</definedName>
    <definedName name="IQ_NEXT_CALL_DATE" hidden="1">"c2198"</definedName>
    <definedName name="IQ_NEXT_CALL_PRICE" hidden="1">"c2199"</definedName>
    <definedName name="IQ_NEXT_INT_DATE" hidden="1">"c2187"</definedName>
    <definedName name="IQ_NEXT_PUT_DATE" hidden="1">"c2200"</definedName>
    <definedName name="IQ_NEXT_PUT_PRICE" hidden="1">"c2201"</definedName>
    <definedName name="IQ_NEXT_SINK_FUND_AMOUNT" hidden="1">"c2490"</definedName>
    <definedName name="IQ_NEXT_SINK_FUND_DATE" hidden="1">"c2489"</definedName>
    <definedName name="IQ_NEXT_SINK_FUND_PRICE" hidden="1">"c2491"</definedName>
    <definedName name="IQ_NEXT_YR_PROD_EST_MAX_ALUM" hidden="1">"c9251"</definedName>
    <definedName name="IQ_NEXT_YR_PROD_EST_MAX_CATHODE_COP" hidden="1">"c9198"</definedName>
    <definedName name="IQ_NEXT_YR_PROD_EST_MAX_COP" hidden="1">"c9196"</definedName>
    <definedName name="IQ_NEXT_YR_PROD_EST_MAX_DIAM" hidden="1">"c9675"</definedName>
    <definedName name="IQ_NEXT_YR_PROD_EST_MAX_GOLD" hidden="1">"c9036"</definedName>
    <definedName name="IQ_NEXT_YR_PROD_EST_MAX_IRON" hidden="1">"c9410"</definedName>
    <definedName name="IQ_NEXT_YR_PROD_EST_MAX_LEAD" hidden="1">"c9463"</definedName>
    <definedName name="IQ_NEXT_YR_PROD_EST_MAX_MANG" hidden="1">"c9516"</definedName>
    <definedName name="IQ_NEXT_YR_PROD_EST_MAX_MOLYB" hidden="1">"c9728"</definedName>
    <definedName name="IQ_NEXT_YR_PROD_EST_MAX_NICK" hidden="1">"c9304"</definedName>
    <definedName name="IQ_NEXT_YR_PROD_EST_MAX_PLAT" hidden="1">"c9142"</definedName>
    <definedName name="IQ_NEXT_YR_PROD_EST_MAX_SILVER" hidden="1">"c9089"</definedName>
    <definedName name="IQ_NEXT_YR_PROD_EST_MAX_TITAN" hidden="1">"c9569"</definedName>
    <definedName name="IQ_NEXT_YR_PROD_EST_MAX_URAN" hidden="1">"c9622"</definedName>
    <definedName name="IQ_NEXT_YR_PROD_EST_MAX_ZINC" hidden="1">"c9357"</definedName>
    <definedName name="IQ_NEXT_YR_PROD_EST_MIN_ALUM" hidden="1">"c9250"</definedName>
    <definedName name="IQ_NEXT_YR_PROD_EST_MIN_CATHODE_COP" hidden="1">"c9197"</definedName>
    <definedName name="IQ_NEXT_YR_PROD_EST_MIN_COP" hidden="1">"c9195"</definedName>
    <definedName name="IQ_NEXT_YR_PROD_EST_MIN_DIAM" hidden="1">"c9674"</definedName>
    <definedName name="IQ_NEXT_YR_PROD_EST_MIN_GOLD" hidden="1">"c9035"</definedName>
    <definedName name="IQ_NEXT_YR_PROD_EST_MIN_IRON" hidden="1">"c9409"</definedName>
    <definedName name="IQ_NEXT_YR_PROD_EST_MIN_LEAD" hidden="1">"c9462"</definedName>
    <definedName name="IQ_NEXT_YR_PROD_EST_MIN_MANG" hidden="1">"c9515"</definedName>
    <definedName name="IQ_NEXT_YR_PROD_EST_MIN_MOLYB" hidden="1">"c9727"</definedName>
    <definedName name="IQ_NEXT_YR_PROD_EST_MIN_NICK" hidden="1">"c9303"</definedName>
    <definedName name="IQ_NEXT_YR_PROD_EST_MIN_PLAT" hidden="1">"c9141"</definedName>
    <definedName name="IQ_NEXT_YR_PROD_EST_MIN_SILVER" hidden="1">"c9088"</definedName>
    <definedName name="IQ_NEXT_YR_PROD_EST_MIN_TITAN" hidden="1">"c9568"</definedName>
    <definedName name="IQ_NEXT_YR_PROD_EST_MIN_URAN" hidden="1">"c9621"</definedName>
    <definedName name="IQ_NEXT_YR_PROD_EST_MIN_ZINC" hidden="1">"c9356"</definedName>
    <definedName name="IQ_NI" hidden="1">"c781"</definedName>
    <definedName name="IQ_NI_10YR_ANN_CAGR" hidden="1">"c6110"</definedName>
    <definedName name="IQ_NI_10YR_ANN_GROWTH" hidden="1">"c782"</definedName>
    <definedName name="IQ_NI_1YR_ANN_GROWTH" hidden="1">"c783"</definedName>
    <definedName name="IQ_NI_2YR_ANN_CAGR" hidden="1">"c6111"</definedName>
    <definedName name="IQ_NI_2YR_ANN_GROWTH" hidden="1">"c784"</definedName>
    <definedName name="IQ_NI_3YR_ANN_CAGR" hidden="1">"c6112"</definedName>
    <definedName name="IQ_NI_3YR_ANN_GROWTH" hidden="1">"c785"</definedName>
    <definedName name="IQ_NI_5YR_ANN_CAGR" hidden="1">"c6113"</definedName>
    <definedName name="IQ_NI_5YR_ANN_GROWTH" hidden="1">"c786"</definedName>
    <definedName name="IQ_NI_7YR_ANN_CAGR" hidden="1">"c6114"</definedName>
    <definedName name="IQ_NI_7YR_ANN_GROWTH" hidden="1">"c787"</definedName>
    <definedName name="IQ_NI_AFTER_CAPITALIZED" hidden="1">"c788"</definedName>
    <definedName name="IQ_NI_AVAIL_EXCL" hidden="1">"c789"</definedName>
    <definedName name="IQ_NI_AVAIL_EXCL_MARGIN" hidden="1">"c790"</definedName>
    <definedName name="IQ_NI_AVAIL_INCL" hidden="1">"c791"</definedName>
    <definedName name="IQ_NI_AVAIL_SUBTOTAL_AP" hidden="1">"c8984"</definedName>
    <definedName name="IQ_NI_BEFORE_CAPITALIZED" hidden="1">"c792"</definedName>
    <definedName name="IQ_NI_CF" hidden="1">"c793"</definedName>
    <definedName name="IQ_NI_CHARGES_AP" hidden="1">"c8879"</definedName>
    <definedName name="IQ_NI_CHARGES_AP_ABS" hidden="1">"c8898"</definedName>
    <definedName name="IQ_NI_CHARGES_NAME_AP" hidden="1">"c8917"</definedName>
    <definedName name="IQ_NI_CHARGES_NAME_AP_ABS" hidden="1">"c8936"</definedName>
    <definedName name="IQ_NI_MARGIN" hidden="1">"c794"</definedName>
    <definedName name="IQ_NI_NORM" hidden="1">"c1901"</definedName>
    <definedName name="IQ_NI_NORM_10YR_ANN_CAGR" hidden="1">"c6189"</definedName>
    <definedName name="IQ_NI_NORM_10YR_ANN_GROWTH" hidden="1">"c1960"</definedName>
    <definedName name="IQ_NI_NORM_1YR_ANN_GROWTH" hidden="1">"c1955"</definedName>
    <definedName name="IQ_NI_NORM_2YR_ANN_CAGR" hidden="1">"c6185"</definedName>
    <definedName name="IQ_NI_NORM_2YR_ANN_GROWTH" hidden="1">"c1956"</definedName>
    <definedName name="IQ_NI_NORM_3YR_ANN_CAGR" hidden="1">"c6186"</definedName>
    <definedName name="IQ_NI_NORM_3YR_ANN_GROWTH" hidden="1">"c1957"</definedName>
    <definedName name="IQ_NI_NORM_5YR_ANN_CAGR" hidden="1">"c6187"</definedName>
    <definedName name="IQ_NI_NORM_5YR_ANN_GROWTH" hidden="1">"c1958"</definedName>
    <definedName name="IQ_NI_NORM_7YR_ANN_CAGR" hidden="1">"c6188"</definedName>
    <definedName name="IQ_NI_NORM_7YR_ANN_GROWTH" hidden="1">"c1959"</definedName>
    <definedName name="IQ_NI_NORM_MARGIN" hidden="1">"c1964"</definedName>
    <definedName name="IQ_NI_SBC_ACT_OR_EST_CIQ" hidden="1">"c5012"</definedName>
    <definedName name="IQ_NI_SBC_GW_ACT_OR_EST_CIQ" hidden="1">"c5016"</definedName>
    <definedName name="IQ_NI_SFAS" hidden="1">"c795"</definedName>
    <definedName name="IQ_NI_SUBTOTAL_AP" hidden="1">"c8983"</definedName>
    <definedName name="IQ_NLA_PCT_LEASED_CONSOL" hidden="1">"c8815"</definedName>
    <definedName name="IQ_NLA_PCT_LEASED_MANAGED" hidden="1">"c8817"</definedName>
    <definedName name="IQ_NLA_PCT_LEASED_OTHER" hidden="1">"c8818"</definedName>
    <definedName name="IQ_NLA_PCT_LEASED_TOTAL" hidden="1">"c8819"</definedName>
    <definedName name="IQ_NLA_PCT_LEASED_UNCONSOL" hidden="1">"c8816"</definedName>
    <definedName name="IQ_NLA_SQ_FT_CONSOL" hidden="1">"c8800"</definedName>
    <definedName name="IQ_NLA_SQ_FT_MANAGED" hidden="1">"c8802"</definedName>
    <definedName name="IQ_NLA_SQ_FT_OTHER" hidden="1">"c8803"</definedName>
    <definedName name="IQ_NLA_SQ_FT_TOTAL" hidden="1">"c8804"</definedName>
    <definedName name="IQ_NLA_SQ_FT_UNCONSOL" hidden="1">"c8801"</definedName>
    <definedName name="IQ_NLA_SQ_METER_CONSOL" hidden="1">"c8805"</definedName>
    <definedName name="IQ_NLA_SQ_METER_MANAGED" hidden="1">"c8807"</definedName>
    <definedName name="IQ_NLA_SQ_METER_OTHER" hidden="1">"c8808"</definedName>
    <definedName name="IQ_NLA_SQ_METER_TOTAL" hidden="1">"c8809"</definedName>
    <definedName name="IQ_NLA_SQ_METER_UNCONSOL" hidden="1">"c8806"</definedName>
    <definedName name="IQ_NOL_CF_1YR" hidden="1">"c3465"</definedName>
    <definedName name="IQ_NOL_CF_2YR" hidden="1">"c3466"</definedName>
    <definedName name="IQ_NOL_CF_3YR" hidden="1">"c3467"</definedName>
    <definedName name="IQ_NOL_CF_4YR" hidden="1">"c3468"</definedName>
    <definedName name="IQ_NOL_CF_5YR" hidden="1">"c3469"</definedName>
    <definedName name="IQ_NOL_CF_AFTER_FIVE" hidden="1">"c3470"</definedName>
    <definedName name="IQ_NOL_CF_MAX_YEAR" hidden="1">"c3473"</definedName>
    <definedName name="IQ_NOL_CF_NO_EXP" hidden="1">"c3471"</definedName>
    <definedName name="IQ_NOL_CF_TOTAL" hidden="1">"c3472"</definedName>
    <definedName name="IQ_NON_ACCRUAL_LOANS" hidden="1">"c796"</definedName>
    <definedName name="IQ_NON_CASH" hidden="1">"c1399"</definedName>
    <definedName name="IQ_NON_CASH_ITEMS" hidden="1">"c797"</definedName>
    <definedName name="IQ_NON_INS_EXP" hidden="1">"c798"</definedName>
    <definedName name="IQ_NON_INS_REV" hidden="1">"c799"</definedName>
    <definedName name="IQ_NON_INT_BEAR_CD" hidden="1">"c11750"</definedName>
    <definedName name="IQ_NON_INT_BEARING_DEPOSITS" hidden="1">"c800"</definedName>
    <definedName name="IQ_NON_INT_EXP" hidden="1">"c801"</definedName>
    <definedName name="IQ_NON_INT_EXP_BNK_AP" hidden="1">"c8877"</definedName>
    <definedName name="IQ_NON_INT_EXP_BNK_AP_ABS" hidden="1">"c8896"</definedName>
    <definedName name="IQ_NON_INT_EXP_BNK_NAME_AP" hidden="1">"c8915"</definedName>
    <definedName name="IQ_NON_INT_EXP_BNK_NAME_AP_ABS" hidden="1">"c8934"</definedName>
    <definedName name="IQ_NON_INT_EXP_BNK_SUBTOTAL_AP" hidden="1">"c8981"</definedName>
    <definedName name="IQ_NON_INT_EXP_FDIC" hidden="1">"c6579"</definedName>
    <definedName name="IQ_NON_INT_INC" hidden="1">"c802"</definedName>
    <definedName name="IQ_NON_INT_INC_10YR_ANN_CAGR" hidden="1">"c6115"</definedName>
    <definedName name="IQ_NON_INT_INC_10YR_ANN_GROWTH" hidden="1">"c803"</definedName>
    <definedName name="IQ_NON_INT_INC_1YR_ANN_GROWTH" hidden="1">"c804"</definedName>
    <definedName name="IQ_NON_INT_INC_2YR_ANN_CAGR" hidden="1">"c6116"</definedName>
    <definedName name="IQ_NON_INT_INC_2YR_ANN_GROWTH" hidden="1">"c805"</definedName>
    <definedName name="IQ_NON_INT_INC_3YR_ANN_CAGR" hidden="1">"c6117"</definedName>
    <definedName name="IQ_NON_INT_INC_3YR_ANN_GROWTH" hidden="1">"c806"</definedName>
    <definedName name="IQ_NON_INT_INC_5YR_ANN_CAGR" hidden="1">"c6118"</definedName>
    <definedName name="IQ_NON_INT_INC_5YR_ANN_GROWTH" hidden="1">"c807"</definedName>
    <definedName name="IQ_NON_INT_INC_7YR_ANN_CAGR" hidden="1">"c6119"</definedName>
    <definedName name="IQ_NON_INT_INC_7YR_ANN_GROWTH" hidden="1">"c808"</definedName>
    <definedName name="IQ_NON_INT_INC_BNK_AP" hidden="1">"c8876"</definedName>
    <definedName name="IQ_NON_INT_INC_BNK_AP_ABS" hidden="1">"c8895"</definedName>
    <definedName name="IQ_NON_INT_INC_BNK_NAME_AP" hidden="1">"c8914"</definedName>
    <definedName name="IQ_NON_INT_INC_BNK_NAME_AP_ABS" hidden="1">"c8933"</definedName>
    <definedName name="IQ_NON_INT_INC_BNK_SUBTOTAL_AP" hidden="1">"c8980"</definedName>
    <definedName name="IQ_NON_INT_INC_FDIC" hidden="1">"c6575"</definedName>
    <definedName name="IQ_NON_INTEREST_EXP" hidden="1">"c1400"</definedName>
    <definedName name="IQ_NON_INTEREST_INC" hidden="1">"c1401"</definedName>
    <definedName name="IQ_NON_OPER_EXP" hidden="1">"c809"</definedName>
    <definedName name="IQ_NON_OPER_INC" hidden="1">"c810"</definedName>
    <definedName name="IQ_NON_PERF_ASSETS_10YR_ANN_CAGR" hidden="1">"c6120"</definedName>
    <definedName name="IQ_NON_PERF_ASSETS_10YR_ANN_GROWTH" hidden="1">"c811"</definedName>
    <definedName name="IQ_NON_PERF_ASSETS_1YR_ANN_GROWTH" hidden="1">"c812"</definedName>
    <definedName name="IQ_NON_PERF_ASSETS_2YR_ANN_CAGR" hidden="1">"c6121"</definedName>
    <definedName name="IQ_NON_PERF_ASSETS_2YR_ANN_GROWTH" hidden="1">"c813"</definedName>
    <definedName name="IQ_NON_PERF_ASSETS_3YR_ANN_CAGR" hidden="1">"c6122"</definedName>
    <definedName name="IQ_NON_PERF_ASSETS_3YR_ANN_GROWTH" hidden="1">"c814"</definedName>
    <definedName name="IQ_NON_PERF_ASSETS_5YR_ANN_CAGR" hidden="1">"c6123"</definedName>
    <definedName name="IQ_NON_PERF_ASSETS_5YR_ANN_GROWTH" hidden="1">"c815"</definedName>
    <definedName name="IQ_NON_PERF_ASSETS_7YR_ANN_CAGR" hidden="1">"c6124"</definedName>
    <definedName name="IQ_NON_PERF_ASSETS_7YR_ANN_GROWTH" hidden="1">"c816"</definedName>
    <definedName name="IQ_NON_PERF_ASSETS_TOTAL_ASSETS" hidden="1">"c817"</definedName>
    <definedName name="IQ_NON_PERF_LOANS_10YR_ANN_CAGR" hidden="1">"c6125"</definedName>
    <definedName name="IQ_NON_PERF_LOANS_10YR_ANN_GROWTH" hidden="1">"c818"</definedName>
    <definedName name="IQ_NON_PERF_LOANS_1YR_ANN_GROWTH" hidden="1">"c819"</definedName>
    <definedName name="IQ_NON_PERF_LOANS_2YR_ANN_CAGR" hidden="1">"c6126"</definedName>
    <definedName name="IQ_NON_PERF_LOANS_2YR_ANN_GROWTH" hidden="1">"c820"</definedName>
    <definedName name="IQ_NON_PERF_LOANS_3YR_ANN_CAGR" hidden="1">"c6127"</definedName>
    <definedName name="IQ_NON_PERF_LOANS_3YR_ANN_GROWTH" hidden="1">"c821"</definedName>
    <definedName name="IQ_NON_PERF_LOANS_5YR_ANN_CAGR" hidden="1">"c6128"</definedName>
    <definedName name="IQ_NON_PERF_LOANS_5YR_ANN_GROWTH" hidden="1">"c822"</definedName>
    <definedName name="IQ_NON_PERF_LOANS_7YR_ANN_CAGR" hidden="1">"c6129"</definedName>
    <definedName name="IQ_NON_PERF_LOANS_7YR_ANN_GROWTH" hidden="1">"c823"</definedName>
    <definedName name="IQ_NON_PERF_LOANS_TOTAL_ASSETS" hidden="1">"c824"</definedName>
    <definedName name="IQ_NON_PERF_LOANS_TOTAL_LOANS" hidden="1">"c825"</definedName>
    <definedName name="IQ_NON_PERFORMING_ASSETS" hidden="1">"c826"</definedName>
    <definedName name="IQ_NON_PERFORMING_LOANS" hidden="1">"c827"</definedName>
    <definedName name="IQ_NON_US_ADDRESSEES_TOTAL_LOANS_FOREIGN_FDIC" hidden="1">"c6443"</definedName>
    <definedName name="IQ_NON_US_CHARGE_OFFS_AND_RECOVERIES_FDIC" hidden="1">"c6650"</definedName>
    <definedName name="IQ_NON_US_CHARGE_OFFS_FDIC" hidden="1">"c6648"</definedName>
    <definedName name="IQ_NON_US_COMMERCIAL_INDUSTRIAL_CHARGE_OFFS_FDIC" hidden="1">"c6651"</definedName>
    <definedName name="IQ_NON_US_NET_LOANS_FDIC" hidden="1">"c6376"</definedName>
    <definedName name="IQ_NON_US_RECOVERIES_FDIC" hidden="1">"c6649"</definedName>
    <definedName name="IQ_NONCASH_PENSION_EXP" hidden="1">"c3000"</definedName>
    <definedName name="IQ_NONCURRENT_LOANS_1_4_FAMILY_FDIC" hidden="1">"c6770"</definedName>
    <definedName name="IQ_NONCURRENT_LOANS_COMMERCIAL_INDUSTRIAL_FDIC" hidden="1">"c6773"</definedName>
    <definedName name="IQ_NONCURRENT_LOANS_COMMERCIAL_RE_FDIC" hidden="1">"c6768"</definedName>
    <definedName name="IQ_NONCURRENT_LOANS_COMMERCIAL_RE_NOT_SECURED_FDIC" hidden="1">"c6778"</definedName>
    <definedName name="IQ_NONCURRENT_LOANS_CONSTRUCTION_LAND_DEV_FDIC" hidden="1">"c6767"</definedName>
    <definedName name="IQ_NONCURRENT_LOANS_CREDIT_CARD_FDIC" hidden="1">"c6775"</definedName>
    <definedName name="IQ_NONCURRENT_LOANS_GUARANTEED_FDIC" hidden="1">"c6358"</definedName>
    <definedName name="IQ_NONCURRENT_LOANS_HOME_EQUITY_FDIC" hidden="1">"c6771"</definedName>
    <definedName name="IQ_NONCURRENT_LOANS_INDIVIDUALS_FDIC" hidden="1">"c6774"</definedName>
    <definedName name="IQ_NONCURRENT_LOANS_LEASES_FDIC" hidden="1">"c6357"</definedName>
    <definedName name="IQ_NONCURRENT_LOANS_MULTIFAMILY_FDIC" hidden="1">"c6769"</definedName>
    <definedName name="IQ_NONCURRENT_LOANS_OTHER_FAMILY_FDIC" hidden="1">"c6772"</definedName>
    <definedName name="IQ_NONCURRENT_LOANS_OTHER_INDIVIDUAL_FDIC" hidden="1">"c6776"</definedName>
    <definedName name="IQ_NONCURRENT_LOANS_OTHER_LOANS_FDIC" hidden="1">"c6777"</definedName>
    <definedName name="IQ_NONCURRENT_LOANS_RE_FDIC" hidden="1">"c6766"</definedName>
    <definedName name="IQ_NONCURRENT_LOANS_TOTAL_LOANS_FDIC" hidden="1">"c6765"</definedName>
    <definedName name="IQ_NONCURRENT_OREO_ASSETS_FDIC" hidden="1">"c6741"</definedName>
    <definedName name="IQ_NONDEF_CAPITAL_GOODS_ORDERS" hidden="1">"c6932"</definedName>
    <definedName name="IQ_NONDEF_CAPITAL_GOODS_ORDERS_APR" hidden="1">"c7592"</definedName>
    <definedName name="IQ_NONDEF_CAPITAL_GOODS_ORDERS_APR_FC" hidden="1">"c8472"</definedName>
    <definedName name="IQ_NONDEF_CAPITAL_GOODS_ORDERS_FC" hidden="1">"c7812"</definedName>
    <definedName name="IQ_NONDEF_CAPITAL_GOODS_ORDERS_POP" hidden="1">"c7152"</definedName>
    <definedName name="IQ_NONDEF_CAPITAL_GOODS_ORDERS_POP_FC" hidden="1">"c8032"</definedName>
    <definedName name="IQ_NONDEF_CAPITAL_GOODS_ORDERS_YOY" hidden="1">"c7372"</definedName>
    <definedName name="IQ_NONDEF_CAPITAL_GOODS_ORDERS_YOY_FC" hidden="1">"c8252"</definedName>
    <definedName name="IQ_NONDEF_CAPITAL_GOODS_SHIPMENTS" hidden="1">"c6933"</definedName>
    <definedName name="IQ_NONDEF_CAPITAL_GOODS_SHIPMENTS_APR" hidden="1">"c7593"</definedName>
    <definedName name="IQ_NONDEF_CAPITAL_GOODS_SHIPMENTS_APR_FC" hidden="1">"c8473"</definedName>
    <definedName name="IQ_NONDEF_CAPITAL_GOODS_SHIPMENTS_FC" hidden="1">"c7813"</definedName>
    <definedName name="IQ_NONDEF_CAPITAL_GOODS_SHIPMENTS_POP" hidden="1">"c7153"</definedName>
    <definedName name="IQ_NONDEF_CAPITAL_GOODS_SHIPMENTS_POP_FC" hidden="1">"c8033"</definedName>
    <definedName name="IQ_NONDEF_CAPITAL_GOODS_SHIPMENTS_YOY" hidden="1">"c7373"</definedName>
    <definedName name="IQ_NONDEF_CAPITAL_GOODS_SHIPMENTS_YOY_FC" hidden="1">"c8253"</definedName>
    <definedName name="IQ_NONDEF_SPENDING_SAAR" hidden="1">"c6934"</definedName>
    <definedName name="IQ_NONDEF_SPENDING_SAAR_APR" hidden="1">"c7594"</definedName>
    <definedName name="IQ_NONDEF_SPENDING_SAAR_APR_FC" hidden="1">"c8474"</definedName>
    <definedName name="IQ_NONDEF_SPENDING_SAAR_FC" hidden="1">"c7814"</definedName>
    <definedName name="IQ_NONDEF_SPENDING_SAAR_POP" hidden="1">"c7154"</definedName>
    <definedName name="IQ_NONDEF_SPENDING_SAAR_POP_FC" hidden="1">"c8034"</definedName>
    <definedName name="IQ_NONDEF_SPENDING_SAAR_YOY" hidden="1">"c7374"</definedName>
    <definedName name="IQ_NONDEF_SPENDING_SAAR_YOY_FC" hidden="1">"c8254"</definedName>
    <definedName name="IQ_NONFARM_EMP_HRS_PCT_CHANGE" hidden="1">"c6935"</definedName>
    <definedName name="IQ_NONFARM_EMP_HRS_PCT_CHANGE_FC" hidden="1">"c7815"</definedName>
    <definedName name="IQ_NONFARM_EMP_HRS_PCT_CHANGE_POP" hidden="1">"c7155"</definedName>
    <definedName name="IQ_NONFARM_EMP_HRS_PCT_CHANGE_POP_FC" hidden="1">"c8035"</definedName>
    <definedName name="IQ_NONFARM_EMP_HRS_PCT_CHANGE_YOY" hidden="1">"c7375"</definedName>
    <definedName name="IQ_NONFARM_EMP_HRS_PCT_CHANGE_YOY_FC" hidden="1">"c8255"</definedName>
    <definedName name="IQ_NONFARM_OUTPUT_PER_HR" hidden="1">"c6936"</definedName>
    <definedName name="IQ_NONFARM_OUTPUT_PER_HR_APR" hidden="1">"c7596"</definedName>
    <definedName name="IQ_NONFARM_OUTPUT_PER_HR_APR_FC" hidden="1">"c8476"</definedName>
    <definedName name="IQ_NONFARM_OUTPUT_PER_HR_FC" hidden="1">"c7816"</definedName>
    <definedName name="IQ_NONFARM_OUTPUT_PER_HR_POP" hidden="1">"c7156"</definedName>
    <definedName name="IQ_NONFARM_OUTPUT_PER_HR_POP_FC" hidden="1">"c8036"</definedName>
    <definedName name="IQ_NONFARM_OUTPUT_PER_HR_YOY" hidden="1">"c7376"</definedName>
    <definedName name="IQ_NONFARM_OUTPUT_PER_HR_YOY_FC" hidden="1">"c8256"</definedName>
    <definedName name="IQ_NONFARM_PAYROLLS" hidden="1">"c6926"</definedName>
    <definedName name="IQ_NONFARM_PAYROLLS_APR" hidden="1">"c7586"</definedName>
    <definedName name="IQ_NONFARM_PAYROLLS_APR_FC" hidden="1">"c8466"</definedName>
    <definedName name="IQ_NONFARM_PAYROLLS_FC" hidden="1">"c7806"</definedName>
    <definedName name="IQ_NONFARM_PAYROLLS_POP" hidden="1">"c7146"</definedName>
    <definedName name="IQ_NONFARM_PAYROLLS_POP_FC" hidden="1">"c8026"</definedName>
    <definedName name="IQ_NONFARM_PAYROLLS_YOY" hidden="1">"c7366"</definedName>
    <definedName name="IQ_NONFARM_PAYROLLS_YOY_FC" hidden="1">"c8246"</definedName>
    <definedName name="IQ_NONFARM_TOTAL_HR_INDEX" hidden="1">"c6937"</definedName>
    <definedName name="IQ_NONFARM_TOTAL_HR_INDEX_APR" hidden="1">"c7597"</definedName>
    <definedName name="IQ_NONFARM_TOTAL_HR_INDEX_APR_FC" hidden="1">"c8477"</definedName>
    <definedName name="IQ_NONFARM_TOTAL_HR_INDEX_FC" hidden="1">"c7817"</definedName>
    <definedName name="IQ_NONFARM_TOTAL_HR_INDEX_POP" hidden="1">"c7157"</definedName>
    <definedName name="IQ_NONFARM_TOTAL_HR_INDEX_POP_FC" hidden="1">"c8037"</definedName>
    <definedName name="IQ_NONFARM_TOTAL_HR_INDEX_YOY" hidden="1">"c7377"</definedName>
    <definedName name="IQ_NONFARM_TOTAL_HR_INDEX_YOY_FC" hidden="1">"c8257"</definedName>
    <definedName name="IQ_NONFARM_WAGES" hidden="1">"c6938"</definedName>
    <definedName name="IQ_NONFARM_WAGES_APR" hidden="1">"c7598"</definedName>
    <definedName name="IQ_NONFARM_WAGES_APR_FC" hidden="1">"c8478"</definedName>
    <definedName name="IQ_NONFARM_WAGES_FC" hidden="1">"c7818"</definedName>
    <definedName name="IQ_NONFARM_WAGES_INDEX" hidden="1">"c6939"</definedName>
    <definedName name="IQ_NONFARM_WAGES_INDEX_APR" hidden="1">"c7599"</definedName>
    <definedName name="IQ_NONFARM_WAGES_INDEX_APR_FC" hidden="1">"c8479"</definedName>
    <definedName name="IQ_NONFARM_WAGES_INDEX_FC" hidden="1">"c7819"</definedName>
    <definedName name="IQ_NONFARM_WAGES_INDEX_POP" hidden="1">"c7159"</definedName>
    <definedName name="IQ_NONFARM_WAGES_INDEX_POP_FC" hidden="1">"c8039"</definedName>
    <definedName name="IQ_NONFARM_WAGES_INDEX_YOY" hidden="1">"c7379"</definedName>
    <definedName name="IQ_NONFARM_WAGES_INDEX_YOY_FC" hidden="1">"c8259"</definedName>
    <definedName name="IQ_NONFARM_WAGES_POP" hidden="1">"c7158"</definedName>
    <definedName name="IQ_NONFARM_WAGES_POP_FC" hidden="1">"c8038"</definedName>
    <definedName name="IQ_NONFARM_WAGES_YOY" hidden="1">"c7378"</definedName>
    <definedName name="IQ_NONFARM_WAGES_YOY_FC" hidden="1">"c8258"</definedName>
    <definedName name="IQ_NONINTEREST_BEARING_BALANCES_FDIC" hidden="1">"c6394"</definedName>
    <definedName name="IQ_NONINTEREST_BEARING_DEPOSITS_DOMESTIC_FDIC" hidden="1">"c6477"</definedName>
    <definedName name="IQ_NONINTEREST_BEARING_DEPOSITS_FOREIGN_FDIC" hidden="1">"c6484"</definedName>
    <definedName name="IQ_NONINTEREST_EXPENSE_EARNING_ASSETS_FDIC" hidden="1">"c6728"</definedName>
    <definedName name="IQ_NONINTEREST_INCOME_EARNING_ASSETS_FDIC" hidden="1">"c6727"</definedName>
    <definedName name="IQ_NONMORTGAGE_SERVICING_FDIC" hidden="1">"c6336"</definedName>
    <definedName name="IQ_NONRECOURSE_DEBT" hidden="1">"c2550"</definedName>
    <definedName name="IQ_NONRECOURSE_DEBT_PCT" hidden="1">"c2551"</definedName>
    <definedName name="IQ_NONRES_FIXED_INVEST" hidden="1">"c6931"</definedName>
    <definedName name="IQ_NONRES_FIXED_INVEST_APR" hidden="1">"c7591"</definedName>
    <definedName name="IQ_NONRES_FIXED_INVEST_POP" hidden="1">"c7151"</definedName>
    <definedName name="IQ_NONRES_FIXED_INVEST_PRIV_APR_FC_UNUSED_UNUSED_UNUSED" hidden="1">"c8468"</definedName>
    <definedName name="IQ_NONRES_FIXED_INVEST_PRIV_APR_UNUSED_UNUSED_UNUSED" hidden="1">"c7588"</definedName>
    <definedName name="IQ_NONRES_FIXED_INVEST_PRIV_FC_UNUSED_UNUSED_UNUSED" hidden="1">"c7808"</definedName>
    <definedName name="IQ_NONRES_FIXED_INVEST_PRIV_POP_FC_UNUSED_UNUSED_UNUSED" hidden="1">"c8028"</definedName>
    <definedName name="IQ_NONRES_FIXED_INVEST_PRIV_POP_UNUSED_UNUSED_UNUSED" hidden="1">"c7148"</definedName>
    <definedName name="IQ_NONRES_FIXED_INVEST_PRIV_REAL" hidden="1">"c6989"</definedName>
    <definedName name="IQ_NONRES_FIXED_INVEST_PRIV_REAL_APR" hidden="1">"c7649"</definedName>
    <definedName name="IQ_NONRES_FIXED_INVEST_PRIV_REAL_APR_FC" hidden="1">"c8529"</definedName>
    <definedName name="IQ_NONRES_FIXED_INVEST_PRIV_REAL_FC" hidden="1">"c7869"</definedName>
    <definedName name="IQ_NONRES_FIXED_INVEST_PRIV_REAL_POP" hidden="1">"c7209"</definedName>
    <definedName name="IQ_NONRES_FIXED_INVEST_PRIV_REAL_POP_FC" hidden="1">"c8089"</definedName>
    <definedName name="IQ_NONRES_FIXED_INVEST_PRIV_REAL_SAAR" hidden="1">"c6990"</definedName>
    <definedName name="IQ_NONRES_FIXED_INVEST_PRIV_REAL_SAAR_APR" hidden="1">"c7650"</definedName>
    <definedName name="IQ_NONRES_FIXED_INVEST_PRIV_REAL_SAAR_APR_FC" hidden="1">"c8530"</definedName>
    <definedName name="IQ_NONRES_FIXED_INVEST_PRIV_REAL_SAAR_FC" hidden="1">"c7870"</definedName>
    <definedName name="IQ_NONRES_FIXED_INVEST_PRIV_REAL_SAAR_POP" hidden="1">"c7210"</definedName>
    <definedName name="IQ_NONRES_FIXED_INVEST_PRIV_REAL_SAAR_POP_FC" hidden="1">"c8090"</definedName>
    <definedName name="IQ_NONRES_FIXED_INVEST_PRIV_REAL_SAAR_USD_APR_FC" hidden="1">"c11981"</definedName>
    <definedName name="IQ_NONRES_FIXED_INVEST_PRIV_REAL_SAAR_USD_FC" hidden="1">"c11978"</definedName>
    <definedName name="IQ_NONRES_FIXED_INVEST_PRIV_REAL_SAAR_USD_POP_FC" hidden="1">"c11979"</definedName>
    <definedName name="IQ_NONRES_FIXED_INVEST_PRIV_REAL_SAAR_USD_YOY_FC" hidden="1">"c11980"</definedName>
    <definedName name="IQ_NONRES_FIXED_INVEST_PRIV_REAL_SAAR_YOY" hidden="1">"c7430"</definedName>
    <definedName name="IQ_NONRES_FIXED_INVEST_PRIV_REAL_SAAR_YOY_FC" hidden="1">"c8310"</definedName>
    <definedName name="IQ_NONRES_FIXED_INVEST_PRIV_REAL_USD_APR_FC" hidden="1">"c11977"</definedName>
    <definedName name="IQ_NONRES_FIXED_INVEST_PRIV_REAL_USD_FC" hidden="1">"c11974"</definedName>
    <definedName name="IQ_NONRES_FIXED_INVEST_PRIV_REAL_USD_POP_FC" hidden="1">"c11975"</definedName>
    <definedName name="IQ_NONRES_FIXED_INVEST_PRIV_REAL_USD_YOY_FC" hidden="1">"c11976"</definedName>
    <definedName name="IQ_NONRES_FIXED_INVEST_PRIV_REAL_YOY" hidden="1">"c7429"</definedName>
    <definedName name="IQ_NONRES_FIXED_INVEST_PRIV_REAL_YOY_FC" hidden="1">"c8309"</definedName>
    <definedName name="IQ_NONRES_FIXED_INVEST_PRIV_SAAR" hidden="1">"c6929"</definedName>
    <definedName name="IQ_NONRES_FIXED_INVEST_PRIV_SAAR_APR" hidden="1">"c7589"</definedName>
    <definedName name="IQ_NONRES_FIXED_INVEST_PRIV_SAAR_APR_FC" hidden="1">"c8469"</definedName>
    <definedName name="IQ_NONRES_FIXED_INVEST_PRIV_SAAR_FC" hidden="1">"c7809"</definedName>
    <definedName name="IQ_NONRES_FIXED_INVEST_PRIV_SAAR_POP" hidden="1">"c7149"</definedName>
    <definedName name="IQ_NONRES_FIXED_INVEST_PRIV_SAAR_POP_FC" hidden="1">"c8029"</definedName>
    <definedName name="IQ_NONRES_FIXED_INVEST_PRIV_SAAR_USD_APR_FC" hidden="1">"c11877"</definedName>
    <definedName name="IQ_NONRES_FIXED_INVEST_PRIV_SAAR_USD_FC" hidden="1">"c11874"</definedName>
    <definedName name="IQ_NONRES_FIXED_INVEST_PRIV_SAAR_USD_POP_FC" hidden="1">"c11875"</definedName>
    <definedName name="IQ_NONRES_FIXED_INVEST_PRIV_SAAR_USD_YOY_FC" hidden="1">"c11876"</definedName>
    <definedName name="IQ_NONRES_FIXED_INVEST_PRIV_SAAR_YOY" hidden="1">"c7369"</definedName>
    <definedName name="IQ_NONRES_FIXED_INVEST_PRIV_SAAR_YOY_FC" hidden="1">"c8249"</definedName>
    <definedName name="IQ_NONRES_FIXED_INVEST_PRIV_UNUSED_UNUSED_UNUSED" hidden="1">"c6928"</definedName>
    <definedName name="IQ_NONRES_FIXED_INVEST_PRIV_USD_APR_FC" hidden="1">"c11873"</definedName>
    <definedName name="IQ_NONRES_FIXED_INVEST_PRIV_USD_FC" hidden="1">"c11870"</definedName>
    <definedName name="IQ_NONRES_FIXED_INVEST_PRIV_USD_POP_FC" hidden="1">"c11871"</definedName>
    <definedName name="IQ_NONRES_FIXED_INVEST_PRIV_USD_YOY_FC" hidden="1">"c11872"</definedName>
    <definedName name="IQ_NONRES_FIXED_INVEST_PRIV_YOY_FC_UNUSED_UNUSED_UNUSED" hidden="1">"c8248"</definedName>
    <definedName name="IQ_NONRES_FIXED_INVEST_PRIV_YOY_UNUSED_UNUSED_UNUSED" hidden="1">"c7368"</definedName>
    <definedName name="IQ_NONRES_FIXED_INVEST_REAL" hidden="1">"c6993"</definedName>
    <definedName name="IQ_NONRES_FIXED_INVEST_REAL_APR" hidden="1">"c7653"</definedName>
    <definedName name="IQ_NONRES_FIXED_INVEST_REAL_POP" hidden="1">"c7213"</definedName>
    <definedName name="IQ_NONRES_FIXED_INVEST_REAL_SAAR" hidden="1">"c6987"</definedName>
    <definedName name="IQ_NONRES_FIXED_INVEST_REAL_SAAR_APR" hidden="1">"c7647"</definedName>
    <definedName name="IQ_NONRES_FIXED_INVEST_REAL_SAAR_APR_FC" hidden="1">"c8527"</definedName>
    <definedName name="IQ_NONRES_FIXED_INVEST_REAL_SAAR_FC" hidden="1">"c7867"</definedName>
    <definedName name="IQ_NONRES_FIXED_INVEST_REAL_SAAR_POP" hidden="1">"c7207"</definedName>
    <definedName name="IQ_NONRES_FIXED_INVEST_REAL_SAAR_POP_FC" hidden="1">"c8087"</definedName>
    <definedName name="IQ_NONRES_FIXED_INVEST_REAL_SAAR_YOY" hidden="1">"c7427"</definedName>
    <definedName name="IQ_NONRES_FIXED_INVEST_REAL_SAAR_YOY_FC" hidden="1">"c8307"</definedName>
    <definedName name="IQ_NONRES_FIXED_INVEST_REAL_USD_APR_FC" hidden="1">"c11973"</definedName>
    <definedName name="IQ_NONRES_FIXED_INVEST_REAL_USD_FC" hidden="1">"c11970"</definedName>
    <definedName name="IQ_NONRES_FIXED_INVEST_REAL_USD_POP_FC" hidden="1">"c11971"</definedName>
    <definedName name="IQ_NONRES_FIXED_INVEST_REAL_USD_YOY_FC" hidden="1">"c11972"</definedName>
    <definedName name="IQ_NONRES_FIXED_INVEST_REAL_YOY" hidden="1">"c7433"</definedName>
    <definedName name="IQ_NONRES_FIXED_INVEST_STRUCT" hidden="1">"c6930"</definedName>
    <definedName name="IQ_NONRES_FIXED_INVEST_STRUCT_APR" hidden="1">"c7590"</definedName>
    <definedName name="IQ_NONRES_FIXED_INVEST_STRUCT_APR_FC" hidden="1">"c8470"</definedName>
    <definedName name="IQ_NONRES_FIXED_INVEST_STRUCT_FC" hidden="1">"c7810"</definedName>
    <definedName name="IQ_NONRES_FIXED_INVEST_STRUCT_POP" hidden="1">"c7150"</definedName>
    <definedName name="IQ_NONRES_FIXED_INVEST_STRUCT_POP_FC" hidden="1">"c8030"</definedName>
    <definedName name="IQ_NONRES_FIXED_INVEST_STRUCT_REAL" hidden="1">"c6992"</definedName>
    <definedName name="IQ_NONRES_FIXED_INVEST_STRUCT_REAL_APR" hidden="1">"c7652"</definedName>
    <definedName name="IQ_NONRES_FIXED_INVEST_STRUCT_REAL_APR_FC" hidden="1">"c8532"</definedName>
    <definedName name="IQ_NONRES_FIXED_INVEST_STRUCT_REAL_FC" hidden="1">"c7872"</definedName>
    <definedName name="IQ_NONRES_FIXED_INVEST_STRUCT_REAL_POP" hidden="1">"c7212"</definedName>
    <definedName name="IQ_NONRES_FIXED_INVEST_STRUCT_REAL_POP_FC" hidden="1">"c8092"</definedName>
    <definedName name="IQ_NONRES_FIXED_INVEST_STRUCT_REAL_SAAR" hidden="1">"c6991"</definedName>
    <definedName name="IQ_NONRES_FIXED_INVEST_STRUCT_REAL_SAAR_APR" hidden="1">"c7651"</definedName>
    <definedName name="IQ_NONRES_FIXED_INVEST_STRUCT_REAL_SAAR_APR_FC" hidden="1">"c8531"</definedName>
    <definedName name="IQ_NONRES_FIXED_INVEST_STRUCT_REAL_SAAR_FC" hidden="1">"c7871"</definedName>
    <definedName name="IQ_NONRES_FIXED_INVEST_STRUCT_REAL_SAAR_POP" hidden="1">"c7211"</definedName>
    <definedName name="IQ_NONRES_FIXED_INVEST_STRUCT_REAL_SAAR_POP_FC" hidden="1">"c8091"</definedName>
    <definedName name="IQ_NONRES_FIXED_INVEST_STRUCT_REAL_SAAR_YOY" hidden="1">"c7431"</definedName>
    <definedName name="IQ_NONRES_FIXED_INVEST_STRUCT_REAL_SAAR_YOY_FC" hidden="1">"c8311"</definedName>
    <definedName name="IQ_NONRES_FIXED_INVEST_STRUCT_REAL_USD_APR_FC" hidden="1">"c11985"</definedName>
    <definedName name="IQ_NONRES_FIXED_INVEST_STRUCT_REAL_USD_FC" hidden="1">"c11982"</definedName>
    <definedName name="IQ_NONRES_FIXED_INVEST_STRUCT_REAL_USD_POP_FC" hidden="1">"c11983"</definedName>
    <definedName name="IQ_NONRES_FIXED_INVEST_STRUCT_REAL_USD_YOY_FC" hidden="1">"c11984"</definedName>
    <definedName name="IQ_NONRES_FIXED_INVEST_STRUCT_REAL_YOY" hidden="1">"c7432"</definedName>
    <definedName name="IQ_NONRES_FIXED_INVEST_STRUCT_REAL_YOY_FC" hidden="1">"c8312"</definedName>
    <definedName name="IQ_NONRES_FIXED_INVEST_STRUCT_USD_APR_FC" hidden="1">"c11881"</definedName>
    <definedName name="IQ_NONRES_FIXED_INVEST_STRUCT_USD_FC" hidden="1">"c11878"</definedName>
    <definedName name="IQ_NONRES_FIXED_INVEST_STRUCT_USD_POP_FC" hidden="1">"c11879"</definedName>
    <definedName name="IQ_NONRES_FIXED_INVEST_STRUCT_USD_YOY_FC" hidden="1">"c11880"</definedName>
    <definedName name="IQ_NONRES_FIXED_INVEST_STRUCT_YOY" hidden="1">"c7370"</definedName>
    <definedName name="IQ_NONRES_FIXED_INVEST_STRUCT_YOY_FC" hidden="1">"c8250"</definedName>
    <definedName name="IQ_NONRES_FIXED_INVEST_USD_APR_FC" hidden="1">"c11869"</definedName>
    <definedName name="IQ_NONRES_FIXED_INVEST_USD_FC" hidden="1">"c11866"</definedName>
    <definedName name="IQ_NONRES_FIXED_INVEST_USD_POP_FC" hidden="1">"c11867"</definedName>
    <definedName name="IQ_NONRES_FIXED_INVEST_USD_YOY_FC" hidden="1">"c11868"</definedName>
    <definedName name="IQ_NONRES_FIXED_INVEST_YOY" hidden="1">"c7371"</definedName>
    <definedName name="IQ_NONTRANSACTION_ACCOUNTS_FDIC" hidden="1">"c6552"</definedName>
    <definedName name="IQ_NONUTIL_REV" hidden="1">"c2089"</definedName>
    <definedName name="IQ_NORM_EPS_ACT_OR_EST_CIQ" hidden="1">"c5069"</definedName>
    <definedName name="IQ_NORMAL_INC_AFTER" hidden="1">"c1605"</definedName>
    <definedName name="IQ_NORMAL_INC_AVAIL" hidden="1">"c1606"</definedName>
    <definedName name="IQ_NORMAL_INC_BEFORE" hidden="1">"c1607"</definedName>
    <definedName name="IQ_NOTES_PAY" hidden="1">"c1423"</definedName>
    <definedName name="IQ_NOTIONAL_AMOUNT_CREDIT_DERIVATIVES_FDIC" hidden="1">"c6507"</definedName>
    <definedName name="IQ_NOTIONAL_VALUE_EXCHANGE_SWAPS_FDIC" hidden="1">"c6516"</definedName>
    <definedName name="IQ_NOTIONAL_VALUE_OTHER_SWAPS_FDIC" hidden="1">"c6521"</definedName>
    <definedName name="IQ_NOTIONAL_VALUE_RATE_SWAPS_FDIC" hidden="1">"c6511"</definedName>
    <definedName name="IQ_NOW_ACCOUNT" hidden="1">"c828"</definedName>
    <definedName name="IQ_NPPE" hidden="1">"c829"</definedName>
    <definedName name="IQ_NPPE_10YR_ANN_CAGR" hidden="1">"c6130"</definedName>
    <definedName name="IQ_NPPE_10YR_ANN_GROWTH" hidden="1">"c830"</definedName>
    <definedName name="IQ_NPPE_1YR_ANN_GROWTH" hidden="1">"c831"</definedName>
    <definedName name="IQ_NPPE_2YR_ANN_CAGR" hidden="1">"c6131"</definedName>
    <definedName name="IQ_NPPE_2YR_ANN_GROWTH" hidden="1">"c832"</definedName>
    <definedName name="IQ_NPPE_3YR_ANN_CAGR" hidden="1">"c6132"</definedName>
    <definedName name="IQ_NPPE_3YR_ANN_GROWTH" hidden="1">"c833"</definedName>
    <definedName name="IQ_NPPE_5YR_ANN_CAGR" hidden="1">"c6133"</definedName>
    <definedName name="IQ_NPPE_5YR_ANN_GROWTH" hidden="1">"c834"</definedName>
    <definedName name="IQ_NPPE_7YR_ANN_CAGR" hidden="1">"c6134"</definedName>
    <definedName name="IQ_NPPE_7YR_ANN_GROWTH" hidden="1">"c835"</definedName>
    <definedName name="IQ_NTM" hidden="1">6000</definedName>
    <definedName name="IQ_NUKE" hidden="1">"c836"</definedName>
    <definedName name="IQ_NUKE_CF" hidden="1">"c837"</definedName>
    <definedName name="IQ_NUKE_CONTR" hidden="1">"c838"</definedName>
    <definedName name="IQ_NUM_BRANCHES" hidden="1">"c2088"</definedName>
    <definedName name="IQ_NUMBER_ADRHOLDERS" hidden="1">"c1970"</definedName>
    <definedName name="IQ_NUMBER_DAYS" hidden="1">"c1904"</definedName>
    <definedName name="IQ_NUMBER_DEPOSITS_LESS_THAN_100K_FDIC" hidden="1">"c6495"</definedName>
    <definedName name="IQ_NUMBER_DEPOSITS_MORE_THAN_100K_FDIC" hidden="1">"c6493"</definedName>
    <definedName name="IQ_NUMBER_MINES_ALUM" hidden="1">"c9248"</definedName>
    <definedName name="IQ_NUMBER_MINES_COAL" hidden="1">"c9822"</definedName>
    <definedName name="IQ_NUMBER_MINES_COP" hidden="1">"c9193"</definedName>
    <definedName name="IQ_NUMBER_MINES_DIAM" hidden="1">"c9672"</definedName>
    <definedName name="IQ_NUMBER_MINES_GOLD" hidden="1">"c9033"</definedName>
    <definedName name="IQ_NUMBER_MINES_IRON" hidden="1">"c9407"</definedName>
    <definedName name="IQ_NUMBER_MINES_LEAD" hidden="1">"c9460"</definedName>
    <definedName name="IQ_NUMBER_MINES_MANG" hidden="1">"c9513"</definedName>
    <definedName name="IQ_NUMBER_MINES_MOLYB" hidden="1">"c9725"</definedName>
    <definedName name="IQ_NUMBER_MINES_NICK" hidden="1">"c9301"</definedName>
    <definedName name="IQ_NUMBER_MINES_PLAT" hidden="1">"c9139"</definedName>
    <definedName name="IQ_NUMBER_MINES_SILVER" hidden="1">"c9086"</definedName>
    <definedName name="IQ_NUMBER_MINES_TITAN" hidden="1">"c9566"</definedName>
    <definedName name="IQ_NUMBER_MINES_URAN" hidden="1">"c9619"</definedName>
    <definedName name="IQ_NUMBER_MINES_ZINC" hidden="1">"c9354"</definedName>
    <definedName name="IQ_NUMBER_SHAREHOLDERS" hidden="1">"c1967"</definedName>
    <definedName name="IQ_NUMBER_SHAREHOLDERS_CLASSA" hidden="1">"c1968"</definedName>
    <definedName name="IQ_NUMBER_SHAREHOLDERS_OTHER" hidden="1">"c1969"</definedName>
    <definedName name="IQ_OBLIGATIONS_OF_STATES_TOTAL_LOANS_FOREIGN_FDIC" hidden="1">"c6447"</definedName>
    <definedName name="IQ_OBLIGATIONS_STATES_FDIC" hidden="1">"c6431"</definedName>
    <definedName name="IQ_OCCUPANCY_CONSOL" hidden="1">"c8840"</definedName>
    <definedName name="IQ_OCCUPANCY_MANAGED" hidden="1">"c8842"</definedName>
    <definedName name="IQ_OCCUPANCY_OTHER" hidden="1">"c8843"</definedName>
    <definedName name="IQ_OCCUPANCY_SAME_PROP" hidden="1">"c8845"</definedName>
    <definedName name="IQ_OCCUPANCY_TOTAL" hidden="1">"c8844"</definedName>
    <definedName name="IQ_OCCUPANCY_UNCONSOL" hidden="1">"c8841"</definedName>
    <definedName name="IQ_OCCUPY_EXP" hidden="1">"c839"</definedName>
    <definedName name="IQ_OFFER_AMOUNT" hidden="1">"c2152"</definedName>
    <definedName name="IQ_OFFER_COUPON" hidden="1">"c2147"</definedName>
    <definedName name="IQ_OFFER_COUPON_TYPE" hidden="1">"c2148"</definedName>
    <definedName name="IQ_OFFER_DATE" hidden="1">"c2149"</definedName>
    <definedName name="IQ_OFFER_PRICE" hidden="1">"c2150"</definedName>
    <definedName name="IQ_OFFER_YIELD" hidden="1">"c2151"</definedName>
    <definedName name="IQ_OG_10DISC" hidden="1">"c1998"</definedName>
    <definedName name="IQ_OG_10DISC_GAS" hidden="1">"c2018"</definedName>
    <definedName name="IQ_OG_10DISC_OIL" hidden="1">"c2008"</definedName>
    <definedName name="IQ_OG_ACQ_COST_PROVED" hidden="1">"c1975"</definedName>
    <definedName name="IQ_OG_ACQ_COST_PROVED_GAS" hidden="1">"c1987"</definedName>
    <definedName name="IQ_OG_ACQ_COST_PROVED_OIL" hidden="1">"c1981"</definedName>
    <definedName name="IQ_OG_ACQ_COST_UNPROVED" hidden="1">"c1976"</definedName>
    <definedName name="IQ_OG_ACQ_COST_UNPROVED_GAS" hidden="1">"c1988"</definedName>
    <definedName name="IQ_OG_ACQ_COST_UNPROVED_OIL" hidden="1">"c1982"</definedName>
    <definedName name="IQ_OG_AVG_DAILY_GAS_EQUIV_PRODUCTION_MMCFE" hidden="1">"c10061"</definedName>
    <definedName name="IQ_OG_AVG_DAILY_OIL_EQUIV_PRODUCTION_KBOE" hidden="1">"c10060"</definedName>
    <definedName name="IQ_OG_AVG_DAILY_PROD_GAS" hidden="1">"c2910"</definedName>
    <definedName name="IQ_OG_AVG_DAILY_PROD_NGL" hidden="1">"c2911"</definedName>
    <definedName name="IQ_OG_AVG_DAILY_PROD_OIL" hidden="1">"c2909"</definedName>
    <definedName name="IQ_OG_AVG_DAILY_PRODUCTION_GAS_MMCM" hidden="1">"c10059"</definedName>
    <definedName name="IQ_OG_AVG_DAILY_SALES_VOL_EQ_INC_GAS" hidden="1">"c5797"</definedName>
    <definedName name="IQ_OG_AVG_DAILY_SALES_VOL_EQ_INC_NGL" hidden="1">"c5798"</definedName>
    <definedName name="IQ_OG_AVG_DAILY_SALES_VOL_EQ_INC_OIL" hidden="1">"c5796"</definedName>
    <definedName name="IQ_OG_AVG_GAS_PRICE_CBM_HEDGED" hidden="1">"c10054"</definedName>
    <definedName name="IQ_OG_AVG_GAS_PRICE_CBM_UNHEDGED" hidden="1">"c10055"</definedName>
    <definedName name="IQ_OG_AVG_PRODUCTION_COST_BBL" hidden="1">"c10062"</definedName>
    <definedName name="IQ_OG_AVG_PRODUCTION_COST_BOE" hidden="1">"c10064"</definedName>
    <definedName name="IQ_OG_AVG_PRODUCTION_COST_MCF" hidden="1">"c10063"</definedName>
    <definedName name="IQ_OG_AVG_PRODUCTION_COST_MCFE" hidden="1">"c10065"</definedName>
    <definedName name="IQ_OG_CLOSE_BALANCE_GAS" hidden="1">"c2049"</definedName>
    <definedName name="IQ_OG_CLOSE_BALANCE_NGL" hidden="1">"c2920"</definedName>
    <definedName name="IQ_OG_CLOSE_BALANCE_OIL" hidden="1">"c2037"</definedName>
    <definedName name="IQ_OG_DAILY_PRODUCTION_GROWTH_GAS" hidden="1">"c10073"</definedName>
    <definedName name="IQ_OG_DAILY_PRODUCTION_GROWTH_GAS_EQUIVALENT" hidden="1">"c10076"</definedName>
    <definedName name="IQ_OG_DAILY_PRODUCTION_GROWTH_NGL" hidden="1">"c10074"</definedName>
    <definedName name="IQ_OG_DAILY_PRODUCTION_GROWTH_OIL" hidden="1">"c10072"</definedName>
    <definedName name="IQ_OG_DAILY_PRODUCTION_GROWTH_OIL_EQUIVALENT" hidden="1">"c10075"</definedName>
    <definedName name="IQ_OG_DCF_BEFORE_TAXES" hidden="1">"c2023"</definedName>
    <definedName name="IQ_OG_DCF_BEFORE_TAXES_GAS" hidden="1">"c2025"</definedName>
    <definedName name="IQ_OG_DCF_BEFORE_TAXES_OIL" hidden="1">"c2024"</definedName>
    <definedName name="IQ_OG_DEVELOPED_ACRE_GROSS_EQ_INC" hidden="1">"c5802"</definedName>
    <definedName name="IQ_OG_DEVELOPED_ACRE_NET_EQ_INC" hidden="1">"c5803"</definedName>
    <definedName name="IQ_OG_DEVELOPED_RESERVES_GAS" hidden="1">"c2053"</definedName>
    <definedName name="IQ_OG_DEVELOPED_RESERVES_GAS_BCM" hidden="1">"c10045"</definedName>
    <definedName name="IQ_OG_DEVELOPED_RESERVES_NGL" hidden="1">"c2922"</definedName>
    <definedName name="IQ_OG_DEVELOPED_RESERVES_OIL" hidden="1">"c2054"</definedName>
    <definedName name="IQ_OG_DEVELOPMENT_COSTS" hidden="1">"c1978"</definedName>
    <definedName name="IQ_OG_DEVELOPMENT_COSTS_GAS" hidden="1">"c1990"</definedName>
    <definedName name="IQ_OG_DEVELOPMENT_COSTS_OIL" hidden="1">"c1984"</definedName>
    <definedName name="IQ_OG_EQUITY_AFFILIATES_RESERVES_GAS_BCM" hidden="1">"c10047"</definedName>
    <definedName name="IQ_OG_EQUITY_DCF" hidden="1">"c2002"</definedName>
    <definedName name="IQ_OG_EQUITY_DCF_GAS" hidden="1">"c2022"</definedName>
    <definedName name="IQ_OG_EQUITY_DCF_OIL" hidden="1">"c2012"</definedName>
    <definedName name="IQ_OG_EQUTY_RESERVES_GAS" hidden="1">"c2050"</definedName>
    <definedName name="IQ_OG_EQUTY_RESERVES_NGL" hidden="1">"c2921"</definedName>
    <definedName name="IQ_OG_EQUTY_RESERVES_OIL" hidden="1">"c2038"</definedName>
    <definedName name="IQ_OG_EXPLORATION_COSTS" hidden="1">"c1977"</definedName>
    <definedName name="IQ_OG_EXPLORATION_COSTS_GAS" hidden="1">"c1989"</definedName>
    <definedName name="IQ_OG_EXPLORATION_COSTS_OIL" hidden="1">"c1983"</definedName>
    <definedName name="IQ_OG_EXPLORATION_DEVELOPMENT_COST" hidden="1">"c10081"</definedName>
    <definedName name="IQ_OG_EXT_DISC_GAS" hidden="1">"c2043"</definedName>
    <definedName name="IQ_OG_EXT_DISC_NGL" hidden="1">"c2914"</definedName>
    <definedName name="IQ_OG_EXT_DISC_OIL" hidden="1">"c2031"</definedName>
    <definedName name="IQ_OG_FUTURE_CASH_INFLOWS" hidden="1">"c1993"</definedName>
    <definedName name="IQ_OG_FUTURE_CASH_INFLOWS_GAS" hidden="1">"c2013"</definedName>
    <definedName name="IQ_OG_FUTURE_CASH_INFLOWS_OIL" hidden="1">"c2003"</definedName>
    <definedName name="IQ_OG_FUTURE_DEVELOPMENT_COSTS" hidden="1">"c1995"</definedName>
    <definedName name="IQ_OG_FUTURE_DEVELOPMENT_COSTS_GAS" hidden="1">"c2015"</definedName>
    <definedName name="IQ_OG_FUTURE_DEVELOPMENT_COSTS_OIL" hidden="1">"c2005"</definedName>
    <definedName name="IQ_OG_FUTURE_INC_TAXES" hidden="1">"c1997"</definedName>
    <definedName name="IQ_OG_FUTURE_INC_TAXES_GAS" hidden="1">"c2017"</definedName>
    <definedName name="IQ_OG_FUTURE_INC_TAXES_OIL" hidden="1">"c2007"</definedName>
    <definedName name="IQ_OG_FUTURE_PRODUCTION_COSTS" hidden="1">"c1994"</definedName>
    <definedName name="IQ_OG_FUTURE_PRODUCTION_COSTS_GAS" hidden="1">"c2014"</definedName>
    <definedName name="IQ_OG_FUTURE_PRODUCTION_COSTS_OIL" hidden="1">"c2004"</definedName>
    <definedName name="IQ_OG_GAS_PRICE_HEDGED" hidden="1">"c2056"</definedName>
    <definedName name="IQ_OG_GAS_PRICE_UNHEDGED" hidden="1">"c2058"</definedName>
    <definedName name="IQ_OG_GROSS_DEVELOPED_AREA_SQ_KM" hidden="1">"c10079"</definedName>
    <definedName name="IQ_OG_GROSS_DEVELOPMENT_DRY_WELLS_DRILLED" hidden="1">"c10098"</definedName>
    <definedName name="IQ_OG_GROSS_DEVELOPMENT_PRODUCTIVE_WELLS_DRILLED" hidden="1">"c10097"</definedName>
    <definedName name="IQ_OG_GROSS_DEVELOPMENT_TOTAL_WELLS_DRILLED" hidden="1">"c10099"</definedName>
    <definedName name="IQ_OG_GROSS_EXPLORATORY_DRY_WELLS_DRILLED" hidden="1">"c10095"</definedName>
    <definedName name="IQ_OG_GROSS_EXPLORATORY_PRODUCTIVE_WELLS_DRILLED" hidden="1">"c10094"</definedName>
    <definedName name="IQ_OG_GROSS_EXPLORATORY_TOTAL_WELLS_DRILLED" hidden="1">"c10096"</definedName>
    <definedName name="IQ_OG_GROSS_OPERATED_WELLS" hidden="1">"c10092"</definedName>
    <definedName name="IQ_OG_GROSS_PRODUCTIVE_WELLS_GAS" hidden="1">"c10087"</definedName>
    <definedName name="IQ_OG_GROSS_PRODUCTIVE_WELLS_OIL" hidden="1">"c10086"</definedName>
    <definedName name="IQ_OG_GROSS_PRODUCTIVE_WELLS_TOTAL" hidden="1">"c10088"</definedName>
    <definedName name="IQ_OG_GROSS_TOTAL_WELLS_DRILLED" hidden="1">"c10100"</definedName>
    <definedName name="IQ_OG_GROSS_UNDEVELOPED_AREA_SQ_KM" hidden="1">"c10077"</definedName>
    <definedName name="IQ_OG_GROSS_WELLS_DRILLING" hidden="1">"c10108"</definedName>
    <definedName name="IQ_OG_IMPROVED_RECOVERY_GAS" hidden="1">"c2044"</definedName>
    <definedName name="IQ_OG_IMPROVED_RECOVERY_NGL" hidden="1">"c2915"</definedName>
    <definedName name="IQ_OG_IMPROVED_RECOVERY_OIL" hidden="1">"c2032"</definedName>
    <definedName name="IQ_OG_LIQUID_GAS_PRICE_HEDGED" hidden="1">"c2233"</definedName>
    <definedName name="IQ_OG_LIQUID_GAS_PRICE_UNHEDGED" hidden="1">"c2234"</definedName>
    <definedName name="IQ_OG_NET_DEVELOPED_AREA_SQ_KM" hidden="1">"c10080"</definedName>
    <definedName name="IQ_OG_NET_DEVELOPMENT_DRY_WELLS_DRILLED" hidden="1">"c10105"</definedName>
    <definedName name="IQ_OG_NET_DEVELOPMENT_PRODUCTIVE_WELLS_DRILLED" hidden="1">"c10104"</definedName>
    <definedName name="IQ_OG_NET_DEVELOPMENT_TOTAL_WELLS_DRILLED" hidden="1">"c10106"</definedName>
    <definedName name="IQ_OG_NET_EXPLORATORY_DRY_WELLS_DRILLED" hidden="1">"c10102"</definedName>
    <definedName name="IQ_OG_NET_EXPLORATORY_PRODUCTIVE_WELLS_DRILLED" hidden="1">"c10101"</definedName>
    <definedName name="IQ_OG_NET_EXPLORATORY_TOTAL_WELLS_DRILLED" hidden="1">"c10103"</definedName>
    <definedName name="IQ_OG_NET_FUTURE_CASH_FLOWS" hidden="1">"c1996"</definedName>
    <definedName name="IQ_OG_NET_FUTURE_CASH_FLOWS_GAS" hidden="1">"c2016"</definedName>
    <definedName name="IQ_OG_NET_FUTURE_CASH_FLOWS_OIL" hidden="1">"c2006"</definedName>
    <definedName name="IQ_OG_NET_OPERATED_WELLS" hidden="1">"c10093"</definedName>
    <definedName name="IQ_OG_NET_PRODUCTIVE_WELLS_GAS" hidden="1">"c10090"</definedName>
    <definedName name="IQ_OG_NET_PRODUCTIVE_WELLS_OIL" hidden="1">"c10089"</definedName>
    <definedName name="IQ_OG_NET_PRODUCTIVE_WELLS_TOTAL" hidden="1">"c10091"</definedName>
    <definedName name="IQ_OG_NET_TOTAL_WELLS_DRILLED" hidden="1">"c10107"</definedName>
    <definedName name="IQ_OG_NET_UNDEVELOPED_AREA_SQ_KM" hidden="1">"c10078"</definedName>
    <definedName name="IQ_OG_NET_WELLS_DRILLING" hidden="1">"c10109"</definedName>
    <definedName name="IQ_OG_NUMBER_WELLS_NEW" hidden="1">"c10085"</definedName>
    <definedName name="IQ_OG_OIL_PRICE_HEDGED" hidden="1">"c2055"</definedName>
    <definedName name="IQ_OG_OIL_PRICE_UNHEDGED" hidden="1">"c2057"</definedName>
    <definedName name="IQ_OG_OPEN_BALANCE_GAS" hidden="1">"c2041"</definedName>
    <definedName name="IQ_OG_OPEN_BALANCE_NGL" hidden="1">"c2912"</definedName>
    <definedName name="IQ_OG_OPEN_BALANCE_OIL" hidden="1">"c2029"</definedName>
    <definedName name="IQ_OG_OTHER_ADJ_FCF" hidden="1">"c1999"</definedName>
    <definedName name="IQ_OG_OTHER_ADJ_FCF_GAS" hidden="1">"c2019"</definedName>
    <definedName name="IQ_OG_OTHER_ADJ_FCF_OIL" hidden="1">"c2009"</definedName>
    <definedName name="IQ_OG_OTHER_ADJ_GAS" hidden="1">"c2048"</definedName>
    <definedName name="IQ_OG_OTHER_ADJ_NGL" hidden="1">"c2919"</definedName>
    <definedName name="IQ_OG_OTHER_ADJ_OIL" hidden="1">"c2036"</definedName>
    <definedName name="IQ_OG_OTHER_COSTS" hidden="1">"c1979"</definedName>
    <definedName name="IQ_OG_OTHER_COSTS_GAS" hidden="1">"c1991"</definedName>
    <definedName name="IQ_OG_OTHER_COSTS_OIL" hidden="1">"c1985"</definedName>
    <definedName name="IQ_OG_PRODUCTION_GAS" hidden="1">"c2047"</definedName>
    <definedName name="IQ_OG_PRODUCTION_GROWTH_GAS" hidden="1">"c10067"</definedName>
    <definedName name="IQ_OG_PRODUCTION_GROWTH_GAS_EQUIVALENT" hidden="1">"c10070"</definedName>
    <definedName name="IQ_OG_PRODUCTION_GROWTH_NGL" hidden="1">"c10068"</definedName>
    <definedName name="IQ_OG_PRODUCTION_GROWTH_OIL" hidden="1">"c10066"</definedName>
    <definedName name="IQ_OG_PRODUCTION_GROWTH_OIL_EQUIVALENT" hidden="1">"c10069"</definedName>
    <definedName name="IQ_OG_PRODUCTION_GROWTH_TOTAL" hidden="1">"c10071"</definedName>
    <definedName name="IQ_OG_PRODUCTION_NGL" hidden="1">"c2918"</definedName>
    <definedName name="IQ_OG_PRODUCTION_OIL" hidden="1">"c2035"</definedName>
    <definedName name="IQ_OG_PURCHASES_GAS" hidden="1">"c2045"</definedName>
    <definedName name="IQ_OG_PURCHASES_NGL" hidden="1">"c2916"</definedName>
    <definedName name="IQ_OG_PURCHASES_OIL" hidden="1">"c2033"</definedName>
    <definedName name="IQ_OG_RESERVE_REPLACEMENT_RATIO" hidden="1">"c5799"</definedName>
    <definedName name="IQ_OG_REVISIONS_GAS" hidden="1">"c2042"</definedName>
    <definedName name="IQ_OG_REVISIONS_NGL" hidden="1">"c2913"</definedName>
    <definedName name="IQ_OG_REVISIONS_OIL" hidden="1">"c2030"</definedName>
    <definedName name="IQ_OG_RIGS_NON_OPERATED" hidden="1">"c10083"</definedName>
    <definedName name="IQ_OG_RIGS_OPERATED" hidden="1">"c10082"</definedName>
    <definedName name="IQ_OG_RIGS_TOTAL" hidden="1">"c10084"</definedName>
    <definedName name="IQ_OG_SALES_IN_PLACE_GAS" hidden="1">"c2046"</definedName>
    <definedName name="IQ_OG_SALES_IN_PLACE_NGL" hidden="1">"c2917"</definedName>
    <definedName name="IQ_OG_SALES_IN_PLACE_OIL" hidden="1">"c2034"</definedName>
    <definedName name="IQ_OG_SALES_VOL_EQ_INC_GAS" hidden="1">"c5794"</definedName>
    <definedName name="IQ_OG_SALES_VOL_EQ_INC_NGL" hidden="1">"c5795"</definedName>
    <definedName name="IQ_OG_SALES_VOL_EQ_INC_OIL" hidden="1">"c5793"</definedName>
    <definedName name="IQ_OG_STANDARDIZED_DCF" hidden="1">"c2000"</definedName>
    <definedName name="IQ_OG_STANDARDIZED_DCF_GAS" hidden="1">"c2020"</definedName>
    <definedName name="IQ_OG_STANDARDIZED_DCF_HEDGED" hidden="1">"c2001"</definedName>
    <definedName name="IQ_OG_STANDARDIZED_DCF_HEDGED_GAS" hidden="1">"c2021"</definedName>
    <definedName name="IQ_OG_STANDARDIZED_DCF_HEDGED_OIL" hidden="1">"c2011"</definedName>
    <definedName name="IQ_OG_STANDARDIZED_DCF_OIL" hidden="1">"c2010"</definedName>
    <definedName name="IQ_OG_TAXES" hidden="1">"c2026"</definedName>
    <definedName name="IQ_OG_TAXES_GAS" hidden="1">"c2028"</definedName>
    <definedName name="IQ_OG_TAXES_OIL" hidden="1">"c2027"</definedName>
    <definedName name="IQ_OG_TOTAL_COSTS" hidden="1">"c1980"</definedName>
    <definedName name="IQ_OG_TOTAL_COSTS_GAS" hidden="1">"c1992"</definedName>
    <definedName name="IQ_OG_TOTAL_COSTS_OIL" hidden="1">"c1986"</definedName>
    <definedName name="IQ_OG_TOTAL_EST_PROVED_RESERVES_GAS" hidden="1">"c2052"</definedName>
    <definedName name="IQ_OG_TOTAL_GAS_EQUIV_PRODUCTION_BCFE" hidden="1">"c10058"</definedName>
    <definedName name="IQ_OG_TOTAL_GAS_PRODUCTION" hidden="1">"c2060"</definedName>
    <definedName name="IQ_OG_TOTAL_LIQUID_GAS_PRODUCTION" hidden="1">"c2235"</definedName>
    <definedName name="IQ_OG_TOTAL_OIL_EQUIV_PRODUCTION_MMBOE" hidden="1">"c10057"</definedName>
    <definedName name="IQ_OG_TOTAL_OIL_PRODUCTION" hidden="1">"c2059"</definedName>
    <definedName name="IQ_OG_TOTAL_POSSIBLE_RESERVES_GAS_BCF" hidden="1">"c10050"</definedName>
    <definedName name="IQ_OG_TOTAL_POSSIBLE_RESERVES_GAS_BCM" hidden="1">"c10051"</definedName>
    <definedName name="IQ_OG_TOTAL_POSSIBLE_RESERVES_OIL_MMBBLS" hidden="1">"c10053"</definedName>
    <definedName name="IQ_OG_TOTAL_PROBABLE_RESERVES_GAS_BCF" hidden="1">"c10048"</definedName>
    <definedName name="IQ_OG_TOTAL_PROBABLE_RESERVES_GAS_BCM" hidden="1">"c10049"</definedName>
    <definedName name="IQ_OG_TOTAL_PROBABLE_RESERVES_OIL_MMBBLS" hidden="1">"c10052"</definedName>
    <definedName name="IQ_OG_TOTAL_PRODUCTION_GAS_BCM" hidden="1">"c10056"</definedName>
    <definedName name="IQ_OG_TOTAL_PROVED_RESERVES_GAS_BCM" hidden="1">"c10046"</definedName>
    <definedName name="IQ_OG_UNDEVELOPED_ACRE_GROSS_EQ_INC" hidden="1">"c5800"</definedName>
    <definedName name="IQ_OG_UNDEVELOPED_ACRE_NET_EQ_INC" hidden="1">"c5801"</definedName>
    <definedName name="IQ_OG_UNDEVELOPED_RESERVES_GAS" hidden="1">"c2051"</definedName>
    <definedName name="IQ_OG_UNDEVELOPED_RESERVES_GAS_BCM" hidden="1">"c10044"</definedName>
    <definedName name="IQ_OG_UNDEVELOPED_RESERVES_NGL" hidden="1">"c2923"</definedName>
    <definedName name="IQ_OG_UNDEVELOPED_RESERVES_OIL" hidden="1">"c2039"</definedName>
    <definedName name="IQ_OIL_IMPAIR" hidden="1">"c840"</definedName>
    <definedName name="IQ_OL_COMM_AFTER_FIVE" hidden="1">"c841"</definedName>
    <definedName name="IQ_OL_COMM_CY" hidden="1">"c842"</definedName>
    <definedName name="IQ_OL_COMM_CY1" hidden="1">"c843"</definedName>
    <definedName name="IQ_OL_COMM_CY2" hidden="1">"c844"</definedName>
    <definedName name="IQ_OL_COMM_CY3" hidden="1">"c845"</definedName>
    <definedName name="IQ_OL_COMM_CY4" hidden="1">"c846"</definedName>
    <definedName name="IQ_OL_COMM_NEXT_FIVE" hidden="1">"c847"</definedName>
    <definedName name="IQ_OPEB_ACCRUED_LIAB" hidden="1">"c3308"</definedName>
    <definedName name="IQ_OPEB_ACCRUED_LIAB_DOM" hidden="1">"c3306"</definedName>
    <definedName name="IQ_OPEB_ACCRUED_LIAB_FOREIGN" hidden="1">"c3307"</definedName>
    <definedName name="IQ_OPEB_ACCUM_OTHER_CI" hidden="1">"c3314"</definedName>
    <definedName name="IQ_OPEB_ACCUM_OTHER_CI_DOM" hidden="1">"c3312"</definedName>
    <definedName name="IQ_OPEB_ACCUM_OTHER_CI_FOREIGN" hidden="1">"c3313"</definedName>
    <definedName name="IQ_OPEB_ACT_NEXT" hidden="1">"c5774"</definedName>
    <definedName name="IQ_OPEB_ACT_NEXT_DOM" hidden="1">"c5772"</definedName>
    <definedName name="IQ_OPEB_ACT_NEXT_FOREIGN" hidden="1">"c5773"</definedName>
    <definedName name="IQ_OPEB_AMT_RECOG_NEXT" hidden="1">"c5783"</definedName>
    <definedName name="IQ_OPEB_AMT_RECOG_NEXT_DOM" hidden="1">"c5781"</definedName>
    <definedName name="IQ_OPEB_AMT_RECOG_NEXT_FOREIGN" hidden="1">"c5782"</definedName>
    <definedName name="IQ_OPEB_ASSETS" hidden="1">"c3356"</definedName>
    <definedName name="IQ_OPEB_ASSETS_ACQ" hidden="1">"c3347"</definedName>
    <definedName name="IQ_OPEB_ASSETS_ACQ_DOM" hidden="1">"c3345"</definedName>
    <definedName name="IQ_OPEB_ASSETS_ACQ_FOREIGN" hidden="1">"c3346"</definedName>
    <definedName name="IQ_OPEB_ASSETS_ACTUAL_RETURN" hidden="1">"c3332"</definedName>
    <definedName name="IQ_OPEB_ASSETS_ACTUAL_RETURN_DOM" hidden="1">"c3330"</definedName>
    <definedName name="IQ_OPEB_ASSETS_ACTUAL_RETURN_FOREIGN" hidden="1">"c3331"</definedName>
    <definedName name="IQ_OPEB_ASSETS_BEG" hidden="1">"c3329"</definedName>
    <definedName name="IQ_OPEB_ASSETS_BEG_DOM" hidden="1">"c3327"</definedName>
    <definedName name="IQ_OPEB_ASSETS_BEG_FOREIGN" hidden="1">"c3328"</definedName>
    <definedName name="IQ_OPEB_ASSETS_BENEFITS_PAID" hidden="1">"c3341"</definedName>
    <definedName name="IQ_OPEB_ASSETS_BENEFITS_PAID_DOM" hidden="1">"c3339"</definedName>
    <definedName name="IQ_OPEB_ASSETS_BENEFITS_PAID_FOREIGN" hidden="1">"c3340"</definedName>
    <definedName name="IQ_OPEB_ASSETS_CURTAIL" hidden="1">"c3350"</definedName>
    <definedName name="IQ_OPEB_ASSETS_CURTAIL_DOM" hidden="1">"c3348"</definedName>
    <definedName name="IQ_OPEB_ASSETS_CURTAIL_FOREIGN" hidden="1">"c3349"</definedName>
    <definedName name="IQ_OPEB_ASSETS_DOM" hidden="1">"c3354"</definedName>
    <definedName name="IQ_OPEB_ASSETS_EMPLOYER_CONTRIBUTIONS" hidden="1">"c3335"</definedName>
    <definedName name="IQ_OPEB_ASSETS_EMPLOYER_CONTRIBUTIONS_DOM" hidden="1">"c3333"</definedName>
    <definedName name="IQ_OPEB_ASSETS_EMPLOYER_CONTRIBUTIONS_FOREIGN" hidden="1">"c3334"</definedName>
    <definedName name="IQ_OPEB_ASSETS_FOREIGN" hidden="1">"c3355"</definedName>
    <definedName name="IQ_OPEB_ASSETS_FX_ADJ" hidden="1">"c3344"</definedName>
    <definedName name="IQ_OPEB_ASSETS_FX_ADJ_DOM" hidden="1">"c3342"</definedName>
    <definedName name="IQ_OPEB_ASSETS_FX_ADJ_FOREIGN" hidden="1">"c3343"</definedName>
    <definedName name="IQ_OPEB_ASSETS_OTHER_PLAN_ADJ" hidden="1">"c3353"</definedName>
    <definedName name="IQ_OPEB_ASSETS_OTHER_PLAN_ADJ_DOM" hidden="1">"c3351"</definedName>
    <definedName name="IQ_OPEB_ASSETS_OTHER_PLAN_ADJ_FOREIGN" hidden="1">"c3352"</definedName>
    <definedName name="IQ_OPEB_ASSETS_PARTICIP_CONTRIBUTIONS" hidden="1">"c3338"</definedName>
    <definedName name="IQ_OPEB_ASSETS_PARTICIP_CONTRIBUTIONS_DOM" hidden="1">"c3336"</definedName>
    <definedName name="IQ_OPEB_ASSETS_PARTICIP_CONTRIBUTIONS_FOREIGN" hidden="1">"c3337"</definedName>
    <definedName name="IQ_OPEB_BENEFIT_INFO_DATE" hidden="1">"c3410"</definedName>
    <definedName name="IQ_OPEB_BENEFIT_INFO_DATE_DOM" hidden="1">"c3408"</definedName>
    <definedName name="IQ_OPEB_BENEFIT_INFO_DATE_FOREIGN" hidden="1">"c3409"</definedName>
    <definedName name="IQ_OPEB_BREAKDOWN_EQ" hidden="1">"c3275"</definedName>
    <definedName name="IQ_OPEB_BREAKDOWN_EQ_DOM" hidden="1">"c3273"</definedName>
    <definedName name="IQ_OPEB_BREAKDOWN_EQ_FOREIGN" hidden="1">"c3274"</definedName>
    <definedName name="IQ_OPEB_BREAKDOWN_FI" hidden="1">"c3278"</definedName>
    <definedName name="IQ_OPEB_BREAKDOWN_FI_DOM" hidden="1">"c3276"</definedName>
    <definedName name="IQ_OPEB_BREAKDOWN_FI_FOREIGN" hidden="1">"c3277"</definedName>
    <definedName name="IQ_OPEB_BREAKDOWN_OTHER" hidden="1">"c3284"</definedName>
    <definedName name="IQ_OPEB_BREAKDOWN_OTHER_DOM" hidden="1">"c3282"</definedName>
    <definedName name="IQ_OPEB_BREAKDOWN_OTHER_FOREIGN" hidden="1">"c3283"</definedName>
    <definedName name="IQ_OPEB_BREAKDOWN_PCT_EQ" hidden="1">"c3263"</definedName>
    <definedName name="IQ_OPEB_BREAKDOWN_PCT_EQ_DOM" hidden="1">"c3261"</definedName>
    <definedName name="IQ_OPEB_BREAKDOWN_PCT_EQ_FOREIGN" hidden="1">"c3262"</definedName>
    <definedName name="IQ_OPEB_BREAKDOWN_PCT_FI" hidden="1">"c3266"</definedName>
    <definedName name="IQ_OPEB_BREAKDOWN_PCT_FI_DOM" hidden="1">"c3264"</definedName>
    <definedName name="IQ_OPEB_BREAKDOWN_PCT_FI_FOREIGN" hidden="1">"c3265"</definedName>
    <definedName name="IQ_OPEB_BREAKDOWN_PCT_OTHER" hidden="1">"c3272"</definedName>
    <definedName name="IQ_OPEB_BREAKDOWN_PCT_OTHER_DOM" hidden="1">"c3270"</definedName>
    <definedName name="IQ_OPEB_BREAKDOWN_PCT_OTHER_FOREIGN" hidden="1">"c3271"</definedName>
    <definedName name="IQ_OPEB_BREAKDOWN_PCT_RE" hidden="1">"c3269"</definedName>
    <definedName name="IQ_OPEB_BREAKDOWN_PCT_RE_DOM" hidden="1">"c3267"</definedName>
    <definedName name="IQ_OPEB_BREAKDOWN_PCT_RE_FOREIGN" hidden="1">"c3268"</definedName>
    <definedName name="IQ_OPEB_BREAKDOWN_RE" hidden="1">"c3281"</definedName>
    <definedName name="IQ_OPEB_BREAKDOWN_RE_DOM" hidden="1">"c3279"</definedName>
    <definedName name="IQ_OPEB_BREAKDOWN_RE_FOREIGN" hidden="1">"c3280"</definedName>
    <definedName name="IQ_OPEB_CI_ACT" hidden="1">"c5759"</definedName>
    <definedName name="IQ_OPEB_CI_ACT_DOM" hidden="1">"c5757"</definedName>
    <definedName name="IQ_OPEB_CI_ACT_FOREIGN" hidden="1">"c5758"</definedName>
    <definedName name="IQ_OPEB_CI_NET_AMT_RECOG" hidden="1">"c5771"</definedName>
    <definedName name="IQ_OPEB_CI_NET_AMT_RECOG_DOM" hidden="1">"c5769"</definedName>
    <definedName name="IQ_OPEB_CI_NET_AMT_RECOG_FOREIGN" hidden="1">"c5770"</definedName>
    <definedName name="IQ_OPEB_CI_OTHER_MISC_ADJ" hidden="1">"c5768"</definedName>
    <definedName name="IQ_OPEB_CI_OTHER_MISC_ADJ_DOM" hidden="1">"c5766"</definedName>
    <definedName name="IQ_OPEB_CI_OTHER_MISC_ADJ_FOREIGN" hidden="1">"c5767"</definedName>
    <definedName name="IQ_OPEB_CI_PRIOR_SERVICE" hidden="1">"c5762"</definedName>
    <definedName name="IQ_OPEB_CI_PRIOR_SERVICE_DOM" hidden="1">"c5760"</definedName>
    <definedName name="IQ_OPEB_CI_PRIOR_SERVICE_FOREIGN" hidden="1">"c5761"</definedName>
    <definedName name="IQ_OPEB_CI_TRANSITION" hidden="1">"c5765"</definedName>
    <definedName name="IQ_OPEB_CI_TRANSITION_DOM" hidden="1">"c5763"</definedName>
    <definedName name="IQ_OPEB_CI_TRANSITION_FOREIGN" hidden="1">"c5764"</definedName>
    <definedName name="IQ_OPEB_CL" hidden="1">"c5789"</definedName>
    <definedName name="IQ_OPEB_CL_DOM" hidden="1">"c5787"</definedName>
    <definedName name="IQ_OPEB_CL_FOREIGN" hidden="1">"c5788"</definedName>
    <definedName name="IQ_OPEB_DECREASE_EFFECT_PBO" hidden="1">"c3458"</definedName>
    <definedName name="IQ_OPEB_DECREASE_EFFECT_PBO_DOM" hidden="1">"c3456"</definedName>
    <definedName name="IQ_OPEB_DECREASE_EFFECT_PBO_FOREIGN" hidden="1">"c3457"</definedName>
    <definedName name="IQ_OPEB_DECREASE_EFFECT_SERVICE_INT_COST" hidden="1">"c3455"</definedName>
    <definedName name="IQ_OPEB_DECREASE_EFFECT_SERVICE_INT_COST_DOM" hidden="1">"c3453"</definedName>
    <definedName name="IQ_OPEB_DECREASE_EFFECT_SERVICE_INT_COST_FOREIGN" hidden="1">"c3454"</definedName>
    <definedName name="IQ_OPEB_DISC_RATE_MAX" hidden="1">"c3422"</definedName>
    <definedName name="IQ_OPEB_DISC_RATE_MAX_DOM" hidden="1">"c3420"</definedName>
    <definedName name="IQ_OPEB_DISC_RATE_MAX_FOREIGN" hidden="1">"c3421"</definedName>
    <definedName name="IQ_OPEB_DISC_RATE_MIN" hidden="1">"c3419"</definedName>
    <definedName name="IQ_OPEB_DISC_RATE_MIN_DOM" hidden="1">"c3417"</definedName>
    <definedName name="IQ_OPEB_DISC_RATE_MIN_FOREIGN" hidden="1">"c3418"</definedName>
    <definedName name="IQ_OPEB_EST_BENEFIT_1YR" hidden="1">"c3287"</definedName>
    <definedName name="IQ_OPEB_EST_BENEFIT_1YR_DOM" hidden="1">"c3285"</definedName>
    <definedName name="IQ_OPEB_EST_BENEFIT_1YR_FOREIGN" hidden="1">"c3286"</definedName>
    <definedName name="IQ_OPEB_EST_BENEFIT_2YR" hidden="1">"c3290"</definedName>
    <definedName name="IQ_OPEB_EST_BENEFIT_2YR_DOM" hidden="1">"c3288"</definedName>
    <definedName name="IQ_OPEB_EST_BENEFIT_2YR_FOREIGN" hidden="1">"c3289"</definedName>
    <definedName name="IQ_OPEB_EST_BENEFIT_3YR" hidden="1">"c3293"</definedName>
    <definedName name="IQ_OPEB_EST_BENEFIT_3YR_DOM" hidden="1">"c3291"</definedName>
    <definedName name="IQ_OPEB_EST_BENEFIT_3YR_FOREIGN" hidden="1">"c3292"</definedName>
    <definedName name="IQ_OPEB_EST_BENEFIT_4YR" hidden="1">"c3296"</definedName>
    <definedName name="IQ_OPEB_EST_BENEFIT_4YR_DOM" hidden="1">"c3294"</definedName>
    <definedName name="IQ_OPEB_EST_BENEFIT_4YR_FOREIGN" hidden="1">"c3295"</definedName>
    <definedName name="IQ_OPEB_EST_BENEFIT_5YR" hidden="1">"c3299"</definedName>
    <definedName name="IQ_OPEB_EST_BENEFIT_5YR_DOM" hidden="1">"c3297"</definedName>
    <definedName name="IQ_OPEB_EST_BENEFIT_5YR_FOREIGN" hidden="1">"c3298"</definedName>
    <definedName name="IQ_OPEB_EST_BENEFIT_AFTER5" hidden="1">"c3302"</definedName>
    <definedName name="IQ_OPEB_EST_BENEFIT_AFTER5_DOM" hidden="1">"c3300"</definedName>
    <definedName name="IQ_OPEB_EST_BENEFIT_AFTER5_FOREIGN" hidden="1">"c3301"</definedName>
    <definedName name="IQ_OPEB_EXP_RATE_RETURN_MAX" hidden="1">"c3434"</definedName>
    <definedName name="IQ_OPEB_EXP_RATE_RETURN_MAX_DOM" hidden="1">"c3432"</definedName>
    <definedName name="IQ_OPEB_EXP_RATE_RETURN_MAX_FOREIGN" hidden="1">"c3433"</definedName>
    <definedName name="IQ_OPEB_EXP_RATE_RETURN_MIN" hidden="1">"c3431"</definedName>
    <definedName name="IQ_OPEB_EXP_RATE_RETURN_MIN_DOM" hidden="1">"c3429"</definedName>
    <definedName name="IQ_OPEB_EXP_RATE_RETURN_MIN_FOREIGN" hidden="1">"c3430"</definedName>
    <definedName name="IQ_OPEB_EXP_RETURN" hidden="1">"c3398"</definedName>
    <definedName name="IQ_OPEB_EXP_RETURN_DOM" hidden="1">"c3396"</definedName>
    <definedName name="IQ_OPEB_EXP_RETURN_FOREIGN" hidden="1">"c3397"</definedName>
    <definedName name="IQ_OPEB_HEALTH_COST_TREND_INITIAL" hidden="1">"c3413"</definedName>
    <definedName name="IQ_OPEB_HEALTH_COST_TREND_INITIAL_DOM" hidden="1">"c3411"</definedName>
    <definedName name="IQ_OPEB_HEALTH_COST_TREND_INITIAL_FOREIGN" hidden="1">"c3412"</definedName>
    <definedName name="IQ_OPEB_HEALTH_COST_TREND_ULTIMATE" hidden="1">"c3416"</definedName>
    <definedName name="IQ_OPEB_HEALTH_COST_TREND_ULTIMATE_DOM" hidden="1">"c3414"</definedName>
    <definedName name="IQ_OPEB_HEALTH_COST_TREND_ULTIMATE_FOREIGN" hidden="1">"c3415"</definedName>
    <definedName name="IQ_OPEB_INCREASE_EFFECT_PBO" hidden="1">"c3452"</definedName>
    <definedName name="IQ_OPEB_INCREASE_EFFECT_PBO_DOM" hidden="1">"c3450"</definedName>
    <definedName name="IQ_OPEB_INCREASE_EFFECT_PBO_FOREIGN" hidden="1">"c3451"</definedName>
    <definedName name="IQ_OPEB_INCREASE_EFFECT_SERVICE_INT_COST" hidden="1">"c3449"</definedName>
    <definedName name="IQ_OPEB_INCREASE_EFFECT_SERVICE_INT_COST_DOM" hidden="1">"c3447"</definedName>
    <definedName name="IQ_OPEB_INCREASE_EFFECT_SERVICE_INT_COST_FOREIGN" hidden="1">"c3448"</definedName>
    <definedName name="IQ_OPEB_INTAN_ASSETS" hidden="1">"c3311"</definedName>
    <definedName name="IQ_OPEB_INTAN_ASSETS_DOM" hidden="1">"c3309"</definedName>
    <definedName name="IQ_OPEB_INTAN_ASSETS_FOREIGN" hidden="1">"c3310"</definedName>
    <definedName name="IQ_OPEB_INTEREST_COST" hidden="1">"c3395"</definedName>
    <definedName name="IQ_OPEB_INTEREST_COST_DOM" hidden="1">"c3393"</definedName>
    <definedName name="IQ_OPEB_INTEREST_COST_FOREIGN" hidden="1">"c3394"</definedName>
    <definedName name="IQ_OPEB_LT_ASSETS" hidden="1">"c5786"</definedName>
    <definedName name="IQ_OPEB_LT_ASSETS_DOM" hidden="1">"c5784"</definedName>
    <definedName name="IQ_OPEB_LT_ASSETS_FOREIGN" hidden="1">"c5785"</definedName>
    <definedName name="IQ_OPEB_LT_LIAB" hidden="1">"c5792"</definedName>
    <definedName name="IQ_OPEB_LT_LIAB_DOM" hidden="1">"c5790"</definedName>
    <definedName name="IQ_OPEB_LT_LIAB_FOREIGN" hidden="1">"c5791"</definedName>
    <definedName name="IQ_OPEB_NET_ASSET_RECOG" hidden="1">"c3326"</definedName>
    <definedName name="IQ_OPEB_NET_ASSET_RECOG_DOM" hidden="1">"c3324"</definedName>
    <definedName name="IQ_OPEB_NET_ASSET_RECOG_FOREIGN" hidden="1">"c3325"</definedName>
    <definedName name="IQ_OPEB_OBLIGATION_ACCUMULATED" hidden="1">"c3407"</definedName>
    <definedName name="IQ_OPEB_OBLIGATION_ACCUMULATED_DOM" hidden="1">"c3405"</definedName>
    <definedName name="IQ_OPEB_OBLIGATION_ACCUMULATED_FOREIGN" hidden="1">"c3406"</definedName>
    <definedName name="IQ_OPEB_OBLIGATION_ACQ" hidden="1">"c3380"</definedName>
    <definedName name="IQ_OPEB_OBLIGATION_ACQ_DOM" hidden="1">"c3378"</definedName>
    <definedName name="IQ_OPEB_OBLIGATION_ACQ_FOREIGN" hidden="1">"c3379"</definedName>
    <definedName name="IQ_OPEB_OBLIGATION_ACTUARIAL_GAIN_LOSS" hidden="1">"c3371"</definedName>
    <definedName name="IQ_OPEB_OBLIGATION_ACTUARIAL_GAIN_LOSS_DOM" hidden="1">"c3369"</definedName>
    <definedName name="IQ_OPEB_OBLIGATION_ACTUARIAL_GAIN_LOSS_FOREIGN" hidden="1">"c3370"</definedName>
    <definedName name="IQ_OPEB_OBLIGATION_BEG" hidden="1">"c3359"</definedName>
    <definedName name="IQ_OPEB_OBLIGATION_BEG_DOM" hidden="1">"c3357"</definedName>
    <definedName name="IQ_OPEB_OBLIGATION_BEG_FOREIGN" hidden="1">"c3358"</definedName>
    <definedName name="IQ_OPEB_OBLIGATION_CURTAIL" hidden="1">"c3383"</definedName>
    <definedName name="IQ_OPEB_OBLIGATION_CURTAIL_DOM" hidden="1">"c3381"</definedName>
    <definedName name="IQ_OPEB_OBLIGATION_CURTAIL_FOREIGN" hidden="1">"c3382"</definedName>
    <definedName name="IQ_OPEB_OBLIGATION_EMPLOYEE_CONTRIBUTIONS" hidden="1">"c3368"</definedName>
    <definedName name="IQ_OPEB_OBLIGATION_EMPLOYEE_CONTRIBUTIONS_DOM" hidden="1">"c3366"</definedName>
    <definedName name="IQ_OPEB_OBLIGATION_EMPLOYEE_CONTRIBUTIONS_FOREIGN" hidden="1">"c3367"</definedName>
    <definedName name="IQ_OPEB_OBLIGATION_FX_ADJ" hidden="1">"c3377"</definedName>
    <definedName name="IQ_OPEB_OBLIGATION_FX_ADJ_DOM" hidden="1">"c3375"</definedName>
    <definedName name="IQ_OPEB_OBLIGATION_FX_ADJ_FOREIGN" hidden="1">"c3376"</definedName>
    <definedName name="IQ_OPEB_OBLIGATION_INTEREST_COST" hidden="1">"c3365"</definedName>
    <definedName name="IQ_OPEB_OBLIGATION_INTEREST_COST_DOM" hidden="1">"c3363"</definedName>
    <definedName name="IQ_OPEB_OBLIGATION_INTEREST_COST_FOREIGN" hidden="1">"c3364"</definedName>
    <definedName name="IQ_OPEB_OBLIGATION_OTHER_PLAN_ADJ" hidden="1">"c3386"</definedName>
    <definedName name="IQ_OPEB_OBLIGATION_OTHER_PLAN_ADJ_DOM" hidden="1">"c3384"</definedName>
    <definedName name="IQ_OPEB_OBLIGATION_OTHER_PLAN_ADJ_FOREIGN" hidden="1">"c3385"</definedName>
    <definedName name="IQ_OPEB_OBLIGATION_PAID" hidden="1">"c3374"</definedName>
    <definedName name="IQ_OPEB_OBLIGATION_PAID_DOM" hidden="1">"c3372"</definedName>
    <definedName name="IQ_OPEB_OBLIGATION_PAID_FOREIGN" hidden="1">"c3373"</definedName>
    <definedName name="IQ_OPEB_OBLIGATION_PROJECTED" hidden="1">"c3389"</definedName>
    <definedName name="IQ_OPEB_OBLIGATION_PROJECTED_DOM" hidden="1">"c3387"</definedName>
    <definedName name="IQ_OPEB_OBLIGATION_PROJECTED_FOREIGN" hidden="1">"c3388"</definedName>
    <definedName name="IQ_OPEB_OBLIGATION_SERVICE_COST" hidden="1">"c3362"</definedName>
    <definedName name="IQ_OPEB_OBLIGATION_SERVICE_COST_DOM" hidden="1">"c3360"</definedName>
    <definedName name="IQ_OPEB_OBLIGATION_SERVICE_COST_FOREIGN" hidden="1">"c3361"</definedName>
    <definedName name="IQ_OPEB_OTHER" hidden="1">"c3317"</definedName>
    <definedName name="IQ_OPEB_OTHER_ADJ" hidden="1">"c3323"</definedName>
    <definedName name="IQ_OPEB_OTHER_ADJ_DOM" hidden="1">"c3321"</definedName>
    <definedName name="IQ_OPEB_OTHER_ADJ_FOREIGN" hidden="1">"c3322"</definedName>
    <definedName name="IQ_OPEB_OTHER_COST" hidden="1">"c3401"</definedName>
    <definedName name="IQ_OPEB_OTHER_COST_DOM" hidden="1">"c3399"</definedName>
    <definedName name="IQ_OPEB_OTHER_COST_FOREIGN" hidden="1">"c3400"</definedName>
    <definedName name="IQ_OPEB_OTHER_DOM" hidden="1">"c3315"</definedName>
    <definedName name="IQ_OPEB_OTHER_FOREIGN" hidden="1">"c3316"</definedName>
    <definedName name="IQ_OPEB_PBO_ASSUMED_RATE_RET_MAX" hidden="1">"c3440"</definedName>
    <definedName name="IQ_OPEB_PBO_ASSUMED_RATE_RET_MAX_DOM" hidden="1">"c3438"</definedName>
    <definedName name="IQ_OPEB_PBO_ASSUMED_RATE_RET_MAX_FOREIGN" hidden="1">"c3439"</definedName>
    <definedName name="IQ_OPEB_PBO_ASSUMED_RATE_RET_MIN" hidden="1">"c3437"</definedName>
    <definedName name="IQ_OPEB_PBO_ASSUMED_RATE_RET_MIN_DOM" hidden="1">"c3435"</definedName>
    <definedName name="IQ_OPEB_PBO_ASSUMED_RATE_RET_MIN_FOREIGN" hidden="1">"c3436"</definedName>
    <definedName name="IQ_OPEB_PBO_RATE_COMP_INCREASE_MAX" hidden="1">"c3446"</definedName>
    <definedName name="IQ_OPEB_PBO_RATE_COMP_INCREASE_MAX_DOM" hidden="1">"c3444"</definedName>
    <definedName name="IQ_OPEB_PBO_RATE_COMP_INCREASE_MAX_FOREIGN" hidden="1">"c3445"</definedName>
    <definedName name="IQ_OPEB_PBO_RATE_COMP_INCREASE_MIN" hidden="1">"c3443"</definedName>
    <definedName name="IQ_OPEB_PBO_RATE_COMP_INCREASE_MIN_DOM" hidden="1">"c3441"</definedName>
    <definedName name="IQ_OPEB_PBO_RATE_COMP_INCREASE_MIN_FOREIGN" hidden="1">"c3442"</definedName>
    <definedName name="IQ_OPEB_PREPAID_COST" hidden="1">"c3305"</definedName>
    <definedName name="IQ_OPEB_PREPAID_COST_DOM" hidden="1">"c3303"</definedName>
    <definedName name="IQ_OPEB_PREPAID_COST_FOREIGN" hidden="1">"c3304"</definedName>
    <definedName name="IQ_OPEB_PRIOR_SERVICE_NEXT" hidden="1">"c5777"</definedName>
    <definedName name="IQ_OPEB_PRIOR_SERVICE_NEXT_DOM" hidden="1">"c5775"</definedName>
    <definedName name="IQ_OPEB_PRIOR_SERVICE_NEXT_FOREIGN" hidden="1">"c5776"</definedName>
    <definedName name="IQ_OPEB_RATE_COMP_INCREASE_MAX" hidden="1">"c3428"</definedName>
    <definedName name="IQ_OPEB_RATE_COMP_INCREASE_MAX_DOM" hidden="1">"c3426"</definedName>
    <definedName name="IQ_OPEB_RATE_COMP_INCREASE_MAX_FOREIGN" hidden="1">"c3427"</definedName>
    <definedName name="IQ_OPEB_RATE_COMP_INCREASE_MIN" hidden="1">"c3425"</definedName>
    <definedName name="IQ_OPEB_RATE_COMP_INCREASE_MIN_DOM" hidden="1">"c3423"</definedName>
    <definedName name="IQ_OPEB_RATE_COMP_INCREASE_MIN_FOREIGN" hidden="1">"c3424"</definedName>
    <definedName name="IQ_OPEB_SERVICE_COST" hidden="1">"c3392"</definedName>
    <definedName name="IQ_OPEB_SERVICE_COST_DOM" hidden="1">"c3390"</definedName>
    <definedName name="IQ_OPEB_SERVICE_COST_FOREIGN" hidden="1">"c3391"</definedName>
    <definedName name="IQ_OPEB_TOTAL_COST" hidden="1">"c3404"</definedName>
    <definedName name="IQ_OPEB_TOTAL_COST_DOM" hidden="1">"c3402"</definedName>
    <definedName name="IQ_OPEB_TOTAL_COST_FOREIGN" hidden="1">"c3403"</definedName>
    <definedName name="IQ_OPEB_TRANSITION_NEXT" hidden="1">"c5780"</definedName>
    <definedName name="IQ_OPEB_TRANSITION_NEXT_DOM" hidden="1">"c5778"</definedName>
    <definedName name="IQ_OPEB_TRANSITION_NEXT_FOREIGN" hidden="1">"c5779"</definedName>
    <definedName name="IQ_OPEB_UNRECOG_PRIOR" hidden="1">"c3320"</definedName>
    <definedName name="IQ_OPEB_UNRECOG_PRIOR_DOM" hidden="1">"c3318"</definedName>
    <definedName name="IQ_OPEB_UNRECOG_PRIOR_FOREIGN" hidden="1">"c3319"</definedName>
    <definedName name="IQ_OPENPRICE" hidden="1">"c848"</definedName>
    <definedName name="IQ_OPER_INC" hidden="1">"c849"</definedName>
    <definedName name="IQ_OPER_INC_BR" hidden="1">"c850"</definedName>
    <definedName name="IQ_OPER_INC_FIN" hidden="1">"c851"</definedName>
    <definedName name="IQ_OPER_INC_INS" hidden="1">"c852"</definedName>
    <definedName name="IQ_OPER_INC_MARGIN" hidden="1">"c1448"</definedName>
    <definedName name="IQ_OPER_INC_RE" hidden="1">"c6240"</definedName>
    <definedName name="IQ_OPER_INC_REIT" hidden="1">"c853"</definedName>
    <definedName name="IQ_OPER_INC_UTI" hidden="1">"c854"</definedName>
    <definedName name="IQ_OPERATIONS_EXP" hidden="1">"c855"</definedName>
    <definedName name="IQ_OPTIONS_BEG_OS" hidden="1">"c1572"</definedName>
    <definedName name="IQ_OPTIONS_CANCELLED" hidden="1">"c856"</definedName>
    <definedName name="IQ_OPTIONS_END_OS" hidden="1">"c1573"</definedName>
    <definedName name="IQ_OPTIONS_EXERCISABLE_END_OS" hidden="1">"c5804"</definedName>
    <definedName name="IQ_OPTIONS_EXERCISED" hidden="1">"c2116"</definedName>
    <definedName name="IQ_OPTIONS_GRANTED" hidden="1">"c2673"</definedName>
    <definedName name="IQ_OPTIONS_ISSUED" hidden="1">"c857"</definedName>
    <definedName name="IQ_OPTIONS_STRIKE_PRICE_BEG_OS" hidden="1">"c5805"</definedName>
    <definedName name="IQ_OPTIONS_STRIKE_PRICE_CANCELLED" hidden="1">"c5807"</definedName>
    <definedName name="IQ_OPTIONS_STRIKE_PRICE_EXERCISABLE" hidden="1">"c5808"</definedName>
    <definedName name="IQ_OPTIONS_STRIKE_PRICE_EXERCISED" hidden="1">"c5806"</definedName>
    <definedName name="IQ_OPTIONS_STRIKE_PRICE_GRANTED" hidden="1">"c2678"</definedName>
    <definedName name="IQ_OPTIONS_STRIKE_PRICE_OS" hidden="1">"c2677"</definedName>
    <definedName name="IQ_ORDER_BACKLOG" hidden="1">"c2090"</definedName>
    <definedName name="IQ_OREO_1_4_RESIDENTIAL_FDIC" hidden="1">"c6454"</definedName>
    <definedName name="IQ_OREO_COMMERCIAL_RE_FDIC" hidden="1">"c6456"</definedName>
    <definedName name="IQ_OREO_CONSTRUCTION_DEVELOPMENT_FDIC" hidden="1">"c6457"</definedName>
    <definedName name="IQ_OREO_FARMLAND_FDIC" hidden="1">"c6458"</definedName>
    <definedName name="IQ_OREO_FOREIGN_FDIC" hidden="1">"c6460"</definedName>
    <definedName name="IQ_OREO_MULTI_FAMILY_RESIDENTIAL_FDIC" hidden="1">"c6455"</definedName>
    <definedName name="IQ_OTHER_ADJUST_GROSS_LOANS" hidden="1">"c859"</definedName>
    <definedName name="IQ_OTHER_ADJUSTMENTS_COVERED" hidden="1">"c9961"</definedName>
    <definedName name="IQ_OTHER_ADJUSTMENTS_GROUP" hidden="1">"c9947"</definedName>
    <definedName name="IQ_OTHER_AMORT" hidden="1">"c5563"</definedName>
    <definedName name="IQ_OTHER_AMORT_BNK" hidden="1">"c5565"</definedName>
    <definedName name="IQ_OTHER_AMORT_BR" hidden="1">"c5566"</definedName>
    <definedName name="IQ_OTHER_AMORT_FIN" hidden="1">"c5567"</definedName>
    <definedName name="IQ_OTHER_AMORT_INS" hidden="1">"c5568"</definedName>
    <definedName name="IQ_OTHER_AMORT_RE" hidden="1">"c6287"</definedName>
    <definedName name="IQ_OTHER_AMORT_REIT" hidden="1">"c5569"</definedName>
    <definedName name="IQ_OTHER_AMORT_UTI" hidden="1">"c5570"</definedName>
    <definedName name="IQ_OTHER_ASSETS" hidden="1">"c860"</definedName>
    <definedName name="IQ_OTHER_ASSETS_BNK" hidden="1">"c861"</definedName>
    <definedName name="IQ_OTHER_ASSETS_BR" hidden="1">"c862"</definedName>
    <definedName name="IQ_OTHER_ASSETS_FDIC" hidden="1">"c6338"</definedName>
    <definedName name="IQ_OTHER_ASSETS_FIN" hidden="1">"c863"</definedName>
    <definedName name="IQ_OTHER_ASSETS_INS" hidden="1">"c864"</definedName>
    <definedName name="IQ_OTHER_ASSETS_RE" hidden="1">"c6241"</definedName>
    <definedName name="IQ_OTHER_ASSETS_REIT" hidden="1">"c865"</definedName>
    <definedName name="IQ_OTHER_ASSETS_SERV_RIGHTS" hidden="1">"c2243"</definedName>
    <definedName name="IQ_OTHER_ASSETS_UTI" hidden="1">"c866"</definedName>
    <definedName name="IQ_OTHER_BEARING_LIAB" hidden="1">"c1608"</definedName>
    <definedName name="IQ_OTHER_BEDS" hidden="1">"c8784"</definedName>
    <definedName name="IQ_OTHER_BENEFITS_OBLIGATION" hidden="1">"c867"</definedName>
    <definedName name="IQ_OTHER_BORROWED_FUNDS_FDIC" hidden="1">"c6345"</definedName>
    <definedName name="IQ_OTHER_CA" hidden="1">"c868"</definedName>
    <definedName name="IQ_OTHER_CA_SUPPL" hidden="1">"c869"</definedName>
    <definedName name="IQ_OTHER_CA_SUPPL_BNK" hidden="1">"c870"</definedName>
    <definedName name="IQ_OTHER_CA_SUPPL_BR" hidden="1">"c871"</definedName>
    <definedName name="IQ_OTHER_CA_SUPPL_FIN" hidden="1">"c872"</definedName>
    <definedName name="IQ_OTHER_CA_SUPPL_INS" hidden="1">"c873"</definedName>
    <definedName name="IQ_OTHER_CA_SUPPL_RE" hidden="1">"c6242"</definedName>
    <definedName name="IQ_OTHER_CA_SUPPL_REIT" hidden="1">"c874"</definedName>
    <definedName name="IQ_OTHER_CA_SUPPL_UTI" hidden="1">"c875"</definedName>
    <definedName name="IQ_OTHER_CA_UTI" hidden="1">"c876"</definedName>
    <definedName name="IQ_OTHER_CL" hidden="1">"c877"</definedName>
    <definedName name="IQ_OTHER_CL_SUPPL" hidden="1">"c878"</definedName>
    <definedName name="IQ_OTHER_CL_SUPPL_BNK" hidden="1">"c879"</definedName>
    <definedName name="IQ_OTHER_CL_SUPPL_BR" hidden="1">"c880"</definedName>
    <definedName name="IQ_OTHER_CL_SUPPL_FIN" hidden="1">"c881"</definedName>
    <definedName name="IQ_OTHER_CL_SUPPL_INS" hidden="1">"C6021"</definedName>
    <definedName name="IQ_OTHER_CL_SUPPL_RE" hidden="1">"c6243"</definedName>
    <definedName name="IQ_OTHER_CL_SUPPL_REIT" hidden="1">"c882"</definedName>
    <definedName name="IQ_OTHER_CL_SUPPL_UTI" hidden="1">"c883"</definedName>
    <definedName name="IQ_OTHER_CL_UTI" hidden="1">"c884"</definedName>
    <definedName name="IQ_OTHER_COMPREHENSIVE_INCOME_FDIC" hidden="1">"c6503"</definedName>
    <definedName name="IQ_OTHER_CURRENT_ASSETS" hidden="1">"c1403"</definedName>
    <definedName name="IQ_OTHER_CURRENT_LIAB" hidden="1">"c1404"</definedName>
    <definedName name="IQ_OTHER_DEBT" hidden="1">"c2507"</definedName>
    <definedName name="IQ_OTHER_DEBT_PCT" hidden="1">"c2508"</definedName>
    <definedName name="IQ_OTHER_DEP" hidden="1">"c885"</definedName>
    <definedName name="IQ_OTHER_DEPOSITORY_INSTITUTIONS_LOANS_FDIC" hidden="1">"c6436"</definedName>
    <definedName name="IQ_OTHER_DEPOSITORY_INSTITUTIONS_TOTAL_LOANS_FOREIGN_FDIC" hidden="1">"c6442"</definedName>
    <definedName name="IQ_OTHER_DOMESTIC_DEBT_SECURITIES_FDIC" hidden="1">"c6302"</definedName>
    <definedName name="IQ_OTHER_EARNING" hidden="1">"c1609"</definedName>
    <definedName name="IQ_OTHER_EQUITY" hidden="1">"c886"</definedName>
    <definedName name="IQ_OTHER_EQUITY_BNK" hidden="1">"c887"</definedName>
    <definedName name="IQ_OTHER_EQUITY_BR" hidden="1">"c888"</definedName>
    <definedName name="IQ_OTHER_EQUITY_FIN" hidden="1">"c889"</definedName>
    <definedName name="IQ_OTHER_EQUITY_INS" hidden="1">"c890"</definedName>
    <definedName name="IQ_OTHER_EQUITY_RE" hidden="1">"c6244"</definedName>
    <definedName name="IQ_OTHER_EQUITY_REIT" hidden="1">"c891"</definedName>
    <definedName name="IQ_OTHER_EQUITY_UTI" hidden="1">"c892"</definedName>
    <definedName name="IQ_OTHER_FINANCE_ACT" hidden="1">"c893"</definedName>
    <definedName name="IQ_OTHER_FINANCE_ACT_BNK" hidden="1">"c894"</definedName>
    <definedName name="IQ_OTHER_FINANCE_ACT_BR" hidden="1">"c895"</definedName>
    <definedName name="IQ_OTHER_FINANCE_ACT_FIN" hidden="1">"c896"</definedName>
    <definedName name="IQ_OTHER_FINANCE_ACT_INS" hidden="1">"c897"</definedName>
    <definedName name="IQ_OTHER_FINANCE_ACT_RE" hidden="1">"c6245"</definedName>
    <definedName name="IQ_OTHER_FINANCE_ACT_REIT" hidden="1">"c898"</definedName>
    <definedName name="IQ_OTHER_FINANCE_ACT_SUPPL" hidden="1">"c899"</definedName>
    <definedName name="IQ_OTHER_FINANCE_ACT_SUPPL_BNK" hidden="1">"c900"</definedName>
    <definedName name="IQ_OTHER_FINANCE_ACT_SUPPL_BR" hidden="1">"c901"</definedName>
    <definedName name="IQ_OTHER_FINANCE_ACT_SUPPL_FIN" hidden="1">"c902"</definedName>
    <definedName name="IQ_OTHER_FINANCE_ACT_SUPPL_INS" hidden="1">"c903"</definedName>
    <definedName name="IQ_OTHER_FINANCE_ACT_SUPPL_RE" hidden="1">"c6246"</definedName>
    <definedName name="IQ_OTHER_FINANCE_ACT_SUPPL_REIT" hidden="1">"c904"</definedName>
    <definedName name="IQ_OTHER_FINANCE_ACT_SUPPL_UTI" hidden="1">"c905"</definedName>
    <definedName name="IQ_OTHER_FINANCE_ACT_UTI" hidden="1">"c906"</definedName>
    <definedName name="IQ_OTHER_INSURANCE_FEES_FDIC" hidden="1">"c6672"</definedName>
    <definedName name="IQ_OTHER_INTAN" hidden="1">"c907"</definedName>
    <definedName name="IQ_OTHER_INTAN_BNK" hidden="1">"c908"</definedName>
    <definedName name="IQ_OTHER_INTAN_BR" hidden="1">"c909"</definedName>
    <definedName name="IQ_OTHER_INTAN_FIN" hidden="1">"c910"</definedName>
    <definedName name="IQ_OTHER_INTAN_INS" hidden="1">"c911"</definedName>
    <definedName name="IQ_OTHER_INTAN_RE" hidden="1">"c6247"</definedName>
    <definedName name="IQ_OTHER_INTAN_REIT" hidden="1">"c912"</definedName>
    <definedName name="IQ_OTHER_INTAN_UTI" hidden="1">"c913"</definedName>
    <definedName name="IQ_OTHER_INTANGIBLE_FDIC" hidden="1">"c6337"</definedName>
    <definedName name="IQ_OTHER_INV" hidden="1">"c914"</definedName>
    <definedName name="IQ_OTHER_INVEST" hidden="1">"c915"</definedName>
    <definedName name="IQ_OTHER_INVEST_ACT" hidden="1">"c916"</definedName>
    <definedName name="IQ_OTHER_INVEST_ACT_BNK" hidden="1">"c917"</definedName>
    <definedName name="IQ_OTHER_INVEST_ACT_BR" hidden="1">"c918"</definedName>
    <definedName name="IQ_OTHER_INVEST_ACT_FIN" hidden="1">"c919"</definedName>
    <definedName name="IQ_OTHER_INVEST_ACT_INS" hidden="1">"c920"</definedName>
    <definedName name="IQ_OTHER_INVEST_ACT_RE" hidden="1">"c6248"</definedName>
    <definedName name="IQ_OTHER_INVEST_ACT_REIT" hidden="1">"c921"</definedName>
    <definedName name="IQ_OTHER_INVEST_ACT_SUPPL" hidden="1">"c922"</definedName>
    <definedName name="IQ_OTHER_INVEST_ACT_SUPPL_BNK" hidden="1">"c923"</definedName>
    <definedName name="IQ_OTHER_INVEST_ACT_SUPPL_BR" hidden="1">"c924"</definedName>
    <definedName name="IQ_OTHER_INVEST_ACT_SUPPL_FIN" hidden="1">"c925"</definedName>
    <definedName name="IQ_OTHER_INVEST_ACT_SUPPL_INS" hidden="1">"c926"</definedName>
    <definedName name="IQ_OTHER_INVEST_ACT_SUPPL_RE" hidden="1">"c6249"</definedName>
    <definedName name="IQ_OTHER_INVEST_ACT_SUPPL_REIT" hidden="1">"c927"</definedName>
    <definedName name="IQ_OTHER_INVEST_ACT_SUPPL_UTI" hidden="1">"c928"</definedName>
    <definedName name="IQ_OTHER_INVEST_ACT_UTI" hidden="1">"c929"</definedName>
    <definedName name="IQ_OTHER_INVESTING" hidden="1">"c1408"</definedName>
    <definedName name="IQ_OTHER_LIAB" hidden="1">"c930"</definedName>
    <definedName name="IQ_OTHER_LIAB_BNK" hidden="1">"c931"</definedName>
    <definedName name="IQ_OTHER_LIAB_BR" hidden="1">"c932"</definedName>
    <definedName name="IQ_OTHER_LIAB_FIN" hidden="1">"c933"</definedName>
    <definedName name="IQ_OTHER_LIAB_INS" hidden="1">"c934"</definedName>
    <definedName name="IQ_OTHER_LIAB_LT" hidden="1">"c935"</definedName>
    <definedName name="IQ_OTHER_LIAB_LT_BNK" hidden="1">"c936"</definedName>
    <definedName name="IQ_OTHER_LIAB_LT_BR" hidden="1">"c937"</definedName>
    <definedName name="IQ_OTHER_LIAB_LT_FIN" hidden="1">"c938"</definedName>
    <definedName name="IQ_OTHER_LIAB_LT_INS" hidden="1">"c939"</definedName>
    <definedName name="IQ_OTHER_LIAB_LT_RE" hidden="1">"c6250"</definedName>
    <definedName name="IQ_OTHER_LIAB_LT_REIT" hidden="1">"c940"</definedName>
    <definedName name="IQ_OTHER_LIAB_LT_UTI" hidden="1">"c941"</definedName>
    <definedName name="IQ_OTHER_LIAB_RE" hidden="1">"c6251"</definedName>
    <definedName name="IQ_OTHER_LIAB_REIT" hidden="1">"c942"</definedName>
    <definedName name="IQ_OTHER_LIAB_UTI" hidden="1">"c943"</definedName>
    <definedName name="IQ_OTHER_LIAB_WRITTEN" hidden="1">"c944"</definedName>
    <definedName name="IQ_OTHER_LIABILITIES_FDIC" hidden="1">"c6347"</definedName>
    <definedName name="IQ_OTHER_LOANS" hidden="1">"c945"</definedName>
    <definedName name="IQ_OTHER_LOANS_CHARGE_OFFS_FDIC" hidden="1">"c6601"</definedName>
    <definedName name="IQ_OTHER_LOANS_FOREIGN_FDIC" hidden="1">"c6446"</definedName>
    <definedName name="IQ_OTHER_LOANS_LEASES_FDIC" hidden="1">"c6322"</definedName>
    <definedName name="IQ_OTHER_LOANS_NET_CHARGE_OFFS_FDIC" hidden="1">"c6639"</definedName>
    <definedName name="IQ_OTHER_LOANS_RECOVERIES_FDIC" hidden="1">"c6620"</definedName>
    <definedName name="IQ_OTHER_LOANS_TOTAL_FDIC" hidden="1">"c6432"</definedName>
    <definedName name="IQ_OTHER_LONG_TERM" hidden="1">"c1409"</definedName>
    <definedName name="IQ_OTHER_LT_ASSETS" hidden="1">"c946"</definedName>
    <definedName name="IQ_OTHER_LT_ASSETS_BNK" hidden="1">"c947"</definedName>
    <definedName name="IQ_OTHER_LT_ASSETS_BR" hidden="1">"c948"</definedName>
    <definedName name="IQ_OTHER_LT_ASSETS_FIN" hidden="1">"c949"</definedName>
    <definedName name="IQ_OTHER_LT_ASSETS_INS" hidden="1">"c950"</definedName>
    <definedName name="IQ_OTHER_LT_ASSETS_RE" hidden="1">"c6252"</definedName>
    <definedName name="IQ_OTHER_LT_ASSETS_REIT" hidden="1">"c951"</definedName>
    <definedName name="IQ_OTHER_LT_ASSETS_UTI" hidden="1">"c952"</definedName>
    <definedName name="IQ_OTHER_NET" hidden="1">"c1453"</definedName>
    <definedName name="IQ_OTHER_NON_INT_EXP" hidden="1">"c953"</definedName>
    <definedName name="IQ_OTHER_NON_INT_EXP_FDIC" hidden="1">"c6578"</definedName>
    <definedName name="IQ_OTHER_NON_INT_EXP_TOTAL" hidden="1">"c954"</definedName>
    <definedName name="IQ_OTHER_NON_INT_EXPENSE_FDIC" hidden="1">"c6679"</definedName>
    <definedName name="IQ_OTHER_NON_INT_INC" hidden="1">"c955"</definedName>
    <definedName name="IQ_OTHER_NON_INT_INC_FDIC" hidden="1">"c6676"</definedName>
    <definedName name="IQ_OTHER_NON_OPER_EXP" hidden="1">"c956"</definedName>
    <definedName name="IQ_OTHER_NON_OPER_EXP_BR" hidden="1">"c957"</definedName>
    <definedName name="IQ_OTHER_NON_OPER_EXP_FIN" hidden="1">"c958"</definedName>
    <definedName name="IQ_OTHER_NON_OPER_EXP_INS" hidden="1">"c959"</definedName>
    <definedName name="IQ_OTHER_NON_OPER_EXP_RE" hidden="1">"c6253"</definedName>
    <definedName name="IQ_OTHER_NON_OPER_EXP_REIT" hidden="1">"c960"</definedName>
    <definedName name="IQ_OTHER_NON_OPER_EXP_SUPPL" hidden="1">"c961"</definedName>
    <definedName name="IQ_OTHER_NON_OPER_EXP_SUPPL_BR" hidden="1">"c962"</definedName>
    <definedName name="IQ_OTHER_NON_OPER_EXP_SUPPL_FIN" hidden="1">"c963"</definedName>
    <definedName name="IQ_OTHER_NON_OPER_EXP_SUPPL_INS" hidden="1">"c964"</definedName>
    <definedName name="IQ_OTHER_NON_OPER_EXP_SUPPL_RE" hidden="1">"c6254"</definedName>
    <definedName name="IQ_OTHER_NON_OPER_EXP_SUPPL_REIT" hidden="1">"c965"</definedName>
    <definedName name="IQ_OTHER_NON_OPER_EXP_SUPPL_UTI" hidden="1">"c966"</definedName>
    <definedName name="IQ_OTHER_NON_OPER_EXP_UTI" hidden="1">"c967"</definedName>
    <definedName name="IQ_OTHER_OFF_BS_LIAB_FDIC" hidden="1">"c6533"</definedName>
    <definedName name="IQ_OTHER_OPER" hidden="1">"c982"</definedName>
    <definedName name="IQ_OTHER_OPER_ACT" hidden="1">"c983"</definedName>
    <definedName name="IQ_OTHER_OPER_ACT_BNK" hidden="1">"c984"</definedName>
    <definedName name="IQ_OTHER_OPER_ACT_BR" hidden="1">"c985"</definedName>
    <definedName name="IQ_OTHER_OPER_ACT_FIN" hidden="1">"c986"</definedName>
    <definedName name="IQ_OTHER_OPER_ACT_INS" hidden="1">"c987"</definedName>
    <definedName name="IQ_OTHER_OPER_ACT_RE" hidden="1">"c6255"</definedName>
    <definedName name="IQ_OTHER_OPER_ACT_REIT" hidden="1">"c988"</definedName>
    <definedName name="IQ_OTHER_OPER_ACT_UTI" hidden="1">"c989"</definedName>
    <definedName name="IQ_OTHER_OPER_BR" hidden="1">"c990"</definedName>
    <definedName name="IQ_OTHER_OPER_FIN" hidden="1">"c991"</definedName>
    <definedName name="IQ_OTHER_OPER_INS" hidden="1">"c992"</definedName>
    <definedName name="IQ_OTHER_OPER_RE" hidden="1">"c6256"</definedName>
    <definedName name="IQ_OTHER_OPER_REIT" hidden="1">"c993"</definedName>
    <definedName name="IQ_OTHER_OPER_SUPPL_BR" hidden="1">"c994"</definedName>
    <definedName name="IQ_OTHER_OPER_SUPPL_FIN" hidden="1">"c995"</definedName>
    <definedName name="IQ_OTHER_OPER_SUPPL_INS" hidden="1">"c996"</definedName>
    <definedName name="IQ_OTHER_OPER_SUPPL_RE" hidden="1">"c6257"</definedName>
    <definedName name="IQ_OTHER_OPER_SUPPL_REIT" hidden="1">"c997"</definedName>
    <definedName name="IQ_OTHER_OPER_SUPPL_UTI" hidden="1">"c998"</definedName>
    <definedName name="IQ_OTHER_OPER_TOT_BNK" hidden="1">"c999"</definedName>
    <definedName name="IQ_OTHER_OPER_TOT_BR" hidden="1">"c1000"</definedName>
    <definedName name="IQ_OTHER_OPER_TOT_FIN" hidden="1">"c1001"</definedName>
    <definedName name="IQ_OTHER_OPER_TOT_INS" hidden="1">"c1002"</definedName>
    <definedName name="IQ_OTHER_OPER_TOT_RE" hidden="1">"c6258"</definedName>
    <definedName name="IQ_OTHER_OPER_TOT_REIT" hidden="1">"c1003"</definedName>
    <definedName name="IQ_OTHER_OPER_TOT_UTI" hidden="1">"c1004"</definedName>
    <definedName name="IQ_OTHER_OPER_UTI" hidden="1">"c1005"</definedName>
    <definedName name="IQ_OTHER_OPTIONS_BEG_OS" hidden="1">"c2686"</definedName>
    <definedName name="IQ_OTHER_OPTIONS_CANCELLED" hidden="1">"c2689"</definedName>
    <definedName name="IQ_OTHER_OPTIONS_END_OS" hidden="1">"c2690"</definedName>
    <definedName name="IQ_OTHER_OPTIONS_EXERCISABLE_END_OS" hidden="1">"c5814"</definedName>
    <definedName name="IQ_OTHER_OPTIONS_EXERCISED" hidden="1">"c2688"</definedName>
    <definedName name="IQ_OTHER_OPTIONS_GRANTED" hidden="1">"c2687"</definedName>
    <definedName name="IQ_OTHER_OPTIONS_STRIKE_PRICE_BEG_OS" hidden="1">"c5815"</definedName>
    <definedName name="IQ_OTHER_OPTIONS_STRIKE_PRICE_CANCELLED" hidden="1">"c5817"</definedName>
    <definedName name="IQ_OTHER_OPTIONS_STRIKE_PRICE_EXERCISABLE" hidden="1">"c5818"</definedName>
    <definedName name="IQ_OTHER_OPTIONS_STRIKE_PRICE_EXERCISED" hidden="1">"c5816"</definedName>
    <definedName name="IQ_OTHER_OPTIONS_STRIKE_PRICE_OS" hidden="1">"c2691"</definedName>
    <definedName name="IQ_OTHER_OUTSTANDING_BS_DATE" hidden="1">"c1972"</definedName>
    <definedName name="IQ_OTHER_OUTSTANDING_FILING_DATE" hidden="1">"c1974"</definedName>
    <definedName name="IQ_OTHER_PC_WRITTEN" hidden="1">"c1006"</definedName>
    <definedName name="IQ_OTHER_PROP" hidden="1">"c8764"</definedName>
    <definedName name="IQ_OTHER_RE_OWNED_FDIC" hidden="1">"c6330"</definedName>
    <definedName name="IQ_OTHER_REAL_ESTATE" hidden="1">"c1007"</definedName>
    <definedName name="IQ_OTHER_RECEIV" hidden="1">"c1008"</definedName>
    <definedName name="IQ_OTHER_RECEIV_INS" hidden="1">"c1009"</definedName>
    <definedName name="IQ_OTHER_REV" hidden="1">"c1010"</definedName>
    <definedName name="IQ_OTHER_REV_BR" hidden="1">"c1011"</definedName>
    <definedName name="IQ_OTHER_REV_FIN" hidden="1">"c1012"</definedName>
    <definedName name="IQ_OTHER_REV_INS" hidden="1">"c1013"</definedName>
    <definedName name="IQ_OTHER_REV_RE" hidden="1">"c6259"</definedName>
    <definedName name="IQ_OTHER_REV_REIT" hidden="1">"c1014"</definedName>
    <definedName name="IQ_OTHER_REV_SUPPL" hidden="1">"c1015"</definedName>
    <definedName name="IQ_OTHER_REV_SUPPL_BR" hidden="1">"c1016"</definedName>
    <definedName name="IQ_OTHER_REV_SUPPL_FIN" hidden="1">"c1017"</definedName>
    <definedName name="IQ_OTHER_REV_SUPPL_INS" hidden="1">"c1018"</definedName>
    <definedName name="IQ_OTHER_REV_SUPPL_RE" hidden="1">"c6260"</definedName>
    <definedName name="IQ_OTHER_REV_SUPPL_REIT" hidden="1">"c1019"</definedName>
    <definedName name="IQ_OTHER_REV_SUPPL_UTI" hidden="1">"c1020"</definedName>
    <definedName name="IQ_OTHER_REV_UTI" hidden="1">"c1021"</definedName>
    <definedName name="IQ_OTHER_REVENUE" hidden="1">"c1410"</definedName>
    <definedName name="IQ_OTHER_ROOMS" hidden="1">"c8788"</definedName>
    <definedName name="IQ_OTHER_SAVINGS_DEPOSITS_FDIC" hidden="1">"c6554"</definedName>
    <definedName name="IQ_OTHER_SQ_FT" hidden="1">"c8780"</definedName>
    <definedName name="IQ_OTHER_STRIKE_PRICE_GRANTED" hidden="1">"c2692"</definedName>
    <definedName name="IQ_OTHER_TRANSACTIONS_FDIC" hidden="1">"c6504"</definedName>
    <definedName name="IQ_OTHER_UNDRAWN" hidden="1">"c2522"</definedName>
    <definedName name="IQ_OTHER_UNITS" hidden="1">"c8772"</definedName>
    <definedName name="IQ_OTHER_UNUSED_COMMITMENTS_FDIC" hidden="1">"c6530"</definedName>
    <definedName name="IQ_OTHER_UNUSUAL" hidden="1">"c1488"</definedName>
    <definedName name="IQ_OTHER_UNUSUAL_BNK" hidden="1">"c1560"</definedName>
    <definedName name="IQ_OTHER_UNUSUAL_BR" hidden="1">"c1561"</definedName>
    <definedName name="IQ_OTHER_UNUSUAL_FIN" hidden="1">"c1562"</definedName>
    <definedName name="IQ_OTHER_UNUSUAL_INS" hidden="1">"c1563"</definedName>
    <definedName name="IQ_OTHER_UNUSUAL_RE" hidden="1">"c6282"</definedName>
    <definedName name="IQ_OTHER_UNUSUAL_REIT" hidden="1">"c1564"</definedName>
    <definedName name="IQ_OTHER_UNUSUAL_SUPPL" hidden="1">"c1494"</definedName>
    <definedName name="IQ_OTHER_UNUSUAL_SUPPL_BNK" hidden="1">"c1495"</definedName>
    <definedName name="IQ_OTHER_UNUSUAL_SUPPL_BR" hidden="1">"c1496"</definedName>
    <definedName name="IQ_OTHER_UNUSUAL_SUPPL_FIN" hidden="1">"c1497"</definedName>
    <definedName name="IQ_OTHER_UNUSUAL_SUPPL_INS" hidden="1">"c1498"</definedName>
    <definedName name="IQ_OTHER_UNUSUAL_SUPPL_RE" hidden="1">"c6281"</definedName>
    <definedName name="IQ_OTHER_UNUSUAL_SUPPL_REIT" hidden="1">"c1499"</definedName>
    <definedName name="IQ_OTHER_UNUSUAL_SUPPL_UTI" hidden="1">"c1500"</definedName>
    <definedName name="IQ_OTHER_UNUSUAL_UTI" hidden="1">"c1565"</definedName>
    <definedName name="IQ_OTHER_WARRANTS_BEG_OS" hidden="1">"c2712"</definedName>
    <definedName name="IQ_OTHER_WARRANTS_CANCELLED" hidden="1">"c2715"</definedName>
    <definedName name="IQ_OTHER_WARRANTS_END_OS" hidden="1">"c2716"</definedName>
    <definedName name="IQ_OTHER_WARRANTS_EXERCISED" hidden="1">"c2714"</definedName>
    <definedName name="IQ_OTHER_WARRANTS_ISSUED" hidden="1">"c2713"</definedName>
    <definedName name="IQ_OTHER_WARRANTS_STRIKE_PRICE_ISSUED" hidden="1">"c2718"</definedName>
    <definedName name="IQ_OTHER_WARRANTS_STRIKE_PRICE_OS" hidden="1">"c2717"</definedName>
    <definedName name="IQ_OUTSTANDING_BS_DATE" hidden="1">"c2128"</definedName>
    <definedName name="IQ_OUTSTANDING_FILING_DATE" hidden="1">"c1023"</definedName>
    <definedName name="IQ_OVER_FIFETEEN_YEAR_MORTGAGE_PASS_THROUGHS_FDIC" hidden="1">"c6416"</definedName>
    <definedName name="IQ_OVER_FIFTEEN_YEAR_FIXED_AND_FLOATING_RATE_FDIC" hidden="1">"c6424"</definedName>
    <definedName name="IQ_OVER_THREE_YEARS_FDIC" hidden="1">"c6418"</definedName>
    <definedName name="IQ_OWNERSHIP" hidden="1">"c2160"</definedName>
    <definedName name="IQ_PART_TIME" hidden="1">"c1024"</definedName>
    <definedName name="IQ_PARTICIPATION_POOLS_RESIDENTIAL_MORTGAGES_FDIC" hidden="1">"c6403"</definedName>
    <definedName name="IQ_PARTNERSHIP_INC_RE" hidden="1">"c12039"</definedName>
    <definedName name="IQ_PAST_DUE_30_1_4_FAMILY_LOANS_FDIC" hidden="1">"c6693"</definedName>
    <definedName name="IQ_PAST_DUE_30_AUTO_LOANS_FDIC" hidden="1">"c6687"</definedName>
    <definedName name="IQ_PAST_DUE_30_CL_LOANS_FDIC" hidden="1">"c6688"</definedName>
    <definedName name="IQ_PAST_DUE_30_CREDIT_CARDS_RECEIVABLES_FDIC" hidden="1">"c6690"</definedName>
    <definedName name="IQ_PAST_DUE_30_HOME_EQUITY_LINES_FDIC" hidden="1">"c6691"</definedName>
    <definedName name="IQ_PAST_DUE_30_OTHER_CONSUMER_LOANS_FDIC" hidden="1">"c6689"</definedName>
    <definedName name="IQ_PAST_DUE_30_OTHER_LOANS_FDIC" hidden="1">"c6692"</definedName>
    <definedName name="IQ_PAST_DUE_90_1_4_FAMILY_LOANS_FDIC" hidden="1">"c6700"</definedName>
    <definedName name="IQ_PAST_DUE_90_AUTO_LOANS_FDIC" hidden="1">"c6694"</definedName>
    <definedName name="IQ_PAST_DUE_90_CL_LOANS_FDIC" hidden="1">"c6695"</definedName>
    <definedName name="IQ_PAST_DUE_90_CREDIT_CARDS_RECEIVABLES_FDIC" hidden="1">"c6697"</definedName>
    <definedName name="IQ_PAST_DUE_90_HOME_EQUITY_LINES_FDIC" hidden="1">"c6698"</definedName>
    <definedName name="IQ_PAST_DUE_90_OTHER_CONSUMER_LOANS_FDIC" hidden="1">"c6696"</definedName>
    <definedName name="IQ_PAST_DUE_90_OTHER_LOANS_FDIC" hidden="1">"c6699"</definedName>
    <definedName name="IQ_PAY_ACCRUED" hidden="1">"c1457"</definedName>
    <definedName name="IQ_PAYOUT_RATIO" hidden="1">"c1900"</definedName>
    <definedName name="IQ_PBV" hidden="1">"c1025"</definedName>
    <definedName name="IQ_PBV_AVG" hidden="1">"c1026"</definedName>
    <definedName name="IQ_PC_EARNED" hidden="1">"c2749"</definedName>
    <definedName name="IQ_PC_GAAP_COMBINED_RATIO" hidden="1">"c2781"</definedName>
    <definedName name="IQ_PC_GAAP_COMBINED_RATIO_EXCL_CL" hidden="1">"c2782"</definedName>
    <definedName name="IQ_PC_GAAP_EXPENSE_RATIO" hidden="1">"c2780"</definedName>
    <definedName name="IQ_PC_GAAP_LOSS" hidden="1">"c2779"</definedName>
    <definedName name="IQ_PC_POLICY_BENEFITS_EXP" hidden="1">"c2790"</definedName>
    <definedName name="IQ_PC_STAT_COMBINED_RATIO" hidden="1">"c2778"</definedName>
    <definedName name="IQ_PC_STAT_COMBINED_RATIO_EXCL_DIV" hidden="1">"c2777"</definedName>
    <definedName name="IQ_PC_STAT_DIVIDEND_RATIO" hidden="1">"c2776"</definedName>
    <definedName name="IQ_PC_STAT_EXPENSE_RATIO" hidden="1">"c2775"</definedName>
    <definedName name="IQ_PC_STAT_LOSS_RATIO" hidden="1">"c2774"</definedName>
    <definedName name="IQ_PC_STATUTORY_SURPLUS" hidden="1">"c2770"</definedName>
    <definedName name="IQ_PC_WRITTEN" hidden="1">"c1027"</definedName>
    <definedName name="IQ_PE_EXCL" hidden="1">"c1028"</definedName>
    <definedName name="IQ_PE_EXCL_AVG" hidden="1">"c1029"</definedName>
    <definedName name="IQ_PE_EXCL_FWD" hidden="1">"c1030"</definedName>
    <definedName name="IQ_PE_EXCL_FWD_CIQ" hidden="1">"c4042"</definedName>
    <definedName name="IQ_PE_NORMALIZED" hidden="1">"c2207"</definedName>
    <definedName name="IQ_PE_RATIO" hidden="1">"c1610"</definedName>
    <definedName name="IQ_PEG_FWD" hidden="1">"c1863"</definedName>
    <definedName name="IQ_PEG_FWD_CIQ" hidden="1">"c4045"</definedName>
    <definedName name="IQ_PENSION" hidden="1">"c1031"</definedName>
    <definedName name="IQ_PENSION_ACCRUED_LIAB" hidden="1">"c3134"</definedName>
    <definedName name="IQ_PENSION_ACCRUED_LIAB_DOM" hidden="1">"c3132"</definedName>
    <definedName name="IQ_PENSION_ACCRUED_LIAB_FOREIGN" hidden="1">"c3133"</definedName>
    <definedName name="IQ_PENSION_ACCUM_OTHER_CI" hidden="1">"c3140"</definedName>
    <definedName name="IQ_PENSION_ACCUM_OTHER_CI_DOM" hidden="1">"c3138"</definedName>
    <definedName name="IQ_PENSION_ACCUM_OTHER_CI_FOREIGN" hidden="1">"c3139"</definedName>
    <definedName name="IQ_PENSION_ACCUMULATED_OBLIGATION" hidden="1">"c3570"</definedName>
    <definedName name="IQ_PENSION_ACCUMULATED_OBLIGATION_DOMESTIC" hidden="1">"c3568"</definedName>
    <definedName name="IQ_PENSION_ACCUMULATED_OBLIGATION_FOREIGN" hidden="1">"c3569"</definedName>
    <definedName name="IQ_PENSION_ACT_NEXT" hidden="1">"c5738"</definedName>
    <definedName name="IQ_PENSION_ACT_NEXT_DOM" hidden="1">"c5736"</definedName>
    <definedName name="IQ_PENSION_ACT_NEXT_FOREIGN" hidden="1">"c5737"</definedName>
    <definedName name="IQ_PENSION_AMT_RECOG_NEXT_DOM" hidden="1">"c5745"</definedName>
    <definedName name="IQ_PENSION_AMT_RECOG_NEXT_FOREIGN" hidden="1">"c5746"</definedName>
    <definedName name="IQ_PENSION_AMT_RECOG_PERIOD" hidden="1">"c5747"</definedName>
    <definedName name="IQ_PENSION_ASSETS" hidden="1">"c3182"</definedName>
    <definedName name="IQ_PENSION_ASSETS_ACQ" hidden="1">"c3173"</definedName>
    <definedName name="IQ_PENSION_ASSETS_ACQ_DOM" hidden="1">"c3171"</definedName>
    <definedName name="IQ_PENSION_ASSETS_ACQ_FOREIGN" hidden="1">"c3172"</definedName>
    <definedName name="IQ_PENSION_ASSETS_ACTUAL_RETURN" hidden="1">"c3158"</definedName>
    <definedName name="IQ_PENSION_ASSETS_ACTUAL_RETURN_DOM" hidden="1">"c3156"</definedName>
    <definedName name="IQ_PENSION_ASSETS_ACTUAL_RETURN_FOREIGN" hidden="1">"c3157"</definedName>
    <definedName name="IQ_PENSION_ASSETS_BEG" hidden="1">"c3155"</definedName>
    <definedName name="IQ_PENSION_ASSETS_BEG_DOM" hidden="1">"c3153"</definedName>
    <definedName name="IQ_PENSION_ASSETS_BEG_FOREIGN" hidden="1">"c3154"</definedName>
    <definedName name="IQ_PENSION_ASSETS_BENEFITS_PAID" hidden="1">"c3167"</definedName>
    <definedName name="IQ_PENSION_ASSETS_BENEFITS_PAID_DOM" hidden="1">"c3165"</definedName>
    <definedName name="IQ_PENSION_ASSETS_BENEFITS_PAID_FOREIGN" hidden="1">"c3166"</definedName>
    <definedName name="IQ_PENSION_ASSETS_CURTAIL" hidden="1">"c3176"</definedName>
    <definedName name="IQ_PENSION_ASSETS_CURTAIL_DOM" hidden="1">"c3174"</definedName>
    <definedName name="IQ_PENSION_ASSETS_CURTAIL_FOREIGN" hidden="1">"c3175"</definedName>
    <definedName name="IQ_PENSION_ASSETS_DOM" hidden="1">"c3180"</definedName>
    <definedName name="IQ_PENSION_ASSETS_EMPLOYER_CONTRIBUTIONS" hidden="1">"c3161"</definedName>
    <definedName name="IQ_PENSION_ASSETS_EMPLOYER_CONTRIBUTIONS_DOM" hidden="1">"c3159"</definedName>
    <definedName name="IQ_PENSION_ASSETS_EMPLOYER_CONTRIBUTIONS_FOREIGN" hidden="1">"c3160"</definedName>
    <definedName name="IQ_PENSION_ASSETS_FOREIGN" hidden="1">"c3181"</definedName>
    <definedName name="IQ_PENSION_ASSETS_FX_ADJ" hidden="1">"c3170"</definedName>
    <definedName name="IQ_PENSION_ASSETS_FX_ADJ_DOM" hidden="1">"c3168"</definedName>
    <definedName name="IQ_PENSION_ASSETS_FX_ADJ_FOREIGN" hidden="1">"c3169"</definedName>
    <definedName name="IQ_PENSION_ASSETS_OTHER_PLAN_ADJ" hidden="1">"c3179"</definedName>
    <definedName name="IQ_PENSION_ASSETS_OTHER_PLAN_ADJ_DOM" hidden="1">"c3177"</definedName>
    <definedName name="IQ_PENSION_ASSETS_OTHER_PLAN_ADJ_FOREIGN" hidden="1">"c3178"</definedName>
    <definedName name="IQ_PENSION_ASSETS_PARTICIP_CONTRIBUTIONS" hidden="1">"c3164"</definedName>
    <definedName name="IQ_PENSION_ASSETS_PARTICIP_CONTRIBUTIONS_DOM" hidden="1">"c3162"</definedName>
    <definedName name="IQ_PENSION_ASSETS_PARTICIP_CONTRIBUTIONS_FOREIGN" hidden="1">"c3163"</definedName>
    <definedName name="IQ_PENSION_BENEFIT_INFO_DATE" hidden="1">"c3230"</definedName>
    <definedName name="IQ_PENSION_BENEFIT_INFO_DATE_DOM" hidden="1">"c3228"</definedName>
    <definedName name="IQ_PENSION_BENEFIT_INFO_DATE_FOREIGN" hidden="1">"c3229"</definedName>
    <definedName name="IQ_PENSION_BREAKDOWN_EQ" hidden="1">"c3101"</definedName>
    <definedName name="IQ_PENSION_BREAKDOWN_EQ_DOM" hidden="1">"c3099"</definedName>
    <definedName name="IQ_PENSION_BREAKDOWN_EQ_FOREIGN" hidden="1">"c3100"</definedName>
    <definedName name="IQ_PENSION_BREAKDOWN_FI" hidden="1">"c3104"</definedName>
    <definedName name="IQ_PENSION_BREAKDOWN_FI_DOM" hidden="1">"c3102"</definedName>
    <definedName name="IQ_PENSION_BREAKDOWN_FI_FOREIGN" hidden="1">"c3103"</definedName>
    <definedName name="IQ_PENSION_BREAKDOWN_OTHER" hidden="1">"c3110"</definedName>
    <definedName name="IQ_PENSION_BREAKDOWN_OTHER_DOM" hidden="1">"c3108"</definedName>
    <definedName name="IQ_PENSION_BREAKDOWN_OTHER_FOREIGN" hidden="1">"c3109"</definedName>
    <definedName name="IQ_PENSION_BREAKDOWN_PCT_EQ" hidden="1">"c3089"</definedName>
    <definedName name="IQ_PENSION_BREAKDOWN_PCT_EQ_DOM" hidden="1">"c3087"</definedName>
    <definedName name="IQ_PENSION_BREAKDOWN_PCT_EQ_FOREIGN" hidden="1">"c3088"</definedName>
    <definedName name="IQ_PENSION_BREAKDOWN_PCT_FI" hidden="1">"c3092"</definedName>
    <definedName name="IQ_PENSION_BREAKDOWN_PCT_FI_DOM" hidden="1">"c3090"</definedName>
    <definedName name="IQ_PENSION_BREAKDOWN_PCT_FI_FOREIGN" hidden="1">"c3091"</definedName>
    <definedName name="IQ_PENSION_BREAKDOWN_PCT_OTHER" hidden="1">"c3098"</definedName>
    <definedName name="IQ_PENSION_BREAKDOWN_PCT_OTHER_DOM" hidden="1">"c3096"</definedName>
    <definedName name="IQ_PENSION_BREAKDOWN_PCT_OTHER_FOREIGN" hidden="1">"c3097"</definedName>
    <definedName name="IQ_PENSION_BREAKDOWN_PCT_RE" hidden="1">"c3095"</definedName>
    <definedName name="IQ_PENSION_BREAKDOWN_PCT_RE_DOM" hidden="1">"c3093"</definedName>
    <definedName name="IQ_PENSION_BREAKDOWN_PCT_RE_FOREIGN" hidden="1">"c3094"</definedName>
    <definedName name="IQ_PENSION_BREAKDOWN_RE" hidden="1">"c3107"</definedName>
    <definedName name="IQ_PENSION_BREAKDOWN_RE_DOM" hidden="1">"c3105"</definedName>
    <definedName name="IQ_PENSION_BREAKDOWN_RE_FOREIGN" hidden="1">"c3106"</definedName>
    <definedName name="IQ_PENSION_CI_ACT" hidden="1">"c5723"</definedName>
    <definedName name="IQ_PENSION_CI_ACT_DOM" hidden="1">"c5721"</definedName>
    <definedName name="IQ_PENSION_CI_ACT_FOREIGN" hidden="1">"c5722"</definedName>
    <definedName name="IQ_PENSION_CI_NET_AMT_RECOG" hidden="1">"c5735"</definedName>
    <definedName name="IQ_PENSION_CI_NET_AMT_RECOG_DOM" hidden="1">"c5733"</definedName>
    <definedName name="IQ_PENSION_CI_NET_AMT_RECOG_FOREIGN" hidden="1">"c5734"</definedName>
    <definedName name="IQ_PENSION_CI_OTHER_MISC_ADJ" hidden="1">"c5732"</definedName>
    <definedName name="IQ_PENSION_CI_OTHER_MISC_ADJ_DOM" hidden="1">"c5730"</definedName>
    <definedName name="IQ_PENSION_CI_OTHER_MISC_ADJ_FOREIGN" hidden="1">"c5731"</definedName>
    <definedName name="IQ_PENSION_CI_PRIOR_SERVICE" hidden="1">"c5726"</definedName>
    <definedName name="IQ_PENSION_CI_PRIOR_SERVICE_DOM" hidden="1">"c5724"</definedName>
    <definedName name="IQ_PENSION_CI_PRIOR_SERVICE_FOREIGN" hidden="1">"c5725"</definedName>
    <definedName name="IQ_PENSION_CI_TRANSITION" hidden="1">"c5729"</definedName>
    <definedName name="IQ_PENSION_CI_TRANSITION_DOM" hidden="1">"c5727"</definedName>
    <definedName name="IQ_PENSION_CI_TRANSITION_FOREIGN" hidden="1">"c5728"</definedName>
    <definedName name="IQ_PENSION_CL" hidden="1">"c5753"</definedName>
    <definedName name="IQ_PENSION_CL_DOM" hidden="1">"c5751"</definedName>
    <definedName name="IQ_PENSION_CL_FOREIGN" hidden="1">"c5752"</definedName>
    <definedName name="IQ_PENSION_CONTRIBUTION_TOTAL_COST" hidden="1">"c3559"</definedName>
    <definedName name="IQ_PENSION_DISC_RATE_MAX" hidden="1">"c3236"</definedName>
    <definedName name="IQ_PENSION_DISC_RATE_MAX_DOM" hidden="1">"c3234"</definedName>
    <definedName name="IQ_PENSION_DISC_RATE_MAX_FOREIGN" hidden="1">"c3235"</definedName>
    <definedName name="IQ_PENSION_DISC_RATE_MIN" hidden="1">"c3233"</definedName>
    <definedName name="IQ_PENSION_DISC_RATE_MIN_DOM" hidden="1">"c3231"</definedName>
    <definedName name="IQ_PENSION_DISC_RATE_MIN_FOREIGN" hidden="1">"c3232"</definedName>
    <definedName name="IQ_PENSION_DISCOUNT_RATE_DOMESTIC" hidden="1">"c3573"</definedName>
    <definedName name="IQ_PENSION_DISCOUNT_RATE_FOREIGN" hidden="1">"c3574"</definedName>
    <definedName name="IQ_PENSION_EST_BENEFIT_1YR" hidden="1">"c3113"</definedName>
    <definedName name="IQ_PENSION_EST_BENEFIT_1YR_DOM" hidden="1">"c3111"</definedName>
    <definedName name="IQ_PENSION_EST_BENEFIT_1YR_FOREIGN" hidden="1">"c3112"</definedName>
    <definedName name="IQ_PENSION_EST_BENEFIT_2YR" hidden="1">"c3116"</definedName>
    <definedName name="IQ_PENSION_EST_BENEFIT_2YR_DOM" hidden="1">"c3114"</definedName>
    <definedName name="IQ_PENSION_EST_BENEFIT_2YR_FOREIGN" hidden="1">"c3115"</definedName>
    <definedName name="IQ_PENSION_EST_BENEFIT_3YR" hidden="1">"c3119"</definedName>
    <definedName name="IQ_PENSION_EST_BENEFIT_3YR_DOM" hidden="1">"c3117"</definedName>
    <definedName name="IQ_PENSION_EST_BENEFIT_3YR_FOREIGN" hidden="1">"c3118"</definedName>
    <definedName name="IQ_PENSION_EST_BENEFIT_4YR" hidden="1">"c3122"</definedName>
    <definedName name="IQ_PENSION_EST_BENEFIT_4YR_DOM" hidden="1">"c3120"</definedName>
    <definedName name="IQ_PENSION_EST_BENEFIT_4YR_FOREIGN" hidden="1">"c3121"</definedName>
    <definedName name="IQ_PENSION_EST_BENEFIT_5YR" hidden="1">"c3125"</definedName>
    <definedName name="IQ_PENSION_EST_BENEFIT_5YR_DOM" hidden="1">"c3123"</definedName>
    <definedName name="IQ_PENSION_EST_BENEFIT_5YR_FOREIGN" hidden="1">"c3124"</definedName>
    <definedName name="IQ_PENSION_EST_BENEFIT_AFTER5" hidden="1">"c3128"</definedName>
    <definedName name="IQ_PENSION_EST_BENEFIT_AFTER5_DOM" hidden="1">"c3126"</definedName>
    <definedName name="IQ_PENSION_EST_BENEFIT_AFTER5_FOREIGN" hidden="1">"c3127"</definedName>
    <definedName name="IQ_PENSION_EST_CONTRIBUTIONS_NEXTYR" hidden="1">"c3218"</definedName>
    <definedName name="IQ_PENSION_EST_CONTRIBUTIONS_NEXTYR_DOM" hidden="1">"c3216"</definedName>
    <definedName name="IQ_PENSION_EST_CONTRIBUTIONS_NEXTYR_FOREIGN" hidden="1">"c3217"</definedName>
    <definedName name="IQ_PENSION_EXP_RATE_RETURN_MAX" hidden="1">"c3248"</definedName>
    <definedName name="IQ_PENSION_EXP_RATE_RETURN_MAX_DOM" hidden="1">"c3246"</definedName>
    <definedName name="IQ_PENSION_EXP_RATE_RETURN_MAX_FOREIGN" hidden="1">"c3247"</definedName>
    <definedName name="IQ_PENSION_EXP_RATE_RETURN_MIN" hidden="1">"c3245"</definedName>
    <definedName name="IQ_PENSION_EXP_RATE_RETURN_MIN_DOM" hidden="1">"c3243"</definedName>
    <definedName name="IQ_PENSION_EXP_RATE_RETURN_MIN_FOREIGN" hidden="1">"c3244"</definedName>
    <definedName name="IQ_PENSION_EXP_RETURN_DOMESTIC" hidden="1">"c3571"</definedName>
    <definedName name="IQ_PENSION_EXP_RETURN_FOREIGN" hidden="1">"c3572"</definedName>
    <definedName name="IQ_PENSION_INTAN_ASSETS" hidden="1">"c3137"</definedName>
    <definedName name="IQ_PENSION_INTAN_ASSETS_DOM" hidden="1">"c3135"</definedName>
    <definedName name="IQ_PENSION_INTAN_ASSETS_FOREIGN" hidden="1">"c3136"</definedName>
    <definedName name="IQ_PENSION_INTEREST_COST" hidden="1">"c3582"</definedName>
    <definedName name="IQ_PENSION_INTEREST_COST_DOM" hidden="1">"c3580"</definedName>
    <definedName name="IQ_PENSION_INTEREST_COST_FOREIGN" hidden="1">"c3581"</definedName>
    <definedName name="IQ_PENSION_LT_ASSETS" hidden="1">"c5750"</definedName>
    <definedName name="IQ_PENSION_LT_ASSETS_DOM" hidden="1">"c5748"</definedName>
    <definedName name="IQ_PENSION_LT_ASSETS_FOREIGN" hidden="1">"c5749"</definedName>
    <definedName name="IQ_PENSION_LT_LIAB" hidden="1">"c5756"</definedName>
    <definedName name="IQ_PENSION_LT_LIAB_DOM" hidden="1">"c5754"</definedName>
    <definedName name="IQ_PENSION_LT_LIAB_FOREIGN" hidden="1">"c5755"</definedName>
    <definedName name="IQ_PENSION_NET_ASSET_RECOG" hidden="1">"c3152"</definedName>
    <definedName name="IQ_PENSION_NET_ASSET_RECOG_DOM" hidden="1">"c3150"</definedName>
    <definedName name="IQ_PENSION_NET_ASSET_RECOG_FOREIGN" hidden="1">"c3151"</definedName>
    <definedName name="IQ_PENSION_OBLIGATION_ACQ" hidden="1">"c3206"</definedName>
    <definedName name="IQ_PENSION_OBLIGATION_ACQ_DOM" hidden="1">"c3204"</definedName>
    <definedName name="IQ_PENSION_OBLIGATION_ACQ_FOREIGN" hidden="1">"c3205"</definedName>
    <definedName name="IQ_PENSION_OBLIGATION_ACTUARIAL_GAIN_LOSS" hidden="1">"c3197"</definedName>
    <definedName name="IQ_PENSION_OBLIGATION_ACTUARIAL_GAIN_LOSS_DOM" hidden="1">"c3195"</definedName>
    <definedName name="IQ_PENSION_OBLIGATION_ACTUARIAL_GAIN_LOSS_FOREIGN" hidden="1">"c3196"</definedName>
    <definedName name="IQ_PENSION_OBLIGATION_BEG" hidden="1">"c3185"</definedName>
    <definedName name="IQ_PENSION_OBLIGATION_BEG_DOM" hidden="1">"c3183"</definedName>
    <definedName name="IQ_PENSION_OBLIGATION_BEG_FOREIGN" hidden="1">"c3184"</definedName>
    <definedName name="IQ_PENSION_OBLIGATION_CURTAIL" hidden="1">"c3209"</definedName>
    <definedName name="IQ_PENSION_OBLIGATION_CURTAIL_DOM" hidden="1">"c3207"</definedName>
    <definedName name="IQ_PENSION_OBLIGATION_CURTAIL_FOREIGN" hidden="1">"c3208"</definedName>
    <definedName name="IQ_PENSION_OBLIGATION_EMPLOYEE_CONTRIBUTIONS" hidden="1">"c3194"</definedName>
    <definedName name="IQ_PENSION_OBLIGATION_EMPLOYEE_CONTRIBUTIONS_DOM" hidden="1">"c3192"</definedName>
    <definedName name="IQ_PENSION_OBLIGATION_EMPLOYEE_CONTRIBUTIONS_FOREIGN" hidden="1">"c3193"</definedName>
    <definedName name="IQ_PENSION_OBLIGATION_FX_ADJ" hidden="1">"c3203"</definedName>
    <definedName name="IQ_PENSION_OBLIGATION_FX_ADJ_DOM" hidden="1">"c3201"</definedName>
    <definedName name="IQ_PENSION_OBLIGATION_FX_ADJ_FOREIGN" hidden="1">"c3202"</definedName>
    <definedName name="IQ_PENSION_OBLIGATION_INTEREST_COST" hidden="1">"c3191"</definedName>
    <definedName name="IQ_PENSION_OBLIGATION_INTEREST_COST_DOM" hidden="1">"c3189"</definedName>
    <definedName name="IQ_PENSION_OBLIGATION_INTEREST_COST_FOREIGN" hidden="1">"c3190"</definedName>
    <definedName name="IQ_PENSION_OBLIGATION_OTHER_COST" hidden="1">"c3555"</definedName>
    <definedName name="IQ_PENSION_OBLIGATION_OTHER_COST_DOM" hidden="1">"c3553"</definedName>
    <definedName name="IQ_PENSION_OBLIGATION_OTHER_COST_FOREIGN" hidden="1">"c3554"</definedName>
    <definedName name="IQ_PENSION_OBLIGATION_OTHER_PLAN_ADJ" hidden="1">"c3212"</definedName>
    <definedName name="IQ_PENSION_OBLIGATION_OTHER_PLAN_ADJ_DOM" hidden="1">"c3210"</definedName>
    <definedName name="IQ_PENSION_OBLIGATION_OTHER_PLAN_ADJ_FOREIGN" hidden="1">"c3211"</definedName>
    <definedName name="IQ_PENSION_OBLIGATION_PAID" hidden="1">"c3200"</definedName>
    <definedName name="IQ_PENSION_OBLIGATION_PAID_DOM" hidden="1">"c3198"</definedName>
    <definedName name="IQ_PENSION_OBLIGATION_PAID_FOREIGN" hidden="1">"c3199"</definedName>
    <definedName name="IQ_PENSION_OBLIGATION_PROJECTED" hidden="1">"c3215"</definedName>
    <definedName name="IQ_PENSION_OBLIGATION_PROJECTED_DOM" hidden="1">"c3213"</definedName>
    <definedName name="IQ_PENSION_OBLIGATION_PROJECTED_FOREIGN" hidden="1">"c3214"</definedName>
    <definedName name="IQ_PENSION_OBLIGATION_ROA" hidden="1">"c3552"</definedName>
    <definedName name="IQ_PENSION_OBLIGATION_ROA_DOM" hidden="1">"c3550"</definedName>
    <definedName name="IQ_PENSION_OBLIGATION_ROA_FOREIGN" hidden="1">"c3551"</definedName>
    <definedName name="IQ_PENSION_OBLIGATION_SERVICE_COST" hidden="1">"c3188"</definedName>
    <definedName name="IQ_PENSION_OBLIGATION_SERVICE_COST_DOM" hidden="1">"c3186"</definedName>
    <definedName name="IQ_PENSION_OBLIGATION_SERVICE_COST_FOREIGN" hidden="1">"c3187"</definedName>
    <definedName name="IQ_PENSION_OBLIGATION_TOTAL_COST" hidden="1">"c3558"</definedName>
    <definedName name="IQ_PENSION_OBLIGATION_TOTAL_COST_DOM" hidden="1">"c3556"</definedName>
    <definedName name="IQ_PENSION_OBLIGATION_TOTAL_COST_FOREIGN" hidden="1">"c3557"</definedName>
    <definedName name="IQ_PENSION_OTHER" hidden="1">"c3143"</definedName>
    <definedName name="IQ_PENSION_OTHER_ADJ" hidden="1">"c3149"</definedName>
    <definedName name="IQ_PENSION_OTHER_ADJ_DOM" hidden="1">"c3147"</definedName>
    <definedName name="IQ_PENSION_OTHER_ADJ_FOREIGN" hidden="1">"c3148"</definedName>
    <definedName name="IQ_PENSION_OTHER_DOM" hidden="1">"c3141"</definedName>
    <definedName name="IQ_PENSION_OTHER_FOREIGN" hidden="1">"c3142"</definedName>
    <definedName name="IQ_PENSION_PBO_ASSUMED_RATE_RET_MAX" hidden="1">"c3254"</definedName>
    <definedName name="IQ_PENSION_PBO_ASSUMED_RATE_RET_MAX_DOM" hidden="1">"c3252"</definedName>
    <definedName name="IQ_PENSION_PBO_ASSUMED_RATE_RET_MAX_FOREIGN" hidden="1">"c3253"</definedName>
    <definedName name="IQ_PENSION_PBO_ASSUMED_RATE_RET_MIN" hidden="1">"c3251"</definedName>
    <definedName name="IQ_PENSION_PBO_ASSUMED_RATE_RET_MIN_DOM" hidden="1">"c3249"</definedName>
    <definedName name="IQ_PENSION_PBO_ASSUMED_RATE_RET_MIN_FOREIGN" hidden="1">"c3250"</definedName>
    <definedName name="IQ_PENSION_PBO_RATE_COMP_INCREASE_MAX" hidden="1">"c3260"</definedName>
    <definedName name="IQ_PENSION_PBO_RATE_COMP_INCREASE_MAX_DOM" hidden="1">"c3258"</definedName>
    <definedName name="IQ_PENSION_PBO_RATE_COMP_INCREASE_MAX_FOREIGN" hidden="1">"c3259"</definedName>
    <definedName name="IQ_PENSION_PBO_RATE_COMP_INCREASE_MIN" hidden="1">"c3257"</definedName>
    <definedName name="IQ_PENSION_PBO_RATE_COMP_INCREASE_MIN_DOM" hidden="1">"c3255"</definedName>
    <definedName name="IQ_PENSION_PBO_RATE_COMP_INCREASE_MIN_FOREIGN" hidden="1">"c3256"</definedName>
    <definedName name="IQ_PENSION_PREPAID_COST" hidden="1">"c3131"</definedName>
    <definedName name="IQ_PENSION_PREPAID_COST_DOM" hidden="1">"c3129"</definedName>
    <definedName name="IQ_PENSION_PREPAID_COST_FOREIGN" hidden="1">"c3130"</definedName>
    <definedName name="IQ_PENSION_PRIOR_SERVICE_NEXT" hidden="1">"c5741"</definedName>
    <definedName name="IQ_PENSION_PRIOR_SERVICE_NEXT_DOM" hidden="1">"c5739"</definedName>
    <definedName name="IQ_PENSION_PRIOR_SERVICE_NEXT_FOREIGN" hidden="1">"c5740"</definedName>
    <definedName name="IQ_PENSION_PROJECTED_OBLIGATION" hidden="1">"c3566"</definedName>
    <definedName name="IQ_PENSION_PROJECTED_OBLIGATION_DOMESTIC" hidden="1">"c3564"</definedName>
    <definedName name="IQ_PENSION_PROJECTED_OBLIGATION_FOREIGN" hidden="1">"c3565"</definedName>
    <definedName name="IQ_PENSION_QUART_ADDL_CONTRIBUTIONS_EXP" hidden="1">"c3224"</definedName>
    <definedName name="IQ_PENSION_QUART_ADDL_CONTRIBUTIONS_EXP_DOM" hidden="1">"c3222"</definedName>
    <definedName name="IQ_PENSION_QUART_ADDL_CONTRIBUTIONS_EXP_FOREIGN" hidden="1">"c3223"</definedName>
    <definedName name="IQ_PENSION_QUART_EMPLOYER_CONTRIBUTIONS" hidden="1">"c3221"</definedName>
    <definedName name="IQ_PENSION_QUART_EMPLOYER_CONTRIBUTIONS_DOM" hidden="1">"c3219"</definedName>
    <definedName name="IQ_PENSION_QUART_EMPLOYER_CONTRIBUTIONS_FOREIGN" hidden="1">"c3220"</definedName>
    <definedName name="IQ_PENSION_RATE_COMP_GROWTH_DOMESTIC" hidden="1">"c3575"</definedName>
    <definedName name="IQ_PENSION_RATE_COMP_GROWTH_FOREIGN" hidden="1">"c3576"</definedName>
    <definedName name="IQ_PENSION_RATE_COMP_INCREASE_MAX" hidden="1">"c3242"</definedName>
    <definedName name="IQ_PENSION_RATE_COMP_INCREASE_MAX_DOM" hidden="1">"c3240"</definedName>
    <definedName name="IQ_PENSION_RATE_COMP_INCREASE_MAX_FOREIGN" hidden="1">"c3241"</definedName>
    <definedName name="IQ_PENSION_RATE_COMP_INCREASE_MIN" hidden="1">"c3239"</definedName>
    <definedName name="IQ_PENSION_RATE_COMP_INCREASE_MIN_DOM" hidden="1">"c3237"</definedName>
    <definedName name="IQ_PENSION_RATE_COMP_INCREASE_MIN_FOREIGN" hidden="1">"c3238"</definedName>
    <definedName name="IQ_PENSION_SERVICE_COST" hidden="1">"c3579"</definedName>
    <definedName name="IQ_PENSION_SERVICE_COST_DOM" hidden="1">"c3577"</definedName>
    <definedName name="IQ_PENSION_SERVICE_COST_FOREIGN" hidden="1">"c3578"</definedName>
    <definedName name="IQ_PENSION_TOTAL_ASSETS" hidden="1">"c3563"</definedName>
    <definedName name="IQ_PENSION_TOTAL_ASSETS_DOMESTIC" hidden="1">"c3561"</definedName>
    <definedName name="IQ_PENSION_TOTAL_ASSETS_FOREIGN" hidden="1">"c3562"</definedName>
    <definedName name="IQ_PENSION_TOTAL_EXP" hidden="1">"c3560"</definedName>
    <definedName name="IQ_PENSION_TRANSITION_NEXT" hidden="1">"c5744"</definedName>
    <definedName name="IQ_PENSION_TRANSITION_NEXT_DOM" hidden="1">"c5742"</definedName>
    <definedName name="IQ_PENSION_TRANSITION_NEXT_FOREIGN" hidden="1">"c5743"</definedName>
    <definedName name="IQ_PENSION_UNFUNDED_ADDL_MIN_LIAB" hidden="1">"c3227"</definedName>
    <definedName name="IQ_PENSION_UNFUNDED_ADDL_MIN_LIAB_DOM" hidden="1">"c3225"</definedName>
    <definedName name="IQ_PENSION_UNFUNDED_ADDL_MIN_LIAB_FOREIGN" hidden="1">"c3226"</definedName>
    <definedName name="IQ_PENSION_UNRECOG_PRIOR" hidden="1">"c3146"</definedName>
    <definedName name="IQ_PENSION_UNRECOG_PRIOR_DOM" hidden="1">"c3144"</definedName>
    <definedName name="IQ_PENSION_UNRECOG_PRIOR_FOREIGN" hidden="1">"c3145"</definedName>
    <definedName name="IQ_PENSION_UV_LIAB" hidden="1">"c3567"</definedName>
    <definedName name="IQ_PERCENT_CHANGE_EST_5YR_GROWTH_RATE_12MONTHS" hidden="1">"c1852"</definedName>
    <definedName name="IQ_PERCENT_CHANGE_EST_5YR_GROWTH_RATE_12MONTHS_CIQ" hidden="1">"c3790"</definedName>
    <definedName name="IQ_PERCENT_CHANGE_EST_5YR_GROWTH_RATE_18MONTHS" hidden="1">"c1853"</definedName>
    <definedName name="IQ_PERCENT_CHANGE_EST_5YR_GROWTH_RATE_18MONTHS_CIQ" hidden="1">"c3791"</definedName>
    <definedName name="IQ_PERCENT_CHANGE_EST_5YR_GROWTH_RATE_3MONTHS" hidden="1">"c1849"</definedName>
    <definedName name="IQ_PERCENT_CHANGE_EST_5YR_GROWTH_RATE_3MONTHS_CIQ" hidden="1">"c3787"</definedName>
    <definedName name="IQ_PERCENT_CHANGE_EST_5YR_GROWTH_RATE_6MONTHS" hidden="1">"c1850"</definedName>
    <definedName name="IQ_PERCENT_CHANGE_EST_5YR_GROWTH_RATE_6MONTHS_CIQ" hidden="1">"c3788"</definedName>
    <definedName name="IQ_PERCENT_CHANGE_EST_5YR_GROWTH_RATE_9MONTHS" hidden="1">"c1851"</definedName>
    <definedName name="IQ_PERCENT_CHANGE_EST_5YR_GROWTH_RATE_9MONTHS_CIQ" hidden="1">"c3789"</definedName>
    <definedName name="IQ_PERCENT_CHANGE_EST_5YR_GROWTH_RATE_DAY" hidden="1">"c1846"</definedName>
    <definedName name="IQ_PERCENT_CHANGE_EST_5YR_GROWTH_RATE_DAY_CIQ" hidden="1">"c3785"</definedName>
    <definedName name="IQ_PERCENT_CHANGE_EST_5YR_GROWTH_RATE_MONTH" hidden="1">"c1848"</definedName>
    <definedName name="IQ_PERCENT_CHANGE_EST_5YR_GROWTH_RATE_MONTH_CIQ" hidden="1">"c3786"</definedName>
    <definedName name="IQ_PERCENT_CHANGE_EST_5YR_GROWTH_RATE_WEEK" hidden="1">"c1847"</definedName>
    <definedName name="IQ_PERCENT_CHANGE_EST_5YR_GROWTH_RATE_WEEK_CIQ" hidden="1">"c3797"</definedName>
    <definedName name="IQ_PERCENT_CHANGE_EST_EBITDA_12MONTHS" hidden="1">"c1804"</definedName>
    <definedName name="IQ_PERCENT_CHANGE_EST_EBITDA_12MONTHS_CIQ" hidden="1">"c3748"</definedName>
    <definedName name="IQ_PERCENT_CHANGE_EST_EBITDA_18MONTHS" hidden="1">"c1805"</definedName>
    <definedName name="IQ_PERCENT_CHANGE_EST_EBITDA_18MONTHS_CIQ" hidden="1">"c3749"</definedName>
    <definedName name="IQ_PERCENT_CHANGE_EST_EBITDA_3MONTHS" hidden="1">"c1801"</definedName>
    <definedName name="IQ_PERCENT_CHANGE_EST_EBITDA_3MONTHS_CIQ" hidden="1">"c3745"</definedName>
    <definedName name="IQ_PERCENT_CHANGE_EST_EBITDA_6MONTHS" hidden="1">"c1802"</definedName>
    <definedName name="IQ_PERCENT_CHANGE_EST_EBITDA_6MONTHS_CIQ" hidden="1">"c3746"</definedName>
    <definedName name="IQ_PERCENT_CHANGE_EST_EBITDA_9MONTHS" hidden="1">"c1803"</definedName>
    <definedName name="IQ_PERCENT_CHANGE_EST_EBITDA_9MONTHS_CIQ" hidden="1">"c3747"</definedName>
    <definedName name="IQ_PERCENT_CHANGE_EST_EBITDA_DAY" hidden="1">"c1798"</definedName>
    <definedName name="IQ_PERCENT_CHANGE_EST_EBITDA_DAY_CIQ" hidden="1">"c3743"</definedName>
    <definedName name="IQ_PERCENT_CHANGE_EST_EBITDA_MONTH" hidden="1">"c1800"</definedName>
    <definedName name="IQ_PERCENT_CHANGE_EST_EBITDA_MONTH_CIQ" hidden="1">"c3744"</definedName>
    <definedName name="IQ_PERCENT_CHANGE_EST_EBITDA_WEEK" hidden="1">"c1799"</definedName>
    <definedName name="IQ_PERCENT_CHANGE_EST_EBITDA_WEEK_CIQ" hidden="1">"c3792"</definedName>
    <definedName name="IQ_PERCENT_CHANGE_EST_EPS_12MONTHS" hidden="1">"c1788"</definedName>
    <definedName name="IQ_PERCENT_CHANGE_EST_EPS_12MONTHS_CIQ" hidden="1">"c3733"</definedName>
    <definedName name="IQ_PERCENT_CHANGE_EST_EPS_18MONTHS" hidden="1">"c1789"</definedName>
    <definedName name="IQ_PERCENT_CHANGE_EST_EPS_18MONTHS_CIQ" hidden="1">"c3734"</definedName>
    <definedName name="IQ_PERCENT_CHANGE_EST_EPS_3MONTHS" hidden="1">"c1785"</definedName>
    <definedName name="IQ_PERCENT_CHANGE_EST_EPS_3MONTHS_CIQ" hidden="1">"c3730"</definedName>
    <definedName name="IQ_PERCENT_CHANGE_EST_EPS_6MONTHS" hidden="1">"c1786"</definedName>
    <definedName name="IQ_PERCENT_CHANGE_EST_EPS_6MONTHS_CIQ" hidden="1">"c3731"</definedName>
    <definedName name="IQ_PERCENT_CHANGE_EST_EPS_9MONTHS" hidden="1">"c1787"</definedName>
    <definedName name="IQ_PERCENT_CHANGE_EST_EPS_9MONTHS_CIQ" hidden="1">"c3732"</definedName>
    <definedName name="IQ_PERCENT_CHANGE_EST_EPS_DAY" hidden="1">"c1782"</definedName>
    <definedName name="IQ_PERCENT_CHANGE_EST_EPS_DAY_CIQ" hidden="1">"c3727"</definedName>
    <definedName name="IQ_PERCENT_CHANGE_EST_EPS_MONTH" hidden="1">"c1784"</definedName>
    <definedName name="IQ_PERCENT_CHANGE_EST_EPS_MONTH_CIQ" hidden="1">"c3729"</definedName>
    <definedName name="IQ_PERCENT_CHANGE_EST_EPS_WEEK" hidden="1">"c1783"</definedName>
    <definedName name="IQ_PERCENT_CHANGE_EST_EPS_WEEK_CIQ" hidden="1">"c3728"</definedName>
    <definedName name="IQ_PERCENT_CHANGE_EST_PRICE_TARGET_12MONTHS" hidden="1">"c1844"</definedName>
    <definedName name="IQ_PERCENT_CHANGE_EST_PRICE_TARGET_12MONTHS_CIQ" hidden="1">"c3783"</definedName>
    <definedName name="IQ_PERCENT_CHANGE_EST_PRICE_TARGET_18MONTHS" hidden="1">"c1845"</definedName>
    <definedName name="IQ_PERCENT_CHANGE_EST_PRICE_TARGET_18MONTHS_CIQ" hidden="1">"c3784"</definedName>
    <definedName name="IQ_PERCENT_CHANGE_EST_PRICE_TARGET_3MONTHS" hidden="1">"c1841"</definedName>
    <definedName name="IQ_PERCENT_CHANGE_EST_PRICE_TARGET_3MONTHS_CIQ" hidden="1">"c3780"</definedName>
    <definedName name="IQ_PERCENT_CHANGE_EST_PRICE_TARGET_6MONTHS" hidden="1">"c1842"</definedName>
    <definedName name="IQ_PERCENT_CHANGE_EST_PRICE_TARGET_6MONTHS_CIQ" hidden="1">"c3781"</definedName>
    <definedName name="IQ_PERCENT_CHANGE_EST_PRICE_TARGET_9MONTHS" hidden="1">"c1843"</definedName>
    <definedName name="IQ_PERCENT_CHANGE_EST_PRICE_TARGET_9MONTHS_CIQ" hidden="1">"c3782"</definedName>
    <definedName name="IQ_PERCENT_CHANGE_EST_PRICE_TARGET_DAY" hidden="1">"c1838"</definedName>
    <definedName name="IQ_PERCENT_CHANGE_EST_PRICE_TARGET_DAY_CIQ" hidden="1">"c3778"</definedName>
    <definedName name="IQ_PERCENT_CHANGE_EST_PRICE_TARGET_MONTH" hidden="1">"c1840"</definedName>
    <definedName name="IQ_PERCENT_CHANGE_EST_PRICE_TARGET_MONTH_CIQ" hidden="1">"c3779"</definedName>
    <definedName name="IQ_PERCENT_CHANGE_EST_PRICE_TARGET_WEEK" hidden="1">"c1839"</definedName>
    <definedName name="IQ_PERCENT_CHANGE_EST_PRICE_TARGET_WEEK_CIQ" hidden="1">"c3798"</definedName>
    <definedName name="IQ_PERCENT_CHANGE_EST_RECO_12MONTHS" hidden="1">"c1836"</definedName>
    <definedName name="IQ_PERCENT_CHANGE_EST_RECO_12MONTHS_CIQ" hidden="1">"c3776"</definedName>
    <definedName name="IQ_PERCENT_CHANGE_EST_RECO_18MONTHS" hidden="1">"c1837"</definedName>
    <definedName name="IQ_PERCENT_CHANGE_EST_RECO_18MONTHS_CIQ" hidden="1">"c3777"</definedName>
    <definedName name="IQ_PERCENT_CHANGE_EST_RECO_3MONTHS" hidden="1">"c1833"</definedName>
    <definedName name="IQ_PERCENT_CHANGE_EST_RECO_3MONTHS_CIQ" hidden="1">"c3773"</definedName>
    <definedName name="IQ_PERCENT_CHANGE_EST_RECO_6MONTHS" hidden="1">"c1834"</definedName>
    <definedName name="IQ_PERCENT_CHANGE_EST_RECO_6MONTHS_CIQ" hidden="1">"c3774"</definedName>
    <definedName name="IQ_PERCENT_CHANGE_EST_RECO_9MONTHS" hidden="1">"c1835"</definedName>
    <definedName name="IQ_PERCENT_CHANGE_EST_RECO_9MONTHS_CIQ" hidden="1">"c3775"</definedName>
    <definedName name="IQ_PERCENT_CHANGE_EST_RECO_DAY" hidden="1">"c1830"</definedName>
    <definedName name="IQ_PERCENT_CHANGE_EST_RECO_DAY_CIQ" hidden="1">"c3771"</definedName>
    <definedName name="IQ_PERCENT_CHANGE_EST_RECO_MONTH" hidden="1">"c1832"</definedName>
    <definedName name="IQ_PERCENT_CHANGE_EST_RECO_MONTH_CIQ" hidden="1">"c3772"</definedName>
    <definedName name="IQ_PERCENT_CHANGE_EST_RECO_WEEK" hidden="1">"c1831"</definedName>
    <definedName name="IQ_PERCENT_CHANGE_EST_RECO_WEEK_CIQ" hidden="1">"c3796"</definedName>
    <definedName name="IQ_PERCENT_CHANGE_EST_REV_12MONTHS" hidden="1">"c1796"</definedName>
    <definedName name="IQ_PERCENT_CHANGE_EST_REV_12MONTHS_CIQ" hidden="1">"c3741"</definedName>
    <definedName name="IQ_PERCENT_CHANGE_EST_REV_18MONTHS" hidden="1">"c1797"</definedName>
    <definedName name="IQ_PERCENT_CHANGE_EST_REV_18MONTHS_CIQ" hidden="1">"c3742"</definedName>
    <definedName name="IQ_PERCENT_CHANGE_EST_REV_3MONTHS" hidden="1">"c1793"</definedName>
    <definedName name="IQ_PERCENT_CHANGE_EST_REV_3MONTHS_CIQ" hidden="1">"c3738"</definedName>
    <definedName name="IQ_PERCENT_CHANGE_EST_REV_6MONTHS" hidden="1">"c1794"</definedName>
    <definedName name="IQ_PERCENT_CHANGE_EST_REV_6MONTHS_CIQ" hidden="1">"c3739"</definedName>
    <definedName name="IQ_PERCENT_CHANGE_EST_REV_9MONTHS" hidden="1">"c1795"</definedName>
    <definedName name="IQ_PERCENT_CHANGE_EST_REV_9MONTHS_CIQ" hidden="1">"c3740"</definedName>
    <definedName name="IQ_PERCENT_CHANGE_EST_REV_DAY" hidden="1">"c1790"</definedName>
    <definedName name="IQ_PERCENT_CHANGE_EST_REV_DAY_CIQ" hidden="1">"c3735"</definedName>
    <definedName name="IQ_PERCENT_CHANGE_EST_REV_MONTH" hidden="1">"c1792"</definedName>
    <definedName name="IQ_PERCENT_CHANGE_EST_REV_MONTH_CIQ" hidden="1">"c3737"</definedName>
    <definedName name="IQ_PERCENT_CHANGE_EST_REV_WEEK" hidden="1">"c1791"</definedName>
    <definedName name="IQ_PERCENT_CHANGE_EST_REV_WEEK_CIQ" hidden="1">"c3736"</definedName>
    <definedName name="IQ_PERCENT_INSURED_FDIC" hidden="1">"c6374"</definedName>
    <definedName name="IQ_PERIODDATE" hidden="1">"c1414"</definedName>
    <definedName name="IQ_PERIODDATE_AP" hidden="1">"c11745"</definedName>
    <definedName name="IQ_PERIODDATE_BS" hidden="1">"c1032"</definedName>
    <definedName name="IQ_PERIODDATE_CF" hidden="1">"c1033"</definedName>
    <definedName name="IQ_PERIODDATE_IS" hidden="1">"c1034"</definedName>
    <definedName name="IQ_PERIODLENGTH_AP" hidden="1">"c11746"</definedName>
    <definedName name="IQ_PERIODLENGTH_CF" hidden="1">"c1502"</definedName>
    <definedName name="IQ_PERIODLENGTH_IS" hidden="1">"c1503"</definedName>
    <definedName name="IQ_PERSONAL_CONSUMER_SPENDING_DURABLE" hidden="1">"c6942"</definedName>
    <definedName name="IQ_PERSONAL_CONSUMER_SPENDING_DURABLE_APR" hidden="1">"c7602"</definedName>
    <definedName name="IQ_PERSONAL_CONSUMER_SPENDING_DURABLE_APR_FC" hidden="1">"c8482"</definedName>
    <definedName name="IQ_PERSONAL_CONSUMER_SPENDING_DURABLE_FC" hidden="1">"c7822"</definedName>
    <definedName name="IQ_PERSONAL_CONSUMER_SPENDING_DURABLE_POP" hidden="1">"c7162"</definedName>
    <definedName name="IQ_PERSONAL_CONSUMER_SPENDING_DURABLE_POP_FC" hidden="1">"c8042"</definedName>
    <definedName name="IQ_PERSONAL_CONSUMER_SPENDING_DURABLE_YOY" hidden="1">"c7382"</definedName>
    <definedName name="IQ_PERSONAL_CONSUMER_SPENDING_DURABLE_YOY_FC" hidden="1">"c8262"</definedName>
    <definedName name="IQ_PERSONAL_CONSUMER_SPENDING_NONDURABLE" hidden="1">"c6940"</definedName>
    <definedName name="IQ_PERSONAL_CONSUMER_SPENDING_NONDURABLE_APR" hidden="1">"c7600"</definedName>
    <definedName name="IQ_PERSONAL_CONSUMER_SPENDING_NONDURABLE_APR_FC" hidden="1">"c8480"</definedName>
    <definedName name="IQ_PERSONAL_CONSUMER_SPENDING_NONDURABLE_FC" hidden="1">"c7820"</definedName>
    <definedName name="IQ_PERSONAL_CONSUMER_SPENDING_NONDURABLE_POP" hidden="1">"c7160"</definedName>
    <definedName name="IQ_PERSONAL_CONSUMER_SPENDING_NONDURABLE_POP_FC" hidden="1">"c8040"</definedName>
    <definedName name="IQ_PERSONAL_CONSUMER_SPENDING_NONDURABLE_YOY" hidden="1">"c7380"</definedName>
    <definedName name="IQ_PERSONAL_CONSUMER_SPENDING_NONDURABLE_YOY_FC" hidden="1">"c8260"</definedName>
    <definedName name="IQ_PERSONAL_CONSUMER_SPENDING_REAL" hidden="1">"c6994"</definedName>
    <definedName name="IQ_PERSONAL_CONSUMER_SPENDING_REAL_APR" hidden="1">"c7654"</definedName>
    <definedName name="IQ_PERSONAL_CONSUMER_SPENDING_REAL_APR_FC" hidden="1">"c8534"</definedName>
    <definedName name="IQ_PERSONAL_CONSUMER_SPENDING_REAL_FC" hidden="1">"c7874"</definedName>
    <definedName name="IQ_PERSONAL_CONSUMER_SPENDING_REAL_POP" hidden="1">"c7214"</definedName>
    <definedName name="IQ_PERSONAL_CONSUMER_SPENDING_REAL_POP_FC" hidden="1">"c8094"</definedName>
    <definedName name="IQ_PERSONAL_CONSUMER_SPENDING_REAL_YOY" hidden="1">"c7434"</definedName>
    <definedName name="IQ_PERSONAL_CONSUMER_SPENDING_REAL_YOY_FC" hidden="1">"c8314"</definedName>
    <definedName name="IQ_PERSONAL_CONSUMER_SPENDING_SERVICES" hidden="1">"c6941"</definedName>
    <definedName name="IQ_PERSONAL_CONSUMER_SPENDING_SERVICES_APR" hidden="1">"c7601"</definedName>
    <definedName name="IQ_PERSONAL_CONSUMER_SPENDING_SERVICES_APR_FC" hidden="1">"c8481"</definedName>
    <definedName name="IQ_PERSONAL_CONSUMER_SPENDING_SERVICES_FC" hidden="1">"c7821"</definedName>
    <definedName name="IQ_PERSONAL_CONSUMER_SPENDING_SERVICES_POP" hidden="1">"c7161"</definedName>
    <definedName name="IQ_PERSONAL_CONSUMER_SPENDING_SERVICES_POP_FC" hidden="1">"c8041"</definedName>
    <definedName name="IQ_PERSONAL_CONSUMER_SPENDING_SERVICES_YOY" hidden="1">"c7381"</definedName>
    <definedName name="IQ_PERSONAL_CONSUMER_SPENDING_SERVICES_YOY_FC" hidden="1">"c8261"</definedName>
    <definedName name="IQ_PERSONAL_INCOME" hidden="1">"c6943"</definedName>
    <definedName name="IQ_PERSONAL_INCOME_APR" hidden="1">"c7603"</definedName>
    <definedName name="IQ_PERSONAL_INCOME_APR_FC" hidden="1">"c8483"</definedName>
    <definedName name="IQ_PERSONAL_INCOME_FC" hidden="1">"c7823"</definedName>
    <definedName name="IQ_PERSONAL_INCOME_POP" hidden="1">"c7163"</definedName>
    <definedName name="IQ_PERSONAL_INCOME_POP_FC" hidden="1">"c8043"</definedName>
    <definedName name="IQ_PERSONAL_INCOME_SAAR" hidden="1">"c6944"</definedName>
    <definedName name="IQ_PERSONAL_INCOME_SAAR_APR" hidden="1">"c7604"</definedName>
    <definedName name="IQ_PERSONAL_INCOME_SAAR_APR_FC" hidden="1">"c8484"</definedName>
    <definedName name="IQ_PERSONAL_INCOME_SAAR_FC" hidden="1">"c7824"</definedName>
    <definedName name="IQ_PERSONAL_INCOME_SAAR_POP" hidden="1">"c7164"</definedName>
    <definedName name="IQ_PERSONAL_INCOME_SAAR_POP_FC" hidden="1">"c8044"</definedName>
    <definedName name="IQ_PERSONAL_INCOME_SAAR_YOY" hidden="1">"c7384"</definedName>
    <definedName name="IQ_PERSONAL_INCOME_SAAR_YOY_FC" hidden="1">"c8264"</definedName>
    <definedName name="IQ_PERSONAL_INCOME_USD_APR_FC" hidden="1">"c11885"</definedName>
    <definedName name="IQ_PERSONAL_INCOME_USD_FC" hidden="1">"c11882"</definedName>
    <definedName name="IQ_PERSONAL_INCOME_USD_POP_FC" hidden="1">"c11883"</definedName>
    <definedName name="IQ_PERSONAL_INCOME_USD_YOY_FC" hidden="1">"c11884"</definedName>
    <definedName name="IQ_PERSONAL_INCOME_YOY" hidden="1">"c7383"</definedName>
    <definedName name="IQ_PERSONAL_INCOME_YOY_FC" hidden="1">"c8263"</definedName>
    <definedName name="IQ_PERTYPE" hidden="1">"c1611"</definedName>
    <definedName name="IQ_PHARMBIO_NUMBER_LICENSED_PATENT_APP" hidden="1">"c10018"</definedName>
    <definedName name="IQ_PHARMBIO_NUMBER_LICENSED_PATENTS" hidden="1">"c10017"</definedName>
    <definedName name="IQ_PHARMBIO_NUMBER_PATENTS" hidden="1">"c10015"</definedName>
    <definedName name="IQ_PHARMBIO_NUMBER_PROD_APPROVED_DURING_PERIOD" hidden="1">"c10027"</definedName>
    <definedName name="IQ_PHARMBIO_NUMBER_PROD_CLINICAL_DEV" hidden="1">"c10022"</definedName>
    <definedName name="IQ_PHARMBIO_NUMBER_PROD_DISCOVERY_RESEARCH" hidden="1">"c10019"</definedName>
    <definedName name="IQ_PHARMBIO_NUMBER_PROD_LAUNCHED_DURING_PERIOD" hidden="1">"c10028"</definedName>
    <definedName name="IQ_PHARMBIO_NUMBER_PROD_PHASE_I" hidden="1">"c10023"</definedName>
    <definedName name="IQ_PHARMBIO_NUMBER_PROD_PHASE_II" hidden="1">"c10024"</definedName>
    <definedName name="IQ_PHARMBIO_NUMBER_PROD_PHASE_III" hidden="1">"c10025"</definedName>
    <definedName name="IQ_PHARMBIO_NUMBER_PROD_PRE_CLINICAL_TRIALS" hidden="1">"c10021"</definedName>
    <definedName name="IQ_PHARMBIO_NUMBER_PROD_PRE_REGISTRATION" hidden="1">"c10026"</definedName>
    <definedName name="IQ_PHARMBIO_NUMBER_PROD_RESEARCH_DEV" hidden="1">"c10020"</definedName>
    <definedName name="IQ_PHARMBIO_PATENT_APP" hidden="1">"c10016"</definedName>
    <definedName name="IQ_PHILADELPHIA_FED_DIFFUSION_INDEX" hidden="1">"c6945"</definedName>
    <definedName name="IQ_PHILADELPHIA_FED_DIFFUSION_INDEX_APR" hidden="1">"c7605"</definedName>
    <definedName name="IQ_PHILADELPHIA_FED_DIFFUSION_INDEX_APR_FC" hidden="1">"c8485"</definedName>
    <definedName name="IQ_PHILADELPHIA_FED_DIFFUSION_INDEX_FC" hidden="1">"c7825"</definedName>
    <definedName name="IQ_PHILADELPHIA_FED_DIFFUSION_INDEX_POP" hidden="1">"c7165"</definedName>
    <definedName name="IQ_PHILADELPHIA_FED_DIFFUSION_INDEX_POP_FC" hidden="1">"c8045"</definedName>
    <definedName name="IQ_PHILADELPHIA_FED_DIFFUSION_INDEX_YOY" hidden="1">"c7385"</definedName>
    <definedName name="IQ_PHILADELPHIA_FED_DIFFUSION_INDEX_YOY_FC" hidden="1">"c8265"</definedName>
    <definedName name="IQ_PLEDGED_SECURITIES_FDIC" hidden="1">"c6401"</definedName>
    <definedName name="IQ_PLL" hidden="1">"c2114"</definedName>
    <definedName name="IQ_PMAC_DIFFUSION_INDEX" hidden="1">"c6946"</definedName>
    <definedName name="IQ_PMAC_DIFFUSION_INDEX_APR" hidden="1">"c7606"</definedName>
    <definedName name="IQ_PMAC_DIFFUSION_INDEX_APR_FC" hidden="1">"c8486"</definedName>
    <definedName name="IQ_PMAC_DIFFUSION_INDEX_FC" hidden="1">"c7826"</definedName>
    <definedName name="IQ_PMAC_DIFFUSION_INDEX_POP" hidden="1">"c7166"</definedName>
    <definedName name="IQ_PMAC_DIFFUSION_INDEX_POP_FC" hidden="1">"c8046"</definedName>
    <definedName name="IQ_PMAC_DIFFUSION_INDEX_YOY" hidden="1">"c7386"</definedName>
    <definedName name="IQ_PMAC_DIFFUSION_INDEX_YOY_FC" hidden="1">"c8266"</definedName>
    <definedName name="IQ_PMT_FREQ" hidden="1">"c2236"</definedName>
    <definedName name="IQ_POISON_PUT_EFFECT_DATE" hidden="1">"c2486"</definedName>
    <definedName name="IQ_POISON_PUT_EXPIRATION_DATE" hidden="1">"c2487"</definedName>
    <definedName name="IQ_POISON_PUT_PRICE" hidden="1">"c2488"</definedName>
    <definedName name="IQ_POLICY_BENEFITS" hidden="1">"c1036"</definedName>
    <definedName name="IQ_POLICY_COST" hidden="1">"c1037"</definedName>
    <definedName name="IQ_POLICY_LIAB" hidden="1">"c1612"</definedName>
    <definedName name="IQ_POLICY_LOANS" hidden="1">"c1038"</definedName>
    <definedName name="IQ_POOL_AMT_ORIGINAL" hidden="1">"c8970"</definedName>
    <definedName name="IQ_POOL_NAME" hidden="1">"c8967"</definedName>
    <definedName name="IQ_POOL_NUMBER" hidden="1">"c8968"</definedName>
    <definedName name="IQ_POOL_TYPE" hidden="1">"c8969"</definedName>
    <definedName name="IQ_POST_RETIRE_EXP" hidden="1">"c1039"</definedName>
    <definedName name="IQ_POSTPAID_CHURN" hidden="1">"c2121"</definedName>
    <definedName name="IQ_POSTPAID_SUBS" hidden="1">"c2118"</definedName>
    <definedName name="IQ_PP_ATTRIB_ORE_RESERVES_ALUM" hidden="1">"c9218"</definedName>
    <definedName name="IQ_PP_ATTRIB_ORE_RESERVES_COP" hidden="1">"c9162"</definedName>
    <definedName name="IQ_PP_ATTRIB_ORE_RESERVES_DIAM" hidden="1">"c9642"</definedName>
    <definedName name="IQ_PP_ATTRIB_ORE_RESERVES_GOLD" hidden="1">"c9003"</definedName>
    <definedName name="IQ_PP_ATTRIB_ORE_RESERVES_IRON" hidden="1">"c9377"</definedName>
    <definedName name="IQ_PP_ATTRIB_ORE_RESERVES_LEAD" hidden="1">"c9430"</definedName>
    <definedName name="IQ_PP_ATTRIB_ORE_RESERVES_MANG" hidden="1">"c9483"</definedName>
    <definedName name="IQ_PP_ATTRIB_ORE_RESERVES_MOLYB" hidden="1">"c9695"</definedName>
    <definedName name="IQ_PP_ATTRIB_ORE_RESERVES_NICK" hidden="1">"c9271"</definedName>
    <definedName name="IQ_PP_ATTRIB_ORE_RESERVES_PLAT" hidden="1">"c9109"</definedName>
    <definedName name="IQ_PP_ATTRIB_ORE_RESERVES_SILVER" hidden="1">"c9056"</definedName>
    <definedName name="IQ_PP_ATTRIB_ORE_RESERVES_TITAN" hidden="1">"c9536"</definedName>
    <definedName name="IQ_PP_ATTRIB_ORE_RESERVES_URAN" hidden="1">"c9589"</definedName>
    <definedName name="IQ_PP_ATTRIB_ORE_RESERVES_ZINC" hidden="1">"c9324"</definedName>
    <definedName name="IQ_PP_ORE_RESERVES_ALUM" hidden="1">"c9211"</definedName>
    <definedName name="IQ_PP_ORE_RESERVES_COP" hidden="1">"c9155"</definedName>
    <definedName name="IQ_PP_ORE_RESERVES_DIAM" hidden="1">"c9635"</definedName>
    <definedName name="IQ_PP_ORE_RESERVES_GOLD" hidden="1">"c8996"</definedName>
    <definedName name="IQ_PP_ORE_RESERVES_IRON" hidden="1">"c9370"</definedName>
    <definedName name="IQ_PP_ORE_RESERVES_LEAD" hidden="1">"c9423"</definedName>
    <definedName name="IQ_PP_ORE_RESERVES_MANG" hidden="1">"c9476"</definedName>
    <definedName name="IQ_PP_ORE_RESERVES_MOLYB" hidden="1">"c9688"</definedName>
    <definedName name="IQ_PP_ORE_RESERVES_NICK" hidden="1">"c9264"</definedName>
    <definedName name="IQ_PP_ORE_RESERVES_PLAT" hidden="1">"c9102"</definedName>
    <definedName name="IQ_PP_ORE_RESERVES_SILVER" hidden="1">"c9049"</definedName>
    <definedName name="IQ_PP_ORE_RESERVES_TITAN" hidden="1">"c9529"</definedName>
    <definedName name="IQ_PP_ORE_RESERVES_URAN" hidden="1">"c9582"</definedName>
    <definedName name="IQ_PP_ORE_RESERVES_ZINC" hidden="1">"c9317"</definedName>
    <definedName name="IQ_PP_RECOV_ATTRIB_RESERVES_ALUM" hidden="1">"c9221"</definedName>
    <definedName name="IQ_PP_RECOV_ATTRIB_RESERVES_COAL" hidden="1">"c9805"</definedName>
    <definedName name="IQ_PP_RECOV_ATTRIB_RESERVES_COP" hidden="1">"c9165"</definedName>
    <definedName name="IQ_PP_RECOV_ATTRIB_RESERVES_DIAM" hidden="1">"c9645"</definedName>
    <definedName name="IQ_PP_RECOV_ATTRIB_RESERVES_GOLD" hidden="1">"c9006"</definedName>
    <definedName name="IQ_PP_RECOV_ATTRIB_RESERVES_IRON" hidden="1">"c9380"</definedName>
    <definedName name="IQ_PP_RECOV_ATTRIB_RESERVES_LEAD" hidden="1">"c9433"</definedName>
    <definedName name="IQ_PP_RECOV_ATTRIB_RESERVES_MANG" hidden="1">"c9486"</definedName>
    <definedName name="IQ_PP_RECOV_ATTRIB_RESERVES_MET_COAL" hidden="1">"c9745"</definedName>
    <definedName name="IQ_PP_RECOV_ATTRIB_RESERVES_MOLYB" hidden="1">"c9698"</definedName>
    <definedName name="IQ_PP_RECOV_ATTRIB_RESERVES_NICK" hidden="1">"c9274"</definedName>
    <definedName name="IQ_PP_RECOV_ATTRIB_RESERVES_PLAT" hidden="1">"c9112"</definedName>
    <definedName name="IQ_PP_RECOV_ATTRIB_RESERVES_SILVER" hidden="1">"c9059"</definedName>
    <definedName name="IQ_PP_RECOV_ATTRIB_RESERVES_STEAM" hidden="1">"c9775"</definedName>
    <definedName name="IQ_PP_RECOV_ATTRIB_RESERVES_TITAN" hidden="1">"c9539"</definedName>
    <definedName name="IQ_PP_RECOV_ATTRIB_RESERVES_URAN" hidden="1">"c9592"</definedName>
    <definedName name="IQ_PP_RECOV_ATTRIB_RESERVES_ZINC" hidden="1">"c9327"</definedName>
    <definedName name="IQ_PP_RECOV_RESERVES_ALUM" hidden="1">"c9215"</definedName>
    <definedName name="IQ_PP_RECOV_RESERVES_COAL" hidden="1">"c9802"</definedName>
    <definedName name="IQ_PP_RECOV_RESERVES_COP" hidden="1">"c9159"</definedName>
    <definedName name="IQ_PP_RECOV_RESERVES_DIAM" hidden="1">"c9639"</definedName>
    <definedName name="IQ_PP_RECOV_RESERVES_GOLD" hidden="1">"c9000"</definedName>
    <definedName name="IQ_PP_RECOV_RESERVES_IRON" hidden="1">"c9374"</definedName>
    <definedName name="IQ_PP_RECOV_RESERVES_LEAD" hidden="1">"c9427"</definedName>
    <definedName name="IQ_PP_RECOV_RESERVES_MANG" hidden="1">"c9480"</definedName>
    <definedName name="IQ_PP_RECOV_RESERVES_MET_COAL" hidden="1">"c9742"</definedName>
    <definedName name="IQ_PP_RECOV_RESERVES_MOLYB" hidden="1">"c9692"</definedName>
    <definedName name="IQ_PP_RECOV_RESERVES_NICK" hidden="1">"c9268"</definedName>
    <definedName name="IQ_PP_RECOV_RESERVES_PLAT" hidden="1">"c9106"</definedName>
    <definedName name="IQ_PP_RECOV_RESERVES_SILVER" hidden="1">"c9053"</definedName>
    <definedName name="IQ_PP_RECOV_RESERVES_STEAM" hidden="1">"c9772"</definedName>
    <definedName name="IQ_PP_RECOV_RESERVES_TITAN" hidden="1">"c9533"</definedName>
    <definedName name="IQ_PP_RECOV_RESERVES_URAN" hidden="1">"c9586"</definedName>
    <definedName name="IQ_PP_RECOV_RESERVES_ZINC" hidden="1">"c9321"</definedName>
    <definedName name="IQ_PP_RESERVES_CALORIFIC_VALUE_COAL" hidden="1">"c9799"</definedName>
    <definedName name="IQ_PP_RESERVES_CALORIFIC_VALUE_MET_COAL" hidden="1">"c9739"</definedName>
    <definedName name="IQ_PP_RESERVES_CALORIFIC_VALUE_STEAM" hidden="1">"c9769"</definedName>
    <definedName name="IQ_PP_RESERVES_GRADE_ALUM" hidden="1">"c9212"</definedName>
    <definedName name="IQ_PP_RESERVES_GRADE_COP" hidden="1">"c9156"</definedName>
    <definedName name="IQ_PP_RESERVES_GRADE_DIAM" hidden="1">"c9636"</definedName>
    <definedName name="IQ_PP_RESERVES_GRADE_GOLD" hidden="1">"c8997"</definedName>
    <definedName name="IQ_PP_RESERVES_GRADE_IRON" hidden="1">"c9371"</definedName>
    <definedName name="IQ_PP_RESERVES_GRADE_LEAD" hidden="1">"c9424"</definedName>
    <definedName name="IQ_PP_RESERVES_GRADE_MANG" hidden="1">"c9477"</definedName>
    <definedName name="IQ_PP_RESERVES_GRADE_MOLYB" hidden="1">"c9689"</definedName>
    <definedName name="IQ_PP_RESERVES_GRADE_NICK" hidden="1">"c9265"</definedName>
    <definedName name="IQ_PP_RESERVES_GRADE_PLAT" hidden="1">"c9103"</definedName>
    <definedName name="IQ_PP_RESERVES_GRADE_SILVER" hidden="1">"c9050"</definedName>
    <definedName name="IQ_PP_RESERVES_GRADE_TITAN" hidden="1">"c9530"</definedName>
    <definedName name="IQ_PP_RESERVES_GRADE_URAN" hidden="1">"c9583"</definedName>
    <definedName name="IQ_PP_RESERVES_GRADE_ZINC" hidden="1">"c9318"</definedName>
    <definedName name="IQ_PPI" hidden="1">"c6810"</definedName>
    <definedName name="IQ_PPI_APR" hidden="1">"c7470"</definedName>
    <definedName name="IQ_PPI_APR_FC" hidden="1">"c8350"</definedName>
    <definedName name="IQ_PPI_CORE" hidden="1">"c6840"</definedName>
    <definedName name="IQ_PPI_CORE_APR" hidden="1">"c7500"</definedName>
    <definedName name="IQ_PPI_CORE_APR_FC" hidden="1">"c8380"</definedName>
    <definedName name="IQ_PPI_CORE_FC" hidden="1">"c7720"</definedName>
    <definedName name="IQ_PPI_CORE_POP" hidden="1">"c7060"</definedName>
    <definedName name="IQ_PPI_CORE_POP_FC" hidden="1">"c7940"</definedName>
    <definedName name="IQ_PPI_CORE_YOY" hidden="1">"c7280"</definedName>
    <definedName name="IQ_PPI_CORE_YOY_FC" hidden="1">"c8160"</definedName>
    <definedName name="IQ_PPI_FC" hidden="1">"c7690"</definedName>
    <definedName name="IQ_PPI_POP" hidden="1">"c7030"</definedName>
    <definedName name="IQ_PPI_POP_FC" hidden="1">"c7910"</definedName>
    <definedName name="IQ_PPI_YOY" hidden="1">"c7250"</definedName>
    <definedName name="IQ_PPI_YOY_FC" hidden="1">"c8130"</definedName>
    <definedName name="IQ_PRE_OPEN_COST" hidden="1">"c1040"</definedName>
    <definedName name="IQ_PRE_TAX_INCOME_FDIC" hidden="1">"c6581"</definedName>
    <definedName name="IQ_PREF_CONVERT" hidden="1">"c1041"</definedName>
    <definedName name="IQ_PREF_DIV_CF" hidden="1">"c1042"</definedName>
    <definedName name="IQ_PREF_DIV_OTHER" hidden="1">"c1043"</definedName>
    <definedName name="IQ_PREF_DIVID" hidden="1">"c1461"</definedName>
    <definedName name="IQ_PREF_EQUITY" hidden="1">"c1044"</definedName>
    <definedName name="IQ_PREF_ISSUED" hidden="1">"c1045"</definedName>
    <definedName name="IQ_PREF_ISSUED_BNK" hidden="1">"c1046"</definedName>
    <definedName name="IQ_PREF_ISSUED_BR" hidden="1">"c1047"</definedName>
    <definedName name="IQ_PREF_ISSUED_FIN" hidden="1">"c1048"</definedName>
    <definedName name="IQ_PREF_ISSUED_INS" hidden="1">"c1049"</definedName>
    <definedName name="IQ_PREF_ISSUED_RE" hidden="1">"c6261"</definedName>
    <definedName name="IQ_PREF_ISSUED_REIT" hidden="1">"c1050"</definedName>
    <definedName name="IQ_PREF_ISSUED_UTI" hidden="1">"c1051"</definedName>
    <definedName name="IQ_PREF_NON_REDEEM" hidden="1">"c1052"</definedName>
    <definedName name="IQ_PREF_OTHER" hidden="1">"c1053"</definedName>
    <definedName name="IQ_PREF_OTHER_BNK" hidden="1">"c1054"</definedName>
    <definedName name="IQ_PREF_OTHER_BR" hidden="1">"c1055"</definedName>
    <definedName name="IQ_PREF_OTHER_FIN" hidden="1">"c1056"</definedName>
    <definedName name="IQ_PREF_OTHER_INS" hidden="1">"c1057"</definedName>
    <definedName name="IQ_PREF_OTHER_RE" hidden="1">"c6262"</definedName>
    <definedName name="IQ_PREF_OTHER_REIT" hidden="1">"c1058"</definedName>
    <definedName name="IQ_PREF_OTHER_UTI" hidden="1">"C6022"</definedName>
    <definedName name="IQ_PREF_REDEEM" hidden="1">"c1059"</definedName>
    <definedName name="IQ_PREF_REP" hidden="1">"c1060"</definedName>
    <definedName name="IQ_PREF_REP_BNK" hidden="1">"c1061"</definedName>
    <definedName name="IQ_PREF_REP_BR" hidden="1">"c1062"</definedName>
    <definedName name="IQ_PREF_REP_FIN" hidden="1">"c1063"</definedName>
    <definedName name="IQ_PREF_REP_INS" hidden="1">"c1064"</definedName>
    <definedName name="IQ_PREF_REP_RE" hidden="1">"c6263"</definedName>
    <definedName name="IQ_PREF_REP_REIT" hidden="1">"c1065"</definedName>
    <definedName name="IQ_PREF_REP_UTI" hidden="1">"c1066"</definedName>
    <definedName name="IQ_PREF_STOCK" hidden="1">"c1416"</definedName>
    <definedName name="IQ_PREF_TOT" hidden="1">"c1415"</definedName>
    <definedName name="IQ_PREFERRED_FDIC" hidden="1">"c6349"</definedName>
    <definedName name="IQ_PREMISES_EQUIPMENT_FDIC" hidden="1">"c6577"</definedName>
    <definedName name="IQ_PREMIUMS_ANNUITY_REV" hidden="1">"c1067"</definedName>
    <definedName name="IQ_PREPAID_CHURN" hidden="1">"c2120"</definedName>
    <definedName name="IQ_PREPAID_EXP" hidden="1">"c1068"</definedName>
    <definedName name="IQ_PREPAID_EXPEN" hidden="1">"c1418"</definedName>
    <definedName name="IQ_PREPAID_SUBS" hidden="1">"c2117"</definedName>
    <definedName name="IQ_PRETAX_RETURN_ASSETS_FDIC" hidden="1">"c6731"</definedName>
    <definedName name="IQ_PREV_MONTHLY_FACTOR" hidden="1">"c8973"</definedName>
    <definedName name="IQ_PREV_MONTHLY_FACTOR_DATE" hidden="1">"c8974"</definedName>
    <definedName name="IQ_PRICE_OVER_BVPS" hidden="1">"c1412"</definedName>
    <definedName name="IQ_PRICE_OVER_LTM_EPS" hidden="1">"c1413"</definedName>
    <definedName name="IQ_PRICE_PAID_FARM_INDEX" hidden="1">"c6948"</definedName>
    <definedName name="IQ_PRICE_PAID_FARM_INDEX_APR" hidden="1">"c7608"</definedName>
    <definedName name="IQ_PRICE_PAID_FARM_INDEX_APR_FC" hidden="1">"c8488"</definedName>
    <definedName name="IQ_PRICE_PAID_FARM_INDEX_FC" hidden="1">"c7828"</definedName>
    <definedName name="IQ_PRICE_PAID_FARM_INDEX_POP" hidden="1">"c7168"</definedName>
    <definedName name="IQ_PRICE_PAID_FARM_INDEX_POP_FC" hidden="1">"c8048"</definedName>
    <definedName name="IQ_PRICE_PAID_FARM_INDEX_YOY" hidden="1">"c7388"</definedName>
    <definedName name="IQ_PRICE_PAID_FARM_INDEX_YOY_FC" hidden="1">"c8268"</definedName>
    <definedName name="IQ_PRICE_TARGET" hidden="1">"c82"</definedName>
    <definedName name="IQ_PRICE_TARGET_CIQ" hidden="1">"c3613"</definedName>
    <definedName name="IQ_PRICEDATE" hidden="1">"c1069"</definedName>
    <definedName name="IQ_PRICING_DATE" hidden="1">"c1613"</definedName>
    <definedName name="IQ_PRIMARY_INDUSTRY" hidden="1">"c1070"</definedName>
    <definedName name="IQ_PRINCIPAL_AMT" hidden="1">"c2157"</definedName>
    <definedName name="IQ_PRIVATE_CONST_TOTAL_APR_FC_UNUSED_UNUSED_UNUSED" hidden="1">"c8559"</definedName>
    <definedName name="IQ_PRIVATE_CONST_TOTAL_APR_UNUSED_UNUSED_UNUSED" hidden="1">"c7679"</definedName>
    <definedName name="IQ_PRIVATE_CONST_TOTAL_FC_UNUSED_UNUSED_UNUSED" hidden="1">"c7899"</definedName>
    <definedName name="IQ_PRIVATE_CONST_TOTAL_POP_FC_UNUSED_UNUSED_UNUSED" hidden="1">"c8119"</definedName>
    <definedName name="IQ_PRIVATE_CONST_TOTAL_POP_UNUSED_UNUSED_UNUSED" hidden="1">"c7239"</definedName>
    <definedName name="IQ_PRIVATE_CONST_TOTAL_UNUSED_UNUSED_UNUSED" hidden="1">"c7019"</definedName>
    <definedName name="IQ_PRIVATE_CONST_TOTAL_YOY_FC_UNUSED_UNUSED_UNUSED" hidden="1">"c8339"</definedName>
    <definedName name="IQ_PRIVATE_CONST_TOTAL_YOY_UNUSED_UNUSED_UNUSED" hidden="1">"c7459"</definedName>
    <definedName name="IQ_PRIVATE_FIXED_INVEST_TOTAL" hidden="1">"c12006"</definedName>
    <definedName name="IQ_PRIVATE_FIXED_INVEST_TOTAL_APR" hidden="1">"c12009"</definedName>
    <definedName name="IQ_PRIVATE_FIXED_INVEST_TOTAL_POP" hidden="1">"c12007"</definedName>
    <definedName name="IQ_PRIVATE_FIXED_INVEST_TOTAL_YOY" hidden="1">"c12008"</definedName>
    <definedName name="IQ_PRIVATE_NONRES_CONST_IMPROV" hidden="1">"c6949"</definedName>
    <definedName name="IQ_PRIVATE_NONRES_CONST_IMPROV_APR" hidden="1">"c7609"</definedName>
    <definedName name="IQ_PRIVATE_NONRES_CONST_IMPROV_APR_FC" hidden="1">"c8489"</definedName>
    <definedName name="IQ_PRIVATE_NONRES_CONST_IMPROV_FC" hidden="1">"c7829"</definedName>
    <definedName name="IQ_PRIVATE_NONRES_CONST_IMPROV_POP" hidden="1">"c7169"</definedName>
    <definedName name="IQ_PRIVATE_NONRES_CONST_IMPROV_POP_FC" hidden="1">"c8049"</definedName>
    <definedName name="IQ_PRIVATE_NONRES_CONST_IMPROV_YOY" hidden="1">"c7389"</definedName>
    <definedName name="IQ_PRIVATE_NONRES_CONST_IMPROV_YOY_FC" hidden="1">"c8269"</definedName>
    <definedName name="IQ_PRIVATE_RES_CONST_IMPROV" hidden="1">"c6950"</definedName>
    <definedName name="IQ_PRIVATE_RES_CONST_IMPROV_APR" hidden="1">"c7610"</definedName>
    <definedName name="IQ_PRIVATE_RES_CONST_IMPROV_APR_FC" hidden="1">"c8490"</definedName>
    <definedName name="IQ_PRIVATE_RES_CONST_IMPROV_FC" hidden="1">"c7830"</definedName>
    <definedName name="IQ_PRIVATE_RES_CONST_IMPROV_POP" hidden="1">"c7170"</definedName>
    <definedName name="IQ_PRIVATE_RES_CONST_IMPROV_POP_FC" hidden="1">"c8050"</definedName>
    <definedName name="IQ_PRIVATE_RES_CONST_IMPROV_YOY" hidden="1">"c7390"</definedName>
    <definedName name="IQ_PRIVATE_RES_CONST_IMPROV_YOY_FC" hidden="1">"c8270"</definedName>
    <definedName name="IQ_PRIVATE_RES_CONST_REAL_APR_FC_UNUSED_UNUSED_UNUSED" hidden="1">"c8535"</definedName>
    <definedName name="IQ_PRIVATE_RES_CONST_REAL_APR_UNUSED_UNUSED_UNUSED" hidden="1">"c7655"</definedName>
    <definedName name="IQ_PRIVATE_RES_CONST_REAL_FC_UNUSED_UNUSED_UNUSED" hidden="1">"c7875"</definedName>
    <definedName name="IQ_PRIVATE_RES_CONST_REAL_POP_FC_UNUSED_UNUSED_UNUSED" hidden="1">"c8095"</definedName>
    <definedName name="IQ_PRIVATE_RES_CONST_REAL_POP_UNUSED_UNUSED_UNUSED" hidden="1">"c7215"</definedName>
    <definedName name="IQ_PRIVATE_RES_CONST_REAL_UNUSED_UNUSED_UNUSED" hidden="1">"c6995"</definedName>
    <definedName name="IQ_PRIVATE_RES_CONST_REAL_YOY_FC_UNUSED_UNUSED_UNUSED" hidden="1">"c8315"</definedName>
    <definedName name="IQ_PRIVATE_RES_CONST_REAL_YOY_UNUSED_UNUSED_UNUSED" hidden="1">"c7435"</definedName>
    <definedName name="IQ_PRIVATE_RES_FIXED_INVEST_REAL" hidden="1">"c11986"</definedName>
    <definedName name="IQ_PRIVATE_RES_FIXED_INVEST_REAL_APR" hidden="1">"c11989"</definedName>
    <definedName name="IQ_PRIVATE_RES_FIXED_INVEST_REAL_POP" hidden="1">"c11987"</definedName>
    <definedName name="IQ_PRIVATE_RES_FIXED_INVEST_REAL_YOY" hidden="1">"c11988"</definedName>
    <definedName name="IQ_PRIVATELY_ISSUED_MORTGAGE_BACKED_SECURITIES_FDIC" hidden="1">"c6407"</definedName>
    <definedName name="IQ_PRIVATELY_ISSUED_MORTGAGE_PASS_THROUGHS_FDIC" hidden="1">"c6405"</definedName>
    <definedName name="IQ_PRO_FORMA_BASIC_EPS" hidden="1">"c1614"</definedName>
    <definedName name="IQ_PRO_FORMA_DILUT_EPS" hidden="1">"c1615"</definedName>
    <definedName name="IQ_PRO_FORMA_NET_INC" hidden="1">"c1452"</definedName>
    <definedName name="IQ_PROBABLE_ATTRIB_ORE_RESERVES_ALUM" hidden="1">"c9217"</definedName>
    <definedName name="IQ_PROBABLE_ATTRIB_ORE_RESERVES_COP" hidden="1">"c9161"</definedName>
    <definedName name="IQ_PROBABLE_ATTRIB_ORE_RESERVES_DIAM" hidden="1">"c9641"</definedName>
    <definedName name="IQ_PROBABLE_ATTRIB_ORE_RESERVES_GOLD" hidden="1">"c9002"</definedName>
    <definedName name="IQ_PROBABLE_ATTRIB_ORE_RESERVES_IRON" hidden="1">"c9376"</definedName>
    <definedName name="IQ_PROBABLE_ATTRIB_ORE_RESERVES_LEAD" hidden="1">"c9429"</definedName>
    <definedName name="IQ_PROBABLE_ATTRIB_ORE_RESERVES_MANG" hidden="1">"c9482"</definedName>
    <definedName name="IQ_PROBABLE_ATTRIB_ORE_RESERVES_MOLYB" hidden="1">"c9694"</definedName>
    <definedName name="IQ_PROBABLE_ATTRIB_ORE_RESERVES_NICK" hidden="1">"c9270"</definedName>
    <definedName name="IQ_PROBABLE_ATTRIB_ORE_RESERVES_PLAT" hidden="1">"c9108"</definedName>
    <definedName name="IQ_PROBABLE_ATTRIB_ORE_RESERVES_SILVER" hidden="1">"c9055"</definedName>
    <definedName name="IQ_PROBABLE_ATTRIB_ORE_RESERVES_TITAN" hidden="1">"c9535"</definedName>
    <definedName name="IQ_PROBABLE_ATTRIB_ORE_RESERVES_URAN" hidden="1">"c9588"</definedName>
    <definedName name="IQ_PROBABLE_ATTRIB_ORE_RESERVES_ZINC" hidden="1">"c9323"</definedName>
    <definedName name="IQ_PROBABLE_ORE_RESERVES_ALUM" hidden="1">"c9209"</definedName>
    <definedName name="IQ_PROBABLE_ORE_RESERVES_COP" hidden="1">"c9153"</definedName>
    <definedName name="IQ_PROBABLE_ORE_RESERVES_DIAM" hidden="1">"c9633"</definedName>
    <definedName name="IQ_PROBABLE_ORE_RESERVES_GOLD" hidden="1">"c8994"</definedName>
    <definedName name="IQ_PROBABLE_ORE_RESERVES_IRON" hidden="1">"c9368"</definedName>
    <definedName name="IQ_PROBABLE_ORE_RESERVES_LEAD" hidden="1">"c9421"</definedName>
    <definedName name="IQ_PROBABLE_ORE_RESERVES_MANG" hidden="1">"c9474"</definedName>
    <definedName name="IQ_PROBABLE_ORE_RESERVES_MOLYB" hidden="1">"c9686"</definedName>
    <definedName name="IQ_PROBABLE_ORE_RESERVES_NICK" hidden="1">"c9262"</definedName>
    <definedName name="IQ_PROBABLE_ORE_RESERVES_PLAT" hidden="1">"c9100"</definedName>
    <definedName name="IQ_PROBABLE_ORE_RESERVES_SILVER" hidden="1">"c9047"</definedName>
    <definedName name="IQ_PROBABLE_ORE_RESERVES_TITAN" hidden="1">"c9527"</definedName>
    <definedName name="IQ_PROBABLE_ORE_RESERVES_URAN" hidden="1">"c9580"</definedName>
    <definedName name="IQ_PROBABLE_ORE_RESERVES_ZINC" hidden="1">"c9315"</definedName>
    <definedName name="IQ_PROBABLE_RECOV_ATTRIB_RESERVES_ALUM" hidden="1">"c9220"</definedName>
    <definedName name="IQ_PROBABLE_RECOV_ATTRIB_RESERVES_COAL" hidden="1">"c9804"</definedName>
    <definedName name="IQ_PROBABLE_RECOV_ATTRIB_RESERVES_COP" hidden="1">"c9164"</definedName>
    <definedName name="IQ_PROBABLE_RECOV_ATTRIB_RESERVES_DIAM" hidden="1">"c9644"</definedName>
    <definedName name="IQ_PROBABLE_RECOV_ATTRIB_RESERVES_GOLD" hidden="1">"c9005"</definedName>
    <definedName name="IQ_PROBABLE_RECOV_ATTRIB_RESERVES_IRON" hidden="1">"c9379"</definedName>
    <definedName name="IQ_PROBABLE_RECOV_ATTRIB_RESERVES_LEAD" hidden="1">"c9432"</definedName>
    <definedName name="IQ_PROBABLE_RECOV_ATTRIB_RESERVES_MANG" hidden="1">"c9485"</definedName>
    <definedName name="IQ_PROBABLE_RECOV_ATTRIB_RESERVES_MET_COAL" hidden="1">"c9744"</definedName>
    <definedName name="IQ_PROBABLE_RECOV_ATTRIB_RESERVES_MOLYB" hidden="1">"c9697"</definedName>
    <definedName name="IQ_PROBABLE_RECOV_ATTRIB_RESERVES_NICK" hidden="1">"c9273"</definedName>
    <definedName name="IQ_PROBABLE_RECOV_ATTRIB_RESERVES_PLAT" hidden="1">"c9111"</definedName>
    <definedName name="IQ_PROBABLE_RECOV_ATTRIB_RESERVES_SILVER" hidden="1">"c9058"</definedName>
    <definedName name="IQ_PROBABLE_RECOV_ATTRIB_RESERVES_STEAM" hidden="1">"c9774"</definedName>
    <definedName name="IQ_PROBABLE_RECOV_ATTRIB_RESERVES_TITAN" hidden="1">"c9538"</definedName>
    <definedName name="IQ_PROBABLE_RECOV_ATTRIB_RESERVES_URAN" hidden="1">"c9591"</definedName>
    <definedName name="IQ_PROBABLE_RECOV_ATTRIB_RESERVES_ZINC" hidden="1">"c9326"</definedName>
    <definedName name="IQ_PROBABLE_RECOV_RESERVES_ALUM" hidden="1">"c9214"</definedName>
    <definedName name="IQ_PROBABLE_RECOV_RESERVES_COAL" hidden="1">"c9801"</definedName>
    <definedName name="IQ_PROBABLE_RECOV_RESERVES_COP" hidden="1">"c9158"</definedName>
    <definedName name="IQ_PROBABLE_RECOV_RESERVES_DIAM" hidden="1">"c9638"</definedName>
    <definedName name="IQ_PROBABLE_RECOV_RESERVES_GOLD" hidden="1">"c8999"</definedName>
    <definedName name="IQ_PROBABLE_RECOV_RESERVES_IRON" hidden="1">"c9373"</definedName>
    <definedName name="IQ_PROBABLE_RECOV_RESERVES_LEAD" hidden="1">"c9426"</definedName>
    <definedName name="IQ_PROBABLE_RECOV_RESERVES_MANG" hidden="1">"c9479"</definedName>
    <definedName name="IQ_PROBABLE_RECOV_RESERVES_MET_COAL" hidden="1">"c9741"</definedName>
    <definedName name="IQ_PROBABLE_RECOV_RESERVES_MOLYB" hidden="1">"c9691"</definedName>
    <definedName name="IQ_PROBABLE_RECOV_RESERVES_NICK" hidden="1">"c9267"</definedName>
    <definedName name="IQ_PROBABLE_RECOV_RESERVES_PLAT" hidden="1">"c9105"</definedName>
    <definedName name="IQ_PROBABLE_RECOV_RESERVES_SILVER" hidden="1">"c9052"</definedName>
    <definedName name="IQ_PROBABLE_RECOV_RESERVES_STEAM" hidden="1">"c9771"</definedName>
    <definedName name="IQ_PROBABLE_RECOV_RESERVES_TITAN" hidden="1">"c9532"</definedName>
    <definedName name="IQ_PROBABLE_RECOV_RESERVES_URAN" hidden="1">"c9585"</definedName>
    <definedName name="IQ_PROBABLE_RECOV_RESERVES_ZINC" hidden="1">"c9320"</definedName>
    <definedName name="IQ_PROBABLE_RESERVES_CALORIFIC_VALUE_COAL" hidden="1">"c9798"</definedName>
    <definedName name="IQ_PROBABLE_RESERVES_CALORIFIC_VALUE_MET_COAL" hidden="1">"c9738"</definedName>
    <definedName name="IQ_PROBABLE_RESERVES_CALORIFIC_VALUE_STEAM" hidden="1">"c9768"</definedName>
    <definedName name="IQ_PROBABLE_RESERVES_GRADE_ALUM" hidden="1">"c9210"</definedName>
    <definedName name="IQ_PROBABLE_RESERVES_GRADE_COP" hidden="1">"c9154"</definedName>
    <definedName name="IQ_PROBABLE_RESERVES_GRADE_DIAM" hidden="1">"c9634"</definedName>
    <definedName name="IQ_PROBABLE_RESERVES_GRADE_GOLD" hidden="1">"c8995"</definedName>
    <definedName name="IQ_PROBABLE_RESERVES_GRADE_IRON" hidden="1">"c9369"</definedName>
    <definedName name="IQ_PROBABLE_RESERVES_GRADE_LEAD" hidden="1">"c9422"</definedName>
    <definedName name="IQ_PROBABLE_RESERVES_GRADE_MANG" hidden="1">"c9475"</definedName>
    <definedName name="IQ_PROBABLE_RESERVES_GRADE_MOLYB" hidden="1">"c9687"</definedName>
    <definedName name="IQ_PROBABLE_RESERVES_GRADE_NICK" hidden="1">"c9263"</definedName>
    <definedName name="IQ_PROBABLE_RESERVES_GRADE_PLAT" hidden="1">"c9101"</definedName>
    <definedName name="IQ_PROBABLE_RESERVES_GRADE_SILVER" hidden="1">"c9048"</definedName>
    <definedName name="IQ_PROBABLE_RESERVES_GRADE_TITAN" hidden="1">"c9528"</definedName>
    <definedName name="IQ_PROBABLE_RESERVES_GRADE_URAN" hidden="1">"c9581"</definedName>
    <definedName name="IQ_PROBABLE_RESERVES_GRADE_ZINC" hidden="1">"c9316"</definedName>
    <definedName name="IQ_PRODUCTION_COST_ALUM" hidden="1">"c9253"</definedName>
    <definedName name="IQ_PRODUCTION_COST_COAL" hidden="1">"c9826"</definedName>
    <definedName name="IQ_PRODUCTION_COST_COP" hidden="1">"c9200"</definedName>
    <definedName name="IQ_PRODUCTION_COST_DIAM" hidden="1">"c9677"</definedName>
    <definedName name="IQ_PRODUCTION_COST_GOLD" hidden="1">"c9038"</definedName>
    <definedName name="IQ_PRODUCTION_COST_IRON" hidden="1">"c9412"</definedName>
    <definedName name="IQ_PRODUCTION_COST_LEAD" hidden="1">"c9465"</definedName>
    <definedName name="IQ_PRODUCTION_COST_MANG" hidden="1">"c9518"</definedName>
    <definedName name="IQ_PRODUCTION_COST_MET_COAL" hidden="1">"c9763"</definedName>
    <definedName name="IQ_PRODUCTION_COST_MOLYB" hidden="1">"c9730"</definedName>
    <definedName name="IQ_PRODUCTION_COST_NICK" hidden="1">"c9306"</definedName>
    <definedName name="IQ_PRODUCTION_COST_PLAT" hidden="1">"c9144"</definedName>
    <definedName name="IQ_PRODUCTION_COST_SILVER" hidden="1">"c9091"</definedName>
    <definedName name="IQ_PRODUCTION_COST_STEAM" hidden="1">"c9793"</definedName>
    <definedName name="IQ_PRODUCTION_COST_TITAN" hidden="1">"c9571"</definedName>
    <definedName name="IQ_PRODUCTION_COST_URAN" hidden="1">"c9624"</definedName>
    <definedName name="IQ_PRODUCTION_COST_ZINC" hidden="1">"c9359"</definedName>
    <definedName name="IQ_PROFESSIONAL" hidden="1">"c1071"</definedName>
    <definedName name="IQ_PROFESSIONAL_TITLE" hidden="1">"c1072"</definedName>
    <definedName name="IQ_PROFIT_AFTER_COST_CAPITAL_NEW_BUSINESS" hidden="1">"c9969"</definedName>
    <definedName name="IQ_PROFIT_BEFORE_COST_CAPITAL_NEW_BUSINESS" hidden="1">"c9967"</definedName>
    <definedName name="IQ_PROJECTED_PENSION_OBLIGATION" hidden="1">"c1292"</definedName>
    <definedName name="IQ_PROJECTED_PENSION_OBLIGATION_DOMESTIC" hidden="1">"c2656"</definedName>
    <definedName name="IQ_PROJECTED_PENSION_OBLIGATION_FOREIGN" hidden="1">"c2664"</definedName>
    <definedName name="IQ_PROPERTY_EXP" hidden="1">"c1073"</definedName>
    <definedName name="IQ_PROPERTY_GROSS" hidden="1">"c1379"</definedName>
    <definedName name="IQ_PROPERTY_MGMT_FEE" hidden="1">"c1074"</definedName>
    <definedName name="IQ_PROPERTY_NET" hidden="1">"c1402"</definedName>
    <definedName name="IQ_PROV_BAD_DEBTS" hidden="1">"c1075"</definedName>
    <definedName name="IQ_PROV_BAD_DEBTS_CF" hidden="1">"c1076"</definedName>
    <definedName name="IQ_PROVED_ATTRIB_ORE_RESERVES_ALUM" hidden="1">"c9216"</definedName>
    <definedName name="IQ_PROVED_ATTRIB_ORE_RESERVES_COP" hidden="1">"c9160"</definedName>
    <definedName name="IQ_PROVED_ATTRIB_ORE_RESERVES_DIAM" hidden="1">"c9640"</definedName>
    <definedName name="IQ_PROVED_ATTRIB_ORE_RESERVES_GOLD" hidden="1">"c9001"</definedName>
    <definedName name="IQ_PROVED_ATTRIB_ORE_RESERVES_IRON" hidden="1">"c9375"</definedName>
    <definedName name="IQ_PROVED_ATTRIB_ORE_RESERVES_LEAD" hidden="1">"c9428"</definedName>
    <definedName name="IQ_PROVED_ATTRIB_ORE_RESERVES_MANG" hidden="1">"c9481"</definedName>
    <definedName name="IQ_PROVED_ATTRIB_ORE_RESERVES_MOLYB" hidden="1">"c9693"</definedName>
    <definedName name="IQ_PROVED_ATTRIB_ORE_RESERVES_NICK" hidden="1">"c9269"</definedName>
    <definedName name="IQ_PROVED_ATTRIB_ORE_RESERVES_PLAT" hidden="1">"c9107"</definedName>
    <definedName name="IQ_PROVED_ATTRIB_ORE_RESERVES_SILVER" hidden="1">"c9054"</definedName>
    <definedName name="IQ_PROVED_ATTRIB_ORE_RESERVES_TITAN" hidden="1">"c9534"</definedName>
    <definedName name="IQ_PROVED_ATTRIB_ORE_RESERVES_URAN" hidden="1">"c9587"</definedName>
    <definedName name="IQ_PROVED_ATTRIB_ORE_RESERVES_ZINC" hidden="1">"c9322"</definedName>
    <definedName name="IQ_PROVED_ORE_RESERVES_ALUM" hidden="1">"c9207"</definedName>
    <definedName name="IQ_PROVED_ORE_RESERVES_COP" hidden="1">"c9151"</definedName>
    <definedName name="IQ_PROVED_ORE_RESERVES_DIAM" hidden="1">"c9631"</definedName>
    <definedName name="IQ_PROVED_ORE_RESERVES_GOLD" hidden="1">"c8992"</definedName>
    <definedName name="IQ_PROVED_ORE_RESERVES_IRON" hidden="1">"c9366"</definedName>
    <definedName name="IQ_PROVED_ORE_RESERVES_LEAD" hidden="1">"c9419"</definedName>
    <definedName name="IQ_PROVED_ORE_RESERVES_MANG" hidden="1">"c9472"</definedName>
    <definedName name="IQ_PROVED_ORE_RESERVES_MOLYB" hidden="1">"c9684"</definedName>
    <definedName name="IQ_PROVED_ORE_RESERVES_NICK" hidden="1">"c9260"</definedName>
    <definedName name="IQ_PROVED_ORE_RESERVES_PLAT" hidden="1">"c9098"</definedName>
    <definedName name="IQ_PROVED_ORE_RESERVES_SILVER" hidden="1">"c9045"</definedName>
    <definedName name="IQ_PROVED_ORE_RESERVES_TITAN" hidden="1">"c9525"</definedName>
    <definedName name="IQ_PROVED_ORE_RESERVES_URAN" hidden="1">"c9578"</definedName>
    <definedName name="IQ_PROVED_ORE_RESERVES_ZINC" hidden="1">"c9313"</definedName>
    <definedName name="IQ_PROVED_RECOV_ATTRIB_RESERVES_ALUM" hidden="1">"c9219"</definedName>
    <definedName name="IQ_PROVED_RECOV_ATTRIB_RESERVES_COAL" hidden="1">"c9803"</definedName>
    <definedName name="IQ_PROVED_RECOV_ATTRIB_RESERVES_COP" hidden="1">"c9163"</definedName>
    <definedName name="IQ_PROVED_RECOV_ATTRIB_RESERVES_DIAM" hidden="1">"c9643"</definedName>
    <definedName name="IQ_PROVED_RECOV_ATTRIB_RESERVES_GOLD" hidden="1">"c9004"</definedName>
    <definedName name="IQ_PROVED_RECOV_ATTRIB_RESERVES_IRON" hidden="1">"c9378"</definedName>
    <definedName name="IQ_PROVED_RECOV_ATTRIB_RESERVES_LEAD" hidden="1">"c9431"</definedName>
    <definedName name="IQ_PROVED_RECOV_ATTRIB_RESERVES_MANG" hidden="1">"c9484"</definedName>
    <definedName name="IQ_PROVED_RECOV_ATTRIB_RESERVES_MET_COAL" hidden="1">"c9743"</definedName>
    <definedName name="IQ_PROVED_RECOV_ATTRIB_RESERVES_MOLYB" hidden="1">"c9696"</definedName>
    <definedName name="IQ_PROVED_RECOV_ATTRIB_RESERVES_NICK" hidden="1">"c9272"</definedName>
    <definedName name="IQ_PROVED_RECOV_ATTRIB_RESERVES_PLAT" hidden="1">"c9110"</definedName>
    <definedName name="IQ_PROVED_RECOV_ATTRIB_RESERVES_SILVER" hidden="1">"c9057"</definedName>
    <definedName name="IQ_PROVED_RECOV_ATTRIB_RESERVES_STEAM" hidden="1">"c9773"</definedName>
    <definedName name="IQ_PROVED_RECOV_ATTRIB_RESERVES_TITAN" hidden="1">"c9537"</definedName>
    <definedName name="IQ_PROVED_RECOV_ATTRIB_RESERVES_URAN" hidden="1">"c9590"</definedName>
    <definedName name="IQ_PROVED_RECOV_ATTRIB_RESERVES_ZINC" hidden="1">"c9325"</definedName>
    <definedName name="IQ_PROVED_RECOV_RESERVES_ALUM" hidden="1">"c9213"</definedName>
    <definedName name="IQ_PROVED_RECOV_RESERVES_COAL" hidden="1">"c9800"</definedName>
    <definedName name="IQ_PROVED_RECOV_RESERVES_COP" hidden="1">"c9157"</definedName>
    <definedName name="IQ_PROVED_RECOV_RESERVES_DIAM" hidden="1">"c9637"</definedName>
    <definedName name="IQ_PROVED_RECOV_RESERVES_GOLD" hidden="1">"c8998"</definedName>
    <definedName name="IQ_PROVED_RECOV_RESERVES_IRON" hidden="1">"c9372"</definedName>
    <definedName name="IQ_PROVED_RECOV_RESERVES_LEAD" hidden="1">"c9425"</definedName>
    <definedName name="IQ_PROVED_RECOV_RESERVES_MANG" hidden="1">"c9478"</definedName>
    <definedName name="IQ_PROVED_RECOV_RESERVES_MET_COAL" hidden="1">"c9740"</definedName>
    <definedName name="IQ_PROVED_RECOV_RESERVES_MOLYB" hidden="1">"c9690"</definedName>
    <definedName name="IQ_PROVED_RECOV_RESERVES_NICK" hidden="1">"c9266"</definedName>
    <definedName name="IQ_PROVED_RECOV_RESERVES_PLAT" hidden="1">"c9104"</definedName>
    <definedName name="IQ_PROVED_RECOV_RESERVES_SILVER" hidden="1">"c9051"</definedName>
    <definedName name="IQ_PROVED_RECOV_RESERVES_STEAM" hidden="1">"c9770"</definedName>
    <definedName name="IQ_PROVED_RECOV_RESERVES_TITAN" hidden="1">"c9531"</definedName>
    <definedName name="IQ_PROVED_RECOV_RESERVES_URAN" hidden="1">"c9584"</definedName>
    <definedName name="IQ_PROVED_RECOV_RESERVES_ZINC" hidden="1">"c9319"</definedName>
    <definedName name="IQ_PROVED_RESERVES_CALORIFIC_VALUE_COAL" hidden="1">"c9797"</definedName>
    <definedName name="IQ_PROVED_RESERVES_CALORIFIC_VALUE_MET_COAL" hidden="1">"c9737"</definedName>
    <definedName name="IQ_PROVED_RESERVES_CALORIFIC_VALUE_STEAM" hidden="1">"c9767"</definedName>
    <definedName name="IQ_PROVED_RESERVES_GRADE_ALUM" hidden="1">"c9208"</definedName>
    <definedName name="IQ_PROVED_RESERVES_GRADE_COP" hidden="1">"c9152"</definedName>
    <definedName name="IQ_PROVED_RESERVES_GRADE_DIAM" hidden="1">"c9632"</definedName>
    <definedName name="IQ_PROVED_RESERVES_GRADE_GOLD" hidden="1">"c8993"</definedName>
    <definedName name="IQ_PROVED_RESERVES_GRADE_IRON" hidden="1">"c9367"</definedName>
    <definedName name="IQ_PROVED_RESERVES_GRADE_LEAD" hidden="1">"c9420"</definedName>
    <definedName name="IQ_PROVED_RESERVES_GRADE_MANG" hidden="1">"c9473"</definedName>
    <definedName name="IQ_PROVED_RESERVES_GRADE_MOLYB" hidden="1">"c9685"</definedName>
    <definedName name="IQ_PROVED_RESERVES_GRADE_NICK" hidden="1">"c9261"</definedName>
    <definedName name="IQ_PROVED_RESERVES_GRADE_PLAT" hidden="1">"c9099"</definedName>
    <definedName name="IQ_PROVED_RESERVES_GRADE_SILVER" hidden="1">"c9046"</definedName>
    <definedName name="IQ_PROVED_RESERVES_GRADE_TITAN" hidden="1">"c9526"</definedName>
    <definedName name="IQ_PROVED_RESERVES_GRADE_URAN" hidden="1">"c9579"</definedName>
    <definedName name="IQ_PROVED_RESERVES_GRADE_ZINC" hidden="1">"c9314"</definedName>
    <definedName name="IQ_PROVISION_10YR_ANN_CAGR" hidden="1">"c6135"</definedName>
    <definedName name="IQ_PROVISION_10YR_ANN_GROWTH" hidden="1">"c1077"</definedName>
    <definedName name="IQ_PROVISION_1YR_ANN_GROWTH" hidden="1">"c1078"</definedName>
    <definedName name="IQ_PROVISION_2YR_ANN_CAGR" hidden="1">"c6136"</definedName>
    <definedName name="IQ_PROVISION_2YR_ANN_GROWTH" hidden="1">"c1079"</definedName>
    <definedName name="IQ_PROVISION_3YR_ANN_CAGR" hidden="1">"c6137"</definedName>
    <definedName name="IQ_PROVISION_3YR_ANN_GROWTH" hidden="1">"c1080"</definedName>
    <definedName name="IQ_PROVISION_5YR_ANN_CAGR" hidden="1">"c6138"</definedName>
    <definedName name="IQ_PROVISION_5YR_ANN_GROWTH" hidden="1">"c1081"</definedName>
    <definedName name="IQ_PROVISION_7YR_ANN_CAGR" hidden="1">"c6139"</definedName>
    <definedName name="IQ_PROVISION_7YR_ANN_GROWTH" hidden="1">"c1082"</definedName>
    <definedName name="IQ_PROVISION_CHARGE_OFFS" hidden="1">"c1083"</definedName>
    <definedName name="IQ_PTBV" hidden="1">"c1084"</definedName>
    <definedName name="IQ_PTBV_AVG" hidden="1">"c1085"</definedName>
    <definedName name="IQ_PURCHASE_FOREIGN_CURRENCIES_FDIC" hidden="1">"c6513"</definedName>
    <definedName name="IQ_PURCHASED_OPTION_CONTRACTS_FDIC" hidden="1">"c6510"</definedName>
    <definedName name="IQ_PURCHASED_OPTION_CONTRACTS_FX_RISK_FDIC" hidden="1">"c6515"</definedName>
    <definedName name="IQ_PURCHASED_OPTION_CONTRACTS_NON_FX_IR_FDIC" hidden="1">"c6520"</definedName>
    <definedName name="IQ_PURCHASES_EQUIP_NONRES_SAAR_APR_FC_UNUSED_UNUSED_UNUSED" hidden="1">"c8491"</definedName>
    <definedName name="IQ_PURCHASES_EQUIP_NONRES_SAAR_APR_UNUSED_UNUSED_UNUSED" hidden="1">"c7611"</definedName>
    <definedName name="IQ_PURCHASES_EQUIP_NONRES_SAAR_FC_UNUSED_UNUSED_UNUSED" hidden="1">"c7831"</definedName>
    <definedName name="IQ_PURCHASES_EQUIP_NONRES_SAAR_POP_FC_UNUSED_UNUSED_UNUSED" hidden="1">"c8051"</definedName>
    <definedName name="IQ_PURCHASES_EQUIP_NONRES_SAAR_POP_UNUSED_UNUSED_UNUSED" hidden="1">"c7171"</definedName>
    <definedName name="IQ_PURCHASES_EQUIP_NONRES_SAAR_UNUSED_UNUSED_UNUSED" hidden="1">"c6951"</definedName>
    <definedName name="IQ_PURCHASES_EQUIP_NONRES_SAAR_YOY_FC_UNUSED_UNUSED_UNUSED" hidden="1">"c8271"</definedName>
    <definedName name="IQ_PURCHASES_EQUIP_NONRES_SAAR_YOY_UNUSED_UNUSED_UNUSED" hidden="1">"c7391"</definedName>
    <definedName name="IQ_PUT_DATE_SCHEDULE" hidden="1">"c2483"</definedName>
    <definedName name="IQ_PUT_NOTIFICATION" hidden="1">"c2485"</definedName>
    <definedName name="IQ_PUT_PRICE_SCHEDULE" hidden="1">"c2484"</definedName>
    <definedName name="IQ_PV_PREMIUMS_NEW_BUSINESS" hidden="1">"c9973"</definedName>
    <definedName name="IQ_QUICK_RATIO" hidden="1">"c1086"</definedName>
    <definedName name="IQ_RATE_COMP_GROWTH_DOMESTIC" hidden="1">"c1087"</definedName>
    <definedName name="IQ_RATE_COMP_GROWTH_FOREIGN" hidden="1">"c1088"</definedName>
    <definedName name="IQ_RAW_INV" hidden="1">"c1089"</definedName>
    <definedName name="IQ_RC" hidden="1">"c2497"</definedName>
    <definedName name="IQ_RC_PCT" hidden="1">"c2498"</definedName>
    <definedName name="IQ_RD_EXP" hidden="1">"c1090"</definedName>
    <definedName name="IQ_RD_EXP_FN" hidden="1">"c1091"</definedName>
    <definedName name="IQ_RE" hidden="1">"c1092"</definedName>
    <definedName name="IQ_RE_DEPR_AMORT" hidden="1">"c8750"</definedName>
    <definedName name="IQ_RE_FCCR" hidden="1">"c8858"</definedName>
    <definedName name="IQ_RE_FCCR_CONT_OPS" hidden="1">"c8859"</definedName>
    <definedName name="IQ_RE_FCCR_INCL_DISC_OPS" hidden="1">"c8860"</definedName>
    <definedName name="IQ_RE_FCCR_INCL_PREF_DIV" hidden="1">"c8861"</definedName>
    <definedName name="IQ_RE_FCCR_INCL_PREF_DIV_CONT_OPS" hidden="1">"c8862"</definedName>
    <definedName name="IQ_RE_FCCR_INCL_PREF_DIV_INCL_DISC_OPS" hidden="1">"c8863"</definedName>
    <definedName name="IQ_RE_FIXED_CHARGES" hidden="1">"c8856"</definedName>
    <definedName name="IQ_RE_FIXED_CHARGES_INCL_PREF_DIV" hidden="1">"c8857"</definedName>
    <definedName name="IQ_RE_FORECLOSURE_FDIC" hidden="1">"c6332"</definedName>
    <definedName name="IQ_RE_GAIN_LOSS_SALE_ASSETS" hidden="1">"c8751"</definedName>
    <definedName name="IQ_RE_INVEST_FDIC" hidden="1">"c6331"</definedName>
    <definedName name="IQ_RE_LOANS_DOMESTIC_CHARGE_OFFS_FDIC" hidden="1">"c6589"</definedName>
    <definedName name="IQ_RE_LOANS_DOMESTIC_FDIC" hidden="1">"c6309"</definedName>
    <definedName name="IQ_RE_LOANS_DOMESTIC_NET_CHARGE_OFFS_FDIC" hidden="1">"c6627"</definedName>
    <definedName name="IQ_RE_LOANS_DOMESTIC_RECOVERIES_FDIC" hidden="1">"c6608"</definedName>
    <definedName name="IQ_RE_LOANS_FDIC" hidden="1">"c6308"</definedName>
    <definedName name="IQ_RE_LOANS_FOREIGN_CHARGE_OFFS_FDIC" hidden="1">"c6595"</definedName>
    <definedName name="IQ_RE_LOANS_FOREIGN_NET_CHARGE_OFFS_FDIC" hidden="1">"c6633"</definedName>
    <definedName name="IQ_RE_LOANS_FOREIGN_RECOVERIES_FDIC" hidden="1">"c6614"</definedName>
    <definedName name="IQ_RE_MAINT_CAPEX" hidden="1">"c8755"</definedName>
    <definedName name="IQ_RE_MINORITY_INTEREST" hidden="1">"c8752"</definedName>
    <definedName name="IQ_RE_NET_INCOME" hidden="1">"c8749"</definedName>
    <definedName name="IQ_RE_NOI" hidden="1">"c8864"</definedName>
    <definedName name="IQ_RE_NOI_GROWTH_SAME_PROP" hidden="1">"c8866"</definedName>
    <definedName name="IQ_RE_NOI_SAME_PROP" hidden="1">"c8865"</definedName>
    <definedName name="IQ_RE_OTHER_ITEMS" hidden="1">"c8753"</definedName>
    <definedName name="IQ_REAL_ESTATE" hidden="1">"c1093"</definedName>
    <definedName name="IQ_REAL_ESTATE_ASSETS" hidden="1">"c1094"</definedName>
    <definedName name="IQ_RECOVERIES_1_4_FAMILY_LOANS_FDIC" hidden="1">"c6707"</definedName>
    <definedName name="IQ_RECOVERIES_AUTO_LOANS_FDIC" hidden="1">"c6701"</definedName>
    <definedName name="IQ_RECOVERIES_CL_LOANS_FDIC" hidden="1">"c6702"</definedName>
    <definedName name="IQ_RECOVERIES_CREDIT_CARDS_RECEIVABLES_FDIC" hidden="1">"c6704"</definedName>
    <definedName name="IQ_RECOVERIES_HOME_EQUITY_LINES_FDIC" hidden="1">"c6705"</definedName>
    <definedName name="IQ_RECOVERIES_OTHER_CONSUMER_LOANS_FDIC" hidden="1">"c6703"</definedName>
    <definedName name="IQ_RECOVERIES_OTHER_LOANS_FDIC" hidden="1">"c6706"</definedName>
    <definedName name="IQ_RECURRING_PROFIT_ACT_OR_EST_CIQ" hidden="1">"c5045"</definedName>
    <definedName name="IQ_RECURRING_PROFIT_SHARE_ACT_OR_EST_CIQ" hidden="1">"c5046"</definedName>
    <definedName name="IQ_REDEEM_PREF_STOCK" hidden="1">"c1417"</definedName>
    <definedName name="IQ_REF_ENTITY" hidden="1">"c6033"</definedName>
    <definedName name="IQ_REF_ENTITY_CIQID" hidden="1">"c6024"</definedName>
    <definedName name="IQ_REF_ENTITY_TICKER" hidden="1">"c6023"</definedName>
    <definedName name="IQ_REG_ASSETS" hidden="1">"c1095"</definedName>
    <definedName name="IQ_REINSUR_PAY" hidden="1">"c1096"</definedName>
    <definedName name="IQ_REINSUR_PAY_CF" hidden="1">"c1097"</definedName>
    <definedName name="IQ_REINSUR_RECOVER" hidden="1">"c1098"</definedName>
    <definedName name="IQ_REINSUR_RECOVER_CF" hidden="1">"c1099"</definedName>
    <definedName name="IQ_REINSURANCE" hidden="1">"c1100"</definedName>
    <definedName name="IQ_RELATED_PLANS_FDIC" hidden="1">"c6320"</definedName>
    <definedName name="IQ_RENT_PER_SQ_FT_AVG_CONSOL" hidden="1">"c8846"</definedName>
    <definedName name="IQ_RENT_PER_SQ_FT_AVG_MANAGED" hidden="1">"c8848"</definedName>
    <definedName name="IQ_RENT_PER_SQ_FT_AVG_OTHER" hidden="1">"c8849"</definedName>
    <definedName name="IQ_RENT_PER_SQ_FT_AVG_TOTAL" hidden="1">"c8850"</definedName>
    <definedName name="IQ_RENT_PER_SQ_FT_AVG_UNCONSOL" hidden="1">"c8847"</definedName>
    <definedName name="IQ_RENT_PER_SQ_METER_AVG_CONSOL" hidden="1">"c8851"</definedName>
    <definedName name="IQ_RENT_PER_SQ_METER_AVG_MANAGED" hidden="1">"c8853"</definedName>
    <definedName name="IQ_RENT_PER_SQ_METER_AVG_OTHER" hidden="1">"c8854"</definedName>
    <definedName name="IQ_RENT_PER_SQ_METER_AVG_TOTAL" hidden="1">"c8855"</definedName>
    <definedName name="IQ_RENT_PER_SQ_METER_AVG_UNCONSOL" hidden="1">"c8852"</definedName>
    <definedName name="IQ_RENTAL_REV" hidden="1">"c1101"</definedName>
    <definedName name="IQ_RES_CONST_REAL_APR_FC_UNUSED_UNUSED_UNUSED" hidden="1">"c8536"</definedName>
    <definedName name="IQ_RES_CONST_REAL_APR_UNUSED_UNUSED_UNUSED" hidden="1">"c7656"</definedName>
    <definedName name="IQ_RES_CONST_REAL_FC_UNUSED_UNUSED_UNUSED" hidden="1">"c7876"</definedName>
    <definedName name="IQ_RES_CONST_REAL_POP_FC_UNUSED_UNUSED_UNUSED" hidden="1">"c8096"</definedName>
    <definedName name="IQ_RES_CONST_REAL_POP_UNUSED_UNUSED_UNUSED" hidden="1">"c7216"</definedName>
    <definedName name="IQ_RES_CONST_REAL_SAAR_APR_FC_UNUSED_UNUSED_UNUSED" hidden="1">"c8537"</definedName>
    <definedName name="IQ_RES_CONST_REAL_SAAR_APR_UNUSED_UNUSED_UNUSED" hidden="1">"c7657"</definedName>
    <definedName name="IQ_RES_CONST_REAL_SAAR_FC_UNUSED_UNUSED_UNUSED" hidden="1">"c7877"</definedName>
    <definedName name="IQ_RES_CONST_REAL_SAAR_POP_FC_UNUSED_UNUSED_UNUSED" hidden="1">"c8097"</definedName>
    <definedName name="IQ_RES_CONST_REAL_SAAR_POP_UNUSED_UNUSED_UNUSED" hidden="1">"c7217"</definedName>
    <definedName name="IQ_RES_CONST_REAL_SAAR_UNUSED_UNUSED_UNUSED" hidden="1">"c6997"</definedName>
    <definedName name="IQ_RES_CONST_REAL_SAAR_YOY_FC_UNUSED_UNUSED_UNUSED" hidden="1">"c8317"</definedName>
    <definedName name="IQ_RES_CONST_REAL_SAAR_YOY_UNUSED_UNUSED_UNUSED" hidden="1">"c7437"</definedName>
    <definedName name="IQ_RES_CONST_REAL_UNUSED_UNUSED_UNUSED" hidden="1">"c6996"</definedName>
    <definedName name="IQ_RES_CONST_REAL_YOY_FC_UNUSED_UNUSED_UNUSED" hidden="1">"c8316"</definedName>
    <definedName name="IQ_RES_CONST_REAL_YOY_UNUSED_UNUSED_UNUSED" hidden="1">"c7436"</definedName>
    <definedName name="IQ_RES_CONST_SAAR_APR_FC_UNUSED_UNUSED_UNUSED" hidden="1">"c8540"</definedName>
    <definedName name="IQ_RES_CONST_SAAR_APR_UNUSED_UNUSED_UNUSED" hidden="1">"c7660"</definedName>
    <definedName name="IQ_RES_CONST_SAAR_FC_UNUSED_UNUSED_UNUSED" hidden="1">"c7880"</definedName>
    <definedName name="IQ_RES_CONST_SAAR_POP_FC_UNUSED_UNUSED_UNUSED" hidden="1">"c8100"</definedName>
    <definedName name="IQ_RES_CONST_SAAR_POP_UNUSED_UNUSED_UNUSED" hidden="1">"c7220"</definedName>
    <definedName name="IQ_RES_CONST_SAAR_UNUSED_UNUSED_UNUSED" hidden="1">"c7000"</definedName>
    <definedName name="IQ_RES_CONST_SAAR_YOY_FC_UNUSED_UNUSED_UNUSED" hidden="1">"c8320"</definedName>
    <definedName name="IQ_RES_CONST_SAAR_YOY_UNUSED_UNUSED_UNUSED" hidden="1">"c7440"</definedName>
    <definedName name="IQ_RES_FIXED_INVEST" hidden="1">"c7001"</definedName>
    <definedName name="IQ_RES_FIXED_INVEST_APR" hidden="1">"c7661"</definedName>
    <definedName name="IQ_RES_FIXED_INVEST_APR_FC" hidden="1">"c8541"</definedName>
    <definedName name="IQ_RES_FIXED_INVEST_FC" hidden="1">"c7881"</definedName>
    <definedName name="IQ_RES_FIXED_INVEST_POP" hidden="1">"c7221"</definedName>
    <definedName name="IQ_RES_FIXED_INVEST_POP_FC" hidden="1">"c8101"</definedName>
    <definedName name="IQ_RES_FIXED_INVEST_REAL" hidden="1">"c6998"</definedName>
    <definedName name="IQ_RES_FIXED_INVEST_REAL_APR" hidden="1">"c7658"</definedName>
    <definedName name="IQ_RES_FIXED_INVEST_REAL_APR_FC" hidden="1">"c8538"</definedName>
    <definedName name="IQ_RES_FIXED_INVEST_REAL_FC" hidden="1">"c7878"</definedName>
    <definedName name="IQ_RES_FIXED_INVEST_REAL_POP" hidden="1">"c7218"</definedName>
    <definedName name="IQ_RES_FIXED_INVEST_REAL_POP_FC" hidden="1">"c8098"</definedName>
    <definedName name="IQ_RES_FIXED_INVEST_REAL_YOY" hidden="1">"c7438"</definedName>
    <definedName name="IQ_RES_FIXED_INVEST_REAL_YOY_FC" hidden="1">"c8318"</definedName>
    <definedName name="IQ_RES_FIXED_INVEST_SAAR" hidden="1">"c11994"</definedName>
    <definedName name="IQ_RES_FIXED_INVEST_SAAR_APR" hidden="1">"c11997"</definedName>
    <definedName name="IQ_RES_FIXED_INVEST_SAAR_POP" hidden="1">"c11995"</definedName>
    <definedName name="IQ_RES_FIXED_INVEST_SAAR_REAL" hidden="1">"c11990"</definedName>
    <definedName name="IQ_RES_FIXED_INVEST_SAAR_REAL_APR" hidden="1">"c11993"</definedName>
    <definedName name="IQ_RES_FIXED_INVEST_SAAR_REAL_POP" hidden="1">"c11991"</definedName>
    <definedName name="IQ_RES_FIXED_INVEST_SAAR_REAL_YOY" hidden="1">"c11992"</definedName>
    <definedName name="IQ_RES_FIXED_INVEST_SAAR_YOY" hidden="1">"c11996"</definedName>
    <definedName name="IQ_RES_FIXED_INVEST_YOY" hidden="1">"c7441"</definedName>
    <definedName name="IQ_RES_FIXED_INVEST_YOY_FC" hidden="1">"c8321"</definedName>
    <definedName name="IQ_RESEARCH_DEV" hidden="1">"c1419"</definedName>
    <definedName name="IQ_RESIDENTIAL_LOANS" hidden="1">"c1102"</definedName>
    <definedName name="IQ_REST_ACQUIRED_AFFILIATED_OTHER_RESTAURANTS" hidden="1">"c9873"</definedName>
    <definedName name="IQ_REST_ACQUIRED_FRANCHISE_RESTAURANTS" hidden="1">"c9867"</definedName>
    <definedName name="IQ_REST_ACQUIRED_OWNED_RESTAURANTS" hidden="1">"c9861"</definedName>
    <definedName name="IQ_REST_ACQUIRED_RESTAURANTS" hidden="1">"c9855"</definedName>
    <definedName name="IQ_REST_AFFILIATED_OTHER_RESTAURANTS_BEG" hidden="1">"c9871"</definedName>
    <definedName name="IQ_REST_AVG_VALUE_TRANSACTION" hidden="1">"c9887"</definedName>
    <definedName name="IQ_REST_AVG_VALUE_TRANSACTION_GROWTH" hidden="1">"c9888"</definedName>
    <definedName name="IQ_REST_AVG_WEEKLY_SALES" hidden="1">"c9879"</definedName>
    <definedName name="IQ_REST_AVG_WEEKLY_SALES_FRANCHISE" hidden="1">"c9877"</definedName>
    <definedName name="IQ_REST_AVG_WEEKLY_SALES_OWNED" hidden="1">"c9878"</definedName>
    <definedName name="IQ_REST_CLOSED_AFFILIATED_OTHER_RESTAURANTS" hidden="1">"c9874"</definedName>
    <definedName name="IQ_REST_CLOSED_FRANCHISE_RESTAURANTS" hidden="1">"c9868"</definedName>
    <definedName name="IQ_REST_CLOSED_OWNED_RESTAURANTS" hidden="1">"c9862"</definedName>
    <definedName name="IQ_REST_CLOSED_RESTAURANTS" hidden="1">"c9856"</definedName>
    <definedName name="IQ_REST_FRANCHISE_RESTAURANTS_BEG" hidden="1">"c9865"</definedName>
    <definedName name="IQ_REST_GUEST_COUNT_GROWTH" hidden="1">"c9889"</definedName>
    <definedName name="IQ_REST_OPENED_AFFILIATED_OTHER_RESTAURANTS" hidden="1">"c9872"</definedName>
    <definedName name="IQ_REST_OPENED_FRANCHISE_RESTAURANTS" hidden="1">"c9866"</definedName>
    <definedName name="IQ_REST_OPENED_OWNED_RESTAURANTS" hidden="1">"c9860"</definedName>
    <definedName name="IQ_REST_OPENED_RESTAURANTS" hidden="1">"c9854"</definedName>
    <definedName name="IQ_REST_OPERATING_MARGIN" hidden="1">"c9886"</definedName>
    <definedName name="IQ_REST_OWNED_RESTAURANTS_BEG" hidden="1">"c9859"</definedName>
    <definedName name="IQ_REST_RESTAURANTS_BEG" hidden="1">"c9853"</definedName>
    <definedName name="IQ_REST_SAME_RESTAURANT_SALES" hidden="1">"c9885"</definedName>
    <definedName name="IQ_REST_SAME_RESTAURANT_SALES_FRANCHISE" hidden="1">"c9883"</definedName>
    <definedName name="IQ_REST_SAME_RESTAURANT_SALES_GROWTH" hidden="1">"c9882"</definedName>
    <definedName name="IQ_REST_SAME_RESTAURANT_SALES_GROWTH_FRANCHISE" hidden="1">"c9880"</definedName>
    <definedName name="IQ_REST_SAME_RESTAURANT_SALES_GROWTH_OWNED" hidden="1">"c9881"</definedName>
    <definedName name="IQ_REST_SAME_RESTAURANT_SALES_OWNED" hidden="1">"c9884"</definedName>
    <definedName name="IQ_REST_SOLD_AFFILIATED_OTHER_RESTAURANTS" hidden="1">"c9875"</definedName>
    <definedName name="IQ_REST_SOLD_FRANCHISE_RESTAURANTS" hidden="1">"c9869"</definedName>
    <definedName name="IQ_REST_SOLD_OWNED_RESTAURANTS" hidden="1">"c9863"</definedName>
    <definedName name="IQ_REST_SOLD_RESTAURANTS" hidden="1">"c9857"</definedName>
    <definedName name="IQ_REST_TOTAL_AFFILIATED_OTHER_RESTAURANTS" hidden="1">"c9876"</definedName>
    <definedName name="IQ_REST_TOTAL_FRANCHISE_RESTAURANTS" hidden="1">"c9870"</definedName>
    <definedName name="IQ_REST_TOTAL_OWNED_RESTAURANTS" hidden="1">"c9864"</definedName>
    <definedName name="IQ_REST_TOTAL_RESTAURANTS" hidden="1">"c9858"</definedName>
    <definedName name="IQ_RESTATEMENT_BS" hidden="1">"c1643"</definedName>
    <definedName name="IQ_RESTATEMENT_CF" hidden="1">"c1644"</definedName>
    <definedName name="IQ_RESTATEMENT_IS" hidden="1">"c1642"</definedName>
    <definedName name="IQ_RESTATEMENTS_NET_FDIC" hidden="1">"c6500"</definedName>
    <definedName name="IQ_RESTR_STOCK_COMP" hidden="1">"c3506"</definedName>
    <definedName name="IQ_RESTR_STOCK_COMP_PRETAX" hidden="1">"c3504"</definedName>
    <definedName name="IQ_RESTR_STOCK_COMP_TAX" hidden="1">"c3505"</definedName>
    <definedName name="IQ_RESTRICTED_CASH" hidden="1">"c1103"</definedName>
    <definedName name="IQ_RESTRICTED_CASH_NON_CURRENT" hidden="1">"c6192"</definedName>
    <definedName name="IQ_RESTRICTED_CASH_TOTAL" hidden="1">"c6193"</definedName>
    <definedName name="IQ_RESTRUCTURE" hidden="1">"c1104"</definedName>
    <definedName name="IQ_RESTRUCTURE_BNK" hidden="1">"c1105"</definedName>
    <definedName name="IQ_RESTRUCTURE_BR" hidden="1">"c1106"</definedName>
    <definedName name="IQ_RESTRUCTURE_CF" hidden="1">"c1107"</definedName>
    <definedName name="IQ_RESTRUCTURE_FIN" hidden="1">"c1108"</definedName>
    <definedName name="IQ_RESTRUCTURE_INS" hidden="1">"c1109"</definedName>
    <definedName name="IQ_RESTRUCTURE_RE" hidden="1">"c6264"</definedName>
    <definedName name="IQ_RESTRUCTURE_REIT" hidden="1">"c1110"</definedName>
    <definedName name="IQ_RESTRUCTURE_UTI" hidden="1">"c1111"</definedName>
    <definedName name="IQ_RESTRUCTURED_LOANS" hidden="1">"c1112"</definedName>
    <definedName name="IQ_RESTRUCTURED_LOANS_1_4_RESIDENTIAL_FDIC" hidden="1">"c6378"</definedName>
    <definedName name="IQ_RESTRUCTURED_LOANS_LEASES_FDIC" hidden="1">"c6377"</definedName>
    <definedName name="IQ_RESTRUCTURED_LOANS_NON_1_4_FDIC" hidden="1">"c6379"</definedName>
    <definedName name="IQ_RETAIL_ACQUIRED_AFFILIATED_OTHER_STORES" hidden="1">"c9892"</definedName>
    <definedName name="IQ_RETAIL_ACQUIRED_FRANCHISE_STORES" hidden="1">"c2895"</definedName>
    <definedName name="IQ_RETAIL_ACQUIRED_OWNED_STORES" hidden="1">"c2903"</definedName>
    <definedName name="IQ_RETAIL_ACQUIRED_STORES" hidden="1">"c2887"</definedName>
    <definedName name="IQ_RETAIL_AFFILIATED_OTHER_STORES_BEG" hidden="1">"c9890"</definedName>
    <definedName name="IQ_RETAIL_AVG_SQ_METERS_GROSS" hidden="1">"c9908"</definedName>
    <definedName name="IQ_RETAIL_AVG_SQ_METERS_NET" hidden="1">"c9907"</definedName>
    <definedName name="IQ_RETAIL_AVG_STORE_SIZE_GROSS" hidden="1">"c2066"</definedName>
    <definedName name="IQ_RETAIL_AVG_STORE_SIZE_NET" hidden="1">"c2067"</definedName>
    <definedName name="IQ_RETAIL_AVG_VALUE_TRANSACTION" hidden="1">"c9915"</definedName>
    <definedName name="IQ_RETAIL_AVG_VALUE_TRANSACTION_GROWTH" hidden="1">"c9916"</definedName>
    <definedName name="IQ_RETAIL_AVG_WK_SALES" hidden="1">"c2891"</definedName>
    <definedName name="IQ_RETAIL_AVG_WK_SALES_FRANCHISE" hidden="1">"c2899"</definedName>
    <definedName name="IQ_RETAIL_AVG_WK_SALES_OWNED" hidden="1">"c2907"</definedName>
    <definedName name="IQ_RETAIL_CLOSED_AFFILIATED_OTHER_STORES" hidden="1">"c9893"</definedName>
    <definedName name="IQ_RETAIL_CLOSED_FRANCHISE_STORES" hidden="1">"c2896"</definedName>
    <definedName name="IQ_RETAIL_CLOSED_OWNED_STORES" hidden="1">"c2904"</definedName>
    <definedName name="IQ_RETAIL_CLOSED_STORES" hidden="1">"c2063"</definedName>
    <definedName name="IQ_RETAIL_DEPOSITS_FDIC" hidden="1">"c6488"</definedName>
    <definedName name="IQ_RETAIL_FRANCHISE_STORES_BEG" hidden="1">"c2893"</definedName>
    <definedName name="IQ_RETAIL_GROSS_MARGIN" hidden="1">"c9899"</definedName>
    <definedName name="IQ_RETAIL_IS_RATIO" hidden="1">"c7002"</definedName>
    <definedName name="IQ_RETAIL_IS_RATIO_FC" hidden="1">"c7882"</definedName>
    <definedName name="IQ_RETAIL_IS_RATIO_POP" hidden="1">"c7222"</definedName>
    <definedName name="IQ_RETAIL_IS_RATIO_POP_FC" hidden="1">"c8102"</definedName>
    <definedName name="IQ_RETAIL_IS_RATIO_YOY" hidden="1">"c7442"</definedName>
    <definedName name="IQ_RETAIL_IS_RATIO_YOY_FC" hidden="1">"c8322"</definedName>
    <definedName name="IQ_RETAIL_MERCHANDISE_MARGIN" hidden="1">"c9901"</definedName>
    <definedName name="IQ_RETAIL_OPENED_AFFILIATED_OTHER_STORES" hidden="1">"c9891"</definedName>
    <definedName name="IQ_RETAIL_OPENED_FRANCHISE_STORES" hidden="1">"c2894"</definedName>
    <definedName name="IQ_RETAIL_OPENED_OWNED_STORES" hidden="1">"c2902"</definedName>
    <definedName name="IQ_RETAIL_OPENED_STORES" hidden="1">"c2062"</definedName>
    <definedName name="IQ_RETAIL_OPERATING_MARGIN" hidden="1">"c9900"</definedName>
    <definedName name="IQ_RETAIL_OWNED_STORES_BEG" hidden="1">"c2901"</definedName>
    <definedName name="IQ_RETAIL_SALES" hidden="1">"c7003"</definedName>
    <definedName name="IQ_RETAIL_SALES_APR" hidden="1">"c7663"</definedName>
    <definedName name="IQ_RETAIL_SALES_APR_FC" hidden="1">"c8543"</definedName>
    <definedName name="IQ_RETAIL_SALES_CATALOG" hidden="1">"c9903"</definedName>
    <definedName name="IQ_RETAIL_SALES_FC" hidden="1">"c7883"</definedName>
    <definedName name="IQ_RETAIL_SALES_FOOD" hidden="1">"c7004"</definedName>
    <definedName name="IQ_RETAIL_SALES_FOOD_APR" hidden="1">"c7664"</definedName>
    <definedName name="IQ_RETAIL_SALES_FOOD_APR_FC" hidden="1">"c8544"</definedName>
    <definedName name="IQ_RETAIL_SALES_FOOD_EXCL_VEHICLE" hidden="1">"c7005"</definedName>
    <definedName name="IQ_RETAIL_SALES_FOOD_EXCL_VEHICLE_APR" hidden="1">"c7665"</definedName>
    <definedName name="IQ_RETAIL_SALES_FOOD_EXCL_VEHICLE_APR_FC" hidden="1">"c8545"</definedName>
    <definedName name="IQ_RETAIL_SALES_FOOD_EXCL_VEHICLE_FC" hidden="1">"c7885"</definedName>
    <definedName name="IQ_RETAIL_SALES_FOOD_EXCL_VEHICLE_POP" hidden="1">"c7225"</definedName>
    <definedName name="IQ_RETAIL_SALES_FOOD_EXCL_VEHICLE_POP_FC" hidden="1">"c8105"</definedName>
    <definedName name="IQ_RETAIL_SALES_FOOD_EXCL_VEHICLE_YOY" hidden="1">"c7445"</definedName>
    <definedName name="IQ_RETAIL_SALES_FOOD_EXCL_VEHICLE_YOY_FC" hidden="1">"c8325"</definedName>
    <definedName name="IQ_RETAIL_SALES_FOOD_FC" hidden="1">"c7884"</definedName>
    <definedName name="IQ_RETAIL_SALES_FOOD_POP" hidden="1">"c7224"</definedName>
    <definedName name="IQ_RETAIL_SALES_FOOD_POP_FC" hidden="1">"c8104"</definedName>
    <definedName name="IQ_RETAIL_SALES_FOOD_YOY" hidden="1">"c7444"</definedName>
    <definedName name="IQ_RETAIL_SALES_FOOD_YOY_FC" hidden="1">"c8324"</definedName>
    <definedName name="IQ_RETAIL_SALES_ONLINE" hidden="1">"c9904"</definedName>
    <definedName name="IQ_RETAIL_SALES_POP" hidden="1">"c7223"</definedName>
    <definedName name="IQ_RETAIL_SALES_POP_FC" hidden="1">"c8103"</definedName>
    <definedName name="IQ_RETAIL_SALES_RETAIL" hidden="1">"c9902"</definedName>
    <definedName name="IQ_RETAIL_SALES_SAAR" hidden="1">"c7009"</definedName>
    <definedName name="IQ_RETAIL_SALES_SAAR_APR" hidden="1">"c7669"</definedName>
    <definedName name="IQ_RETAIL_SALES_SAAR_APR_FC" hidden="1">"c8549"</definedName>
    <definedName name="IQ_RETAIL_SALES_SAAR_FC" hidden="1">"c7889"</definedName>
    <definedName name="IQ_RETAIL_SALES_SAAR_POP" hidden="1">"c7229"</definedName>
    <definedName name="IQ_RETAIL_SALES_SAAR_POP_FC" hidden="1">"c8109"</definedName>
    <definedName name="IQ_RETAIL_SALES_SAAR_YOY" hidden="1">"c7449"</definedName>
    <definedName name="IQ_RETAIL_SALES_SAAR_YOY_FC" hidden="1">"c8329"</definedName>
    <definedName name="IQ_RETAIL_SALES_SQ_METER_COMPARABLE_GROSS" hidden="1">"c9914"</definedName>
    <definedName name="IQ_RETAIL_SALES_SQ_METER_COMPARABLE_NET" hidden="1">"c9913"</definedName>
    <definedName name="IQ_RETAIL_SALES_SQ_METER_GROSS" hidden="1">"c9910"</definedName>
    <definedName name="IQ_RETAIL_SALES_SQ_METER_NET" hidden="1">"c9909"</definedName>
    <definedName name="IQ_RETAIL_SALES_SQ_METER_OWNED_GROSS" hidden="1">"c9912"</definedName>
    <definedName name="IQ_RETAIL_SALES_SQ_METER_OWNED_NET" hidden="1">"c9911"</definedName>
    <definedName name="IQ_RETAIL_SALES_SQFT_ALL_GROSS" hidden="1">"c2138"</definedName>
    <definedName name="IQ_RETAIL_SALES_SQFT_ALL_NET" hidden="1">"c2139"</definedName>
    <definedName name="IQ_RETAIL_SALES_SQFT_COMPARABLE_GROSS" hidden="1">"c2136"</definedName>
    <definedName name="IQ_RETAIL_SALES_SQFT_COMPARABLE_NET" hidden="1">"c2137"</definedName>
    <definedName name="IQ_RETAIL_SALES_SQFT_OWNED_GROSS" hidden="1">"c2134"</definedName>
    <definedName name="IQ_RETAIL_SALES_SQFT_OWNED_NET" hidden="1">"c2135"</definedName>
    <definedName name="IQ_RETAIL_SALES_VALUE_INDEX" hidden="1">"c7006"</definedName>
    <definedName name="IQ_RETAIL_SALES_VALUE_INDEX_APR" hidden="1">"c7666"</definedName>
    <definedName name="IQ_RETAIL_SALES_VALUE_INDEX_APR_FC" hidden="1">"c8546"</definedName>
    <definedName name="IQ_RETAIL_SALES_VALUE_INDEX_FC" hidden="1">"c7886"</definedName>
    <definedName name="IQ_RETAIL_SALES_VALUE_INDEX_POP" hidden="1">"c7226"</definedName>
    <definedName name="IQ_RETAIL_SALES_VALUE_INDEX_POP_FC" hidden="1">"c8106"</definedName>
    <definedName name="IQ_RETAIL_SALES_VALUE_INDEX_YOY" hidden="1">"c7446"</definedName>
    <definedName name="IQ_RETAIL_SALES_VALUE_INDEX_YOY_FC" hidden="1">"c8326"</definedName>
    <definedName name="IQ_RETAIL_SALES_VOL_INDEX" hidden="1">"c7007"</definedName>
    <definedName name="IQ_RETAIL_SALES_VOL_INDEX_APR" hidden="1">"c7667"</definedName>
    <definedName name="IQ_RETAIL_SALES_VOL_INDEX_APR_FC" hidden="1">"c8547"</definedName>
    <definedName name="IQ_RETAIL_SALES_VOL_INDEX_EXCL_MOTOR" hidden="1">"c7008"</definedName>
    <definedName name="IQ_RETAIL_SALES_VOL_INDEX_EXCL_MOTOR_APR" hidden="1">"c7668"</definedName>
    <definedName name="IQ_RETAIL_SALES_VOL_INDEX_EXCL_MOTOR_APR_FC" hidden="1">"c8548"</definedName>
    <definedName name="IQ_RETAIL_SALES_VOL_INDEX_EXCL_MOTOR_FC" hidden="1">"c7888"</definedName>
    <definedName name="IQ_RETAIL_SALES_VOL_INDEX_EXCL_MOTOR_POP" hidden="1">"c7228"</definedName>
    <definedName name="IQ_RETAIL_SALES_VOL_INDEX_EXCL_MOTOR_POP_FC" hidden="1">"c8108"</definedName>
    <definedName name="IQ_RETAIL_SALES_VOL_INDEX_EXCL_MOTOR_YOY" hidden="1">"c7448"</definedName>
    <definedName name="IQ_RETAIL_SALES_VOL_INDEX_EXCL_MOTOR_YOY_FC" hidden="1">"c8328"</definedName>
    <definedName name="IQ_RETAIL_SALES_VOL_INDEX_FC" hidden="1">"c7887"</definedName>
    <definedName name="IQ_RETAIL_SALES_VOL_INDEX_POP" hidden="1">"c7227"</definedName>
    <definedName name="IQ_RETAIL_SALES_VOL_INDEX_POP_FC" hidden="1">"c8107"</definedName>
    <definedName name="IQ_RETAIL_SALES_VOL_INDEX_YOY" hidden="1">"c7447"</definedName>
    <definedName name="IQ_RETAIL_SALES_VOL_INDEX_YOY_FC" hidden="1">"c8327"</definedName>
    <definedName name="IQ_RETAIL_SALES_YOY" hidden="1">"c7443"</definedName>
    <definedName name="IQ_RETAIL_SALES_YOY_FC" hidden="1">"c8323"</definedName>
    <definedName name="IQ_RETAIL_SAME_STORE_SALES" hidden="1">"c9898"</definedName>
    <definedName name="IQ_RETAIL_SAME_STORE_SALES_FRANCHISE" hidden="1">"c9896"</definedName>
    <definedName name="IQ_RETAIL_SAME_STORE_SALES_OWNED" hidden="1">"c9897"</definedName>
    <definedName name="IQ_RETAIL_SOLD_AFFILIATED_OTHER_STORES" hidden="1">"c9894"</definedName>
    <definedName name="IQ_RETAIL_SOLD_FRANCHISE_STORES" hidden="1">"c2897"</definedName>
    <definedName name="IQ_RETAIL_SOLD_OWNED_STORES" hidden="1">"c2905"</definedName>
    <definedName name="IQ_RETAIL_SOLD_STORES" hidden="1">"c2889"</definedName>
    <definedName name="IQ_RETAIL_SQ_FOOTAGE" hidden="1">"c2064"</definedName>
    <definedName name="IQ_RETAIL_STORE_SELLING_AREA" hidden="1">"c2065"</definedName>
    <definedName name="IQ_RETAIL_STORES_BEG" hidden="1">"c2885"</definedName>
    <definedName name="IQ_RETAIL_TOTAL_AFFILIATED_OTHER_STORES" hidden="1">"c9895"</definedName>
    <definedName name="IQ_RETAIL_TOTAL_FRANCHISE_STORES" hidden="1">"c2898"</definedName>
    <definedName name="IQ_RETAIL_TOTAL_OWNED_STORES" hidden="1">"c2906"</definedName>
    <definedName name="IQ_RETAIL_TOTAL_SQ_METERS_GROSS" hidden="1">"c9906"</definedName>
    <definedName name="IQ_RETAIL_TOTAL_SQ_METERS_NET" hidden="1">"c9905"</definedName>
    <definedName name="IQ_RETAIL_TOTAL_STORES" hidden="1">"c2061"</definedName>
    <definedName name="IQ_RETAINED_EARN" hidden="1">"c1420"</definedName>
    <definedName name="IQ_RETAINED_EARNINGS_AVERAGE_EQUITY_FDIC" hidden="1">"c6733"</definedName>
    <definedName name="IQ_RETURN_ASSETS" hidden="1">"c1113"</definedName>
    <definedName name="IQ_RETURN_ASSETS_BANK" hidden="1">"c1114"</definedName>
    <definedName name="IQ_RETURN_ASSETS_BROK" hidden="1">"c1115"</definedName>
    <definedName name="IQ_RETURN_ASSETS_FDIC" hidden="1">"c6730"</definedName>
    <definedName name="IQ_RETURN_ASSETS_FS" hidden="1">"c1116"</definedName>
    <definedName name="IQ_RETURN_CAPITAL" hidden="1">"c1117"</definedName>
    <definedName name="IQ_RETURN_EMBEDDED_VALUE" hidden="1">"c9974"</definedName>
    <definedName name="IQ_RETURN_EQUITY" hidden="1">"c1118"</definedName>
    <definedName name="IQ_RETURN_EQUITY_BANK" hidden="1">"c1119"</definedName>
    <definedName name="IQ_RETURN_EQUITY_BROK" hidden="1">"c1120"</definedName>
    <definedName name="IQ_RETURN_EQUITY_FDIC" hidden="1">"c6732"</definedName>
    <definedName name="IQ_RETURN_EQUITY_FS" hidden="1">"c1121"</definedName>
    <definedName name="IQ_RETURN_INVESTMENT" hidden="1">"c1421"</definedName>
    <definedName name="IQ_REV" hidden="1">"c1122"</definedName>
    <definedName name="IQ_REV_AP" hidden="1">"c8873"</definedName>
    <definedName name="IQ_REV_AP_ABS" hidden="1">"c8892"</definedName>
    <definedName name="IQ_REV_BEFORE_LL" hidden="1">"c1123"</definedName>
    <definedName name="IQ_REV_NAME_AP" hidden="1">"c8911"</definedName>
    <definedName name="IQ_REV_NAME_AP_ABS" hidden="1">"c8930"</definedName>
    <definedName name="IQ_REV_STDDEV_EST" hidden="1">"c1124"</definedName>
    <definedName name="IQ_REV_STDDEV_EST_CIQ" hidden="1">"c3621"</definedName>
    <definedName name="IQ_REV_UTI" hidden="1">"c1125"</definedName>
    <definedName name="IQ_REVALUATION_GAINS_FDIC" hidden="1">"c6428"</definedName>
    <definedName name="IQ_REVALUATION_LOSSES_FDIC" hidden="1">"c6429"</definedName>
    <definedName name="IQ_REVENUE" hidden="1">"c1422"</definedName>
    <definedName name="IQ_REVENUE_ACT_OR_EST_CIQ" hidden="1">"c5059"</definedName>
    <definedName name="IQ_REVENUE_EST" hidden="1">"c1126"</definedName>
    <definedName name="IQ_REVENUE_EST_CIQ" hidden="1">"c3616"</definedName>
    <definedName name="IQ_REVENUE_HIGH_EST" hidden="1">"c1127"</definedName>
    <definedName name="IQ_REVENUE_HIGH_EST_CIQ" hidden="1">"c3618"</definedName>
    <definedName name="IQ_REVENUE_LOW_EST" hidden="1">"c1128"</definedName>
    <definedName name="IQ_REVENUE_LOW_EST_CIQ" hidden="1">"c3619"</definedName>
    <definedName name="IQ_REVENUE_MEDIAN_EST" hidden="1">"c1662"</definedName>
    <definedName name="IQ_REVENUE_MEDIAN_EST_CIQ" hidden="1">"c3617"</definedName>
    <definedName name="IQ_REVENUE_NUM_EST" hidden="1">"c1129"</definedName>
    <definedName name="IQ_REVENUE_NUM_EST_CIQ" hidden="1">"c3620"</definedName>
    <definedName name="IQ_REVISION_DATE_" hidden="1">39790.5582291667</definedName>
    <definedName name="IQ_RISK_ADJ_BANK_ASSETS" hidden="1">"c2670"</definedName>
    <definedName name="IQ_RISK_WEIGHTED_ASSETS_FDIC" hidden="1">"c6370"</definedName>
    <definedName name="IQ_SALARIED_WORKFORCE" hidden="1">"c7010"</definedName>
    <definedName name="IQ_SALARIED_WORKFORCE_APR" hidden="1">"c7670"</definedName>
    <definedName name="IQ_SALARIED_WORKFORCE_APR_FC" hidden="1">"c8550"</definedName>
    <definedName name="IQ_SALARIED_WORKFORCE_FC" hidden="1">"c7890"</definedName>
    <definedName name="IQ_SALARIED_WORKFORCE_POP" hidden="1">"c7230"</definedName>
    <definedName name="IQ_SALARIED_WORKFORCE_POP_FC" hidden="1">"c8110"</definedName>
    <definedName name="IQ_SALARIED_WORKFORCE_YOY" hidden="1">"c7450"</definedName>
    <definedName name="IQ_SALARIED_WORKFORCE_YOY_FC" hidden="1">"c8330"</definedName>
    <definedName name="IQ_SALARY" hidden="1">"c1130"</definedName>
    <definedName name="IQ_SALARY_FDIC" hidden="1">"c6576"</definedName>
    <definedName name="IQ_SALE_CONVERSION_RETIREMENT_STOCK_FDIC" hidden="1">"c6661"</definedName>
    <definedName name="IQ_SALE_INTAN_CF" hidden="1">"c1131"</definedName>
    <definedName name="IQ_SALE_INTAN_CF_BNK" hidden="1">"c1132"</definedName>
    <definedName name="IQ_SALE_INTAN_CF_BR" hidden="1">"c1133"</definedName>
    <definedName name="IQ_SALE_INTAN_CF_FIN" hidden="1">"c1134"</definedName>
    <definedName name="IQ_SALE_INTAN_CF_INS" hidden="1">"c1135"</definedName>
    <definedName name="IQ_SALE_INTAN_CF_RE" hidden="1">"c6284"</definedName>
    <definedName name="IQ_SALE_INTAN_CF_REIT" hidden="1">"c1627"</definedName>
    <definedName name="IQ_SALE_INTAN_CF_UTI" hidden="1">"c1136"</definedName>
    <definedName name="IQ_SALE_PPE_CF" hidden="1">"c1137"</definedName>
    <definedName name="IQ_SALE_PPE_CF_BNK" hidden="1">"c1138"</definedName>
    <definedName name="IQ_SALE_PPE_CF_BR" hidden="1">"c1139"</definedName>
    <definedName name="IQ_SALE_PPE_CF_FIN" hidden="1">"c1140"</definedName>
    <definedName name="IQ_SALE_PPE_CF_INS" hidden="1">"c1141"</definedName>
    <definedName name="IQ_SALE_PPE_CF_UTI" hidden="1">"c1142"</definedName>
    <definedName name="IQ_SALE_RE_ASSETS" hidden="1">"c1629"</definedName>
    <definedName name="IQ_SALE_REAL_ESTATE_CF" hidden="1">"c1143"</definedName>
    <definedName name="IQ_SALE_REAL_ESTATE_CF_BNK" hidden="1">"c1144"</definedName>
    <definedName name="IQ_SALE_REAL_ESTATE_CF_BR" hidden="1">"c1145"</definedName>
    <definedName name="IQ_SALE_REAL_ESTATE_CF_FIN" hidden="1">"c1146"</definedName>
    <definedName name="IQ_SALE_REAL_ESTATE_CF_INS" hidden="1">"c1147"</definedName>
    <definedName name="IQ_SALE_REAL_ESTATE_CF_UTI" hidden="1">"c1148"</definedName>
    <definedName name="IQ_SALES_MARKETING" hidden="1">"c2240"</definedName>
    <definedName name="IQ_SAME_STORE" hidden="1">"c1149"</definedName>
    <definedName name="IQ_SAME_STORE_FRANCHISE" hidden="1">"c2900"</definedName>
    <definedName name="IQ_SAME_STORE_OWNED" hidden="1">"c2908"</definedName>
    <definedName name="IQ_SAME_STORE_TOTAL" hidden="1">"c2892"</definedName>
    <definedName name="IQ_SAVING_DEP" hidden="1">"c1150"</definedName>
    <definedName name="IQ_SAVINGS_RATE_DISP_INC_PCT" hidden="1">"c7011"</definedName>
    <definedName name="IQ_SAVINGS_RATE_DISP_INC_PCT_FC" hidden="1">"c7891"</definedName>
    <definedName name="IQ_SAVINGS_RATE_DISP_INC_PCT_POP" hidden="1">"c7231"</definedName>
    <definedName name="IQ_SAVINGS_RATE_DISP_INC_PCT_POP_FC" hidden="1">"c8111"</definedName>
    <definedName name="IQ_SAVINGS_RATE_DISP_INC_PCT_YOY" hidden="1">"c7451"</definedName>
    <definedName name="IQ_SAVINGS_RATE_DISP_INC_PCT_YOY_FC" hidden="1">"c8331"</definedName>
    <definedName name="IQ_SAVINGS_RATE_GDP_PCT" hidden="1">"c7012"</definedName>
    <definedName name="IQ_SAVINGS_RATE_GDP_PCT_FC" hidden="1">"c7892"</definedName>
    <definedName name="IQ_SAVINGS_RATE_GDP_PCT_POP" hidden="1">"c7232"</definedName>
    <definedName name="IQ_SAVINGS_RATE_GDP_PCT_POP_FC" hidden="1">"c8112"</definedName>
    <definedName name="IQ_SAVINGS_RATE_GDP_PCT_YOY" hidden="1">"c7452"</definedName>
    <definedName name="IQ_SAVINGS_RATE_GDP_PCT_YOY_FC" hidden="1">"c8332"</definedName>
    <definedName name="IQ_SAVINGS_RATE_PERSONAL_INC_PCT" hidden="1">"c7013"</definedName>
    <definedName name="IQ_SAVINGS_RATE_PERSONAL_INC_PCT_FC" hidden="1">"c7893"</definedName>
    <definedName name="IQ_SAVINGS_RATE_PERSONAL_INC_PCT_POP" hidden="1">"c7233"</definedName>
    <definedName name="IQ_SAVINGS_RATE_PERSONAL_INC_PCT_POP_FC" hidden="1">"c8113"</definedName>
    <definedName name="IQ_SAVINGS_RATE_PERSONAL_INC_PCT_YOY" hidden="1">"c7453"</definedName>
    <definedName name="IQ_SAVINGS_RATE_PERSONAL_INC_PCT_YOY_FC" hidden="1">"c8333"</definedName>
    <definedName name="IQ_SEC_PURCHASED_RESELL" hidden="1">"c5513"</definedName>
    <definedName name="IQ_SECUR_RECEIV" hidden="1">"c1151"</definedName>
    <definedName name="IQ_SECURED_1_4_FAMILY_RESIDENTIAL_CHARGE_OFFS_FDIC" hidden="1">"c6590"</definedName>
    <definedName name="IQ_SECURED_1_4_FAMILY_RESIDENTIAL_NET_CHARGE_OFFS_FDIC" hidden="1">"c6628"</definedName>
    <definedName name="IQ_SECURED_1_4_FAMILY_RESIDENTIAL_RECOVERIES_FDIC" hidden="1">"c6609"</definedName>
    <definedName name="IQ_SECURED_DEBT" hidden="1">"c2546"</definedName>
    <definedName name="IQ_SECURED_DEBT_PCT" hidden="1">"c2547"</definedName>
    <definedName name="IQ_SECURED_FARMLAND_CHARGE_OFFS_FDIC" hidden="1">"c6593"</definedName>
    <definedName name="IQ_SECURED_FARMLAND_NET_CHARGE_OFFS_FDIC" hidden="1">"c6631"</definedName>
    <definedName name="IQ_SECURED_FARMLAND_RECOVERIES_FDIC" hidden="1">"c6612"</definedName>
    <definedName name="IQ_SECURED_MULTIFAMILY_RESIDENTIAL_CHARGE_OFFS_FDIC" hidden="1">"c6591"</definedName>
    <definedName name="IQ_SECURED_MULTIFAMILY_RESIDENTIAL_NET_CHARGE_OFFS_FDIC" hidden="1">"c6629"</definedName>
    <definedName name="IQ_SECURED_MULTIFAMILY_RESIDENTIAL_RECOVERIES_FDIC" hidden="1">"c6610"</definedName>
    <definedName name="IQ_SECURED_NONFARM_NONRESIDENTIAL_CHARGE_OFFS_FDIC" hidden="1">"c6592"</definedName>
    <definedName name="IQ_SECURED_NONFARM_NONRESIDENTIAL_NET_CHARGE_OFFS_FDIC" hidden="1">"c6630"</definedName>
    <definedName name="IQ_SECURED_NONFARM_NONRESIDENTIAL_RECOVERIES_FDIC" hidden="1">"c6611"</definedName>
    <definedName name="IQ_SECURITIES_GAINS_FDIC" hidden="1">"c6584"</definedName>
    <definedName name="IQ_SECURITIES_ISSUED_STATES_FDIC" hidden="1">"c6300"</definedName>
    <definedName name="IQ_SECURITIES_LENT_FDIC" hidden="1">"c6532"</definedName>
    <definedName name="IQ_SECURITIES_UNDERWRITING_FDIC" hidden="1">"c6529"</definedName>
    <definedName name="IQ_SECURITY_BORROW" hidden="1">"c1152"</definedName>
    <definedName name="IQ_SECURITY_LEVEL" hidden="1">"c2159"</definedName>
    <definedName name="IQ_SECURITY_NOTES" hidden="1">"c2202"</definedName>
    <definedName name="IQ_SECURITY_OWN" hidden="1">"c1153"</definedName>
    <definedName name="IQ_SECURITY_RESELL" hidden="1">"c1154"</definedName>
    <definedName name="IQ_SECURITY_TYPE" hidden="1">"c2158"</definedName>
    <definedName name="IQ_SEMI_BACKLOG" hidden="1">"c10005"</definedName>
    <definedName name="IQ_SEMI_BACKLOG_AVG_PRICE" hidden="1">"c10006"</definedName>
    <definedName name="IQ_SEMI_BACKLOG_VALUE" hidden="1">"c10007"</definedName>
    <definedName name="IQ_SEMI_BOOK_TO_BILL_RATIO" hidden="1">"c10008"</definedName>
    <definedName name="IQ_SEMI_ORDER_AVG_PRICE" hidden="1">"c10002"</definedName>
    <definedName name="IQ_SEMI_ORDER_VALUE" hidden="1">"c10003"</definedName>
    <definedName name="IQ_SEMI_ORDER_VALUE_CHANGE" hidden="1">"c10004"</definedName>
    <definedName name="IQ_SEMI_ORDERS" hidden="1">"c10001"</definedName>
    <definedName name="IQ_SEMI_WARRANTY_RES_ACQ" hidden="1">"c10011"</definedName>
    <definedName name="IQ_SEMI_WARRANTY_RES_BEG" hidden="1">"c10009"</definedName>
    <definedName name="IQ_SEMI_WARRANTY_RES_END" hidden="1">"c10014"</definedName>
    <definedName name="IQ_SEMI_WARRANTY_RES_ISS" hidden="1">"c10010"</definedName>
    <definedName name="IQ_SEMI_WARRANTY_RES_OTHER" hidden="1">"c10013"</definedName>
    <definedName name="IQ_SEMI_WARRANTY_RES_PAY" hidden="1">"c10012"</definedName>
    <definedName name="IQ_SEPARATE_ACCT_ASSETS" hidden="1">"c1155"</definedName>
    <definedName name="IQ_SEPARATE_ACCT_LIAB" hidden="1">"c1156"</definedName>
    <definedName name="IQ_SERV_CHARGE_DEPOSITS" hidden="1">"c1157"</definedName>
    <definedName name="IQ_SERVICE_CHARGES_FDIC" hidden="1">"c6572"</definedName>
    <definedName name="IQ_SERVICE_FEE" hidden="1">"c8951"</definedName>
    <definedName name="IQ_SGA" hidden="1">"c1158"</definedName>
    <definedName name="IQ_SGA_BNK" hidden="1">"c1159"</definedName>
    <definedName name="IQ_SGA_INS" hidden="1">"c1160"</definedName>
    <definedName name="IQ_SGA_MARGIN" hidden="1">"c1898"</definedName>
    <definedName name="IQ_SGA_RE" hidden="1">"c6265"</definedName>
    <definedName name="IQ_SGA_REIT" hidden="1">"c1161"</definedName>
    <definedName name="IQ_SGA_SUPPL" hidden="1">"c1162"</definedName>
    <definedName name="IQ_SGA_UTI" hidden="1">"c1163"</definedName>
    <definedName name="IQ_SHARES_PURCHASED_AVERAGE_PRICE" hidden="1">"c5821"</definedName>
    <definedName name="IQ_SHARES_PURCHASED_QUARTER" hidden="1">"c5820"</definedName>
    <definedName name="IQ_SHARESOUTSTANDING" hidden="1">"c1164"</definedName>
    <definedName name="IQ_SHORT_INTEREST" hidden="1">"c1165"</definedName>
    <definedName name="IQ_SHORT_INTEREST_OVER_FLOAT" hidden="1">"c1577"</definedName>
    <definedName name="IQ_SHORT_INTEREST_PERCENT" hidden="1">"c1576"</definedName>
    <definedName name="IQ_SHORT_TERM_INVEST" hidden="1">"c1425"</definedName>
    <definedName name="IQ_SMALL_INT_BEAR_CD" hidden="1">"c11748"</definedName>
    <definedName name="IQ_SOC_SEC_RECEIPTS_SAAR_USD_APR_FC" hidden="1">"c12005"</definedName>
    <definedName name="IQ_SOC_SEC_RECEIPTS_SAAR_USD_FC" hidden="1">"c12002"</definedName>
    <definedName name="IQ_SOC_SEC_RECEIPTS_SAAR_USD_POP_FC" hidden="1">"c12003"</definedName>
    <definedName name="IQ_SOC_SEC_RECEIPTS_SAAR_USD_YOY_FC" hidden="1">"c12004"</definedName>
    <definedName name="IQ_SOC_SEC_RECEIPTS_USD_APR_FC" hidden="1">"c12001"</definedName>
    <definedName name="IQ_SOC_SEC_RECEIPTS_USD_FC" hidden="1">"c11998"</definedName>
    <definedName name="IQ_SOC_SEC_RECEIPTS_USD_POP_FC" hidden="1">"c11999"</definedName>
    <definedName name="IQ_SOC_SEC_RECEIPTS_USD_YOY_FC" hidden="1">"c12000"</definedName>
    <definedName name="IQ_SOCIAL_SEC_RECEIPTS" hidden="1">"c7015"</definedName>
    <definedName name="IQ_SOCIAL_SEC_RECEIPTS_APR" hidden="1">"c7675"</definedName>
    <definedName name="IQ_SOCIAL_SEC_RECEIPTS_APR_FC" hidden="1">"c8555"</definedName>
    <definedName name="IQ_SOCIAL_SEC_RECEIPTS_FC" hidden="1">"c7895"</definedName>
    <definedName name="IQ_SOCIAL_SEC_RECEIPTS_POP" hidden="1">"c7235"</definedName>
    <definedName name="IQ_SOCIAL_SEC_RECEIPTS_POP_FC" hidden="1">"c8115"</definedName>
    <definedName name="IQ_SOCIAL_SEC_RECEIPTS_SAAR" hidden="1">"c7016"</definedName>
    <definedName name="IQ_SOCIAL_SEC_RECEIPTS_SAAR_APR" hidden="1">"c7676"</definedName>
    <definedName name="IQ_SOCIAL_SEC_RECEIPTS_SAAR_APR_FC" hidden="1">"c8556"</definedName>
    <definedName name="IQ_SOCIAL_SEC_RECEIPTS_SAAR_FC" hidden="1">"c7896"</definedName>
    <definedName name="IQ_SOCIAL_SEC_RECEIPTS_SAAR_POP" hidden="1">"c7236"</definedName>
    <definedName name="IQ_SOCIAL_SEC_RECEIPTS_SAAR_POP_FC" hidden="1">"c8116"</definedName>
    <definedName name="IQ_SOCIAL_SEC_RECEIPTS_SAAR_YOY" hidden="1">"c7456"</definedName>
    <definedName name="IQ_SOCIAL_SEC_RECEIPTS_SAAR_YOY_FC" hidden="1">"c8336"</definedName>
    <definedName name="IQ_SOCIAL_SEC_RECEIPTS_YOY" hidden="1">"c7455"</definedName>
    <definedName name="IQ_SOCIAL_SEC_RECEIPTS_YOY_FC" hidden="1">"c8335"</definedName>
    <definedName name="IQ_SOFTWARE" hidden="1">"c1167"</definedName>
    <definedName name="IQ_SOURCE" hidden="1">"c1168"</definedName>
    <definedName name="IQ_SP_ISSUE_ACTION" hidden="1">"c2644"</definedName>
    <definedName name="IQ_SP_ISSUE_DATE" hidden="1">"c2643"</definedName>
    <definedName name="IQ_SP_ISSUE_LT" hidden="1">"c2645"</definedName>
    <definedName name="IQ_SP_ISSUE_OUTLOOK_WATCH" hidden="1">"c2650"</definedName>
    <definedName name="IQ_SP_ISSUE_OUTLOOK_WATCH_DATE" hidden="1">"c2649"</definedName>
    <definedName name="IQ_SP_ISSUE_RECOVER" hidden="1">"c2648"</definedName>
    <definedName name="IQ_SP_ISSUE_RECOVER_ACTION" hidden="1">"c2647"</definedName>
    <definedName name="IQ_SP_ISSUE_RECOVER_DATE" hidden="1">"c2646"</definedName>
    <definedName name="IQ_SPECIAL_DIV_CF" hidden="1">"c1169"</definedName>
    <definedName name="IQ_SPECIAL_DIV_CF_BNK" hidden="1">"c1170"</definedName>
    <definedName name="IQ_SPECIAL_DIV_CF_BR" hidden="1">"c1171"</definedName>
    <definedName name="IQ_SPECIAL_DIV_CF_FIN" hidden="1">"c1172"</definedName>
    <definedName name="IQ_SPECIAL_DIV_CF_INS" hidden="1">"c1173"</definedName>
    <definedName name="IQ_SPECIAL_DIV_CF_RE" hidden="1">"c6266"</definedName>
    <definedName name="IQ_SPECIAL_DIV_CF_REIT" hidden="1">"c1174"</definedName>
    <definedName name="IQ_SPECIAL_DIV_CF_UTI" hidden="1">"c1175"</definedName>
    <definedName name="IQ_SPECIAL_DIV_SHARE" hidden="1">"c3007"</definedName>
    <definedName name="IQ_SQ_FT_LEASED_GROSS_CONSOL" hidden="1">"c8820"</definedName>
    <definedName name="IQ_SQ_FT_LEASED_GROSS_MANAGED" hidden="1">"c8822"</definedName>
    <definedName name="IQ_SQ_FT_LEASED_GROSS_OTHER" hidden="1">"c8823"</definedName>
    <definedName name="IQ_SQ_FT_LEASED_GROSS_TOTAL" hidden="1">"c8824"</definedName>
    <definedName name="IQ_SQ_FT_LEASED_GROSS_UNCONSOL" hidden="1">"c8821"</definedName>
    <definedName name="IQ_SQ_FT_LEASED_NET_CONSOL" hidden="1">"c8825"</definedName>
    <definedName name="IQ_SQ_FT_LEASED_NET_MANAGED" hidden="1">"c8827"</definedName>
    <definedName name="IQ_SQ_FT_LEASED_NET_OTHER" hidden="1">"c8828"</definedName>
    <definedName name="IQ_SQ_FT_LEASED_NET_TOTAL" hidden="1">"c8829"</definedName>
    <definedName name="IQ_SQ_FT_LEASED_NET_UNCONSOL" hidden="1">"c8826"</definedName>
    <definedName name="IQ_SQ_METER_LEASED_GROSS_CONSOL" hidden="1">"c8830"</definedName>
    <definedName name="IQ_SQ_METER_LEASED_GROSS_MANAGED" hidden="1">"c8832"</definedName>
    <definedName name="IQ_SQ_METER_LEASED_GROSS_OTHER" hidden="1">"c8833"</definedName>
    <definedName name="IQ_SQ_METER_LEASED_GROSS_TOTAL" hidden="1">"c8834"</definedName>
    <definedName name="IQ_SQ_METER_LEASED_GROSS_UNCONSOL" hidden="1">"c8831"</definedName>
    <definedName name="IQ_SQ_METER_LEASED_NET_CONSOL" hidden="1">"c8835"</definedName>
    <definedName name="IQ_SQ_METER_LEASED_NET_MANAGED" hidden="1">"c8837"</definedName>
    <definedName name="IQ_SQ_METER_LEASED_NET_OTHER" hidden="1">"c8838"</definedName>
    <definedName name="IQ_SQ_METER_LEASED_NET_TOTAL" hidden="1">"c8839"</definedName>
    <definedName name="IQ_SQ_METER_LEASED_NET_UNCONSOL" hidden="1">"c8836"</definedName>
    <definedName name="IQ_SR_BONDS_NOTES" hidden="1">"c2501"</definedName>
    <definedName name="IQ_SR_BONDS_NOTES_PCT" hidden="1">"c2502"</definedName>
    <definedName name="IQ_SR_DEBT" hidden="1">"c2526"</definedName>
    <definedName name="IQ_SR_DEBT_EBITDA" hidden="1">"c2552"</definedName>
    <definedName name="IQ_SR_DEBT_EBITDA_CAPEX" hidden="1">"c2553"</definedName>
    <definedName name="IQ_SR_DEBT_PCT" hidden="1">"c2527"</definedName>
    <definedName name="IQ_SR_SUB_DEBT" hidden="1">"c2530"</definedName>
    <definedName name="IQ_SR_SUB_DEBT_EBITDA" hidden="1">"c2556"</definedName>
    <definedName name="IQ_SR_SUB_DEBT_EBITDA_CAPEX" hidden="1">"c2557"</definedName>
    <definedName name="IQ_SR_SUB_DEBT_PCT" hidden="1">"c2531"</definedName>
    <definedName name="IQ_ST_DEBT" hidden="1">"c1176"</definedName>
    <definedName name="IQ_ST_DEBT_BNK" hidden="1">"c1177"</definedName>
    <definedName name="IQ_ST_DEBT_BR" hidden="1">"c1178"</definedName>
    <definedName name="IQ_ST_DEBT_FIN" hidden="1">"c1179"</definedName>
    <definedName name="IQ_ST_DEBT_INS" hidden="1">"c1180"</definedName>
    <definedName name="IQ_ST_DEBT_ISSUED" hidden="1">"c1181"</definedName>
    <definedName name="IQ_ST_DEBT_ISSUED_BNK" hidden="1">"c1182"</definedName>
    <definedName name="IQ_ST_DEBT_ISSUED_BR" hidden="1">"c1183"</definedName>
    <definedName name="IQ_ST_DEBT_ISSUED_FIN" hidden="1">"c1184"</definedName>
    <definedName name="IQ_ST_DEBT_ISSUED_INS" hidden="1">"c1185"</definedName>
    <definedName name="IQ_ST_DEBT_ISSUED_RE" hidden="1">"c6267"</definedName>
    <definedName name="IQ_ST_DEBT_ISSUED_REIT" hidden="1">"c1186"</definedName>
    <definedName name="IQ_ST_DEBT_ISSUED_UTI" hidden="1">"c1187"</definedName>
    <definedName name="IQ_ST_DEBT_PCT" hidden="1">"c2539"</definedName>
    <definedName name="IQ_ST_DEBT_RE" hidden="1">"c6268"</definedName>
    <definedName name="IQ_ST_DEBT_REIT" hidden="1">"c1188"</definedName>
    <definedName name="IQ_ST_DEBT_REPAID" hidden="1">"c1189"</definedName>
    <definedName name="IQ_ST_DEBT_REPAID_BNK" hidden="1">"c1190"</definedName>
    <definedName name="IQ_ST_DEBT_REPAID_BR" hidden="1">"c1191"</definedName>
    <definedName name="IQ_ST_DEBT_REPAID_FIN" hidden="1">"c1192"</definedName>
    <definedName name="IQ_ST_DEBT_REPAID_INS" hidden="1">"c1193"</definedName>
    <definedName name="IQ_ST_DEBT_REPAID_RE" hidden="1">"c6269"</definedName>
    <definedName name="IQ_ST_DEBT_REPAID_REIT" hidden="1">"c1194"</definedName>
    <definedName name="IQ_ST_DEBT_REPAID_UTI" hidden="1">"c1195"</definedName>
    <definedName name="IQ_ST_DEBT_UTI" hidden="1">"c1196"</definedName>
    <definedName name="IQ_ST_FHLB_DEBT" hidden="1">"c5658"</definedName>
    <definedName name="IQ_ST_INVEST" hidden="1">"c1197"</definedName>
    <definedName name="IQ_ST_INVEST_UTI" hidden="1">"c1198"</definedName>
    <definedName name="IQ_ST_NOTE_RECEIV" hidden="1">"c1199"</definedName>
    <definedName name="IQ_STATE" hidden="1">"c1200"</definedName>
    <definedName name="IQ_STATE_LOCAL_SPENDING_SAAR" hidden="1">"c7017"</definedName>
    <definedName name="IQ_STATE_LOCAL_SPENDING_SAAR_APR" hidden="1">"c7677"</definedName>
    <definedName name="IQ_STATE_LOCAL_SPENDING_SAAR_APR_FC" hidden="1">"c8557"</definedName>
    <definedName name="IQ_STATE_LOCAL_SPENDING_SAAR_FC" hidden="1">"c7897"</definedName>
    <definedName name="IQ_STATE_LOCAL_SPENDING_SAAR_POP" hidden="1">"c7237"</definedName>
    <definedName name="IQ_STATE_LOCAL_SPENDING_SAAR_POP_FC" hidden="1">"c8117"</definedName>
    <definedName name="IQ_STATE_LOCAL_SPENDING_SAAR_YOY" hidden="1">"c7457"</definedName>
    <definedName name="IQ_STATE_LOCAL_SPENDING_SAAR_YOY_FC" hidden="1">"c8337"</definedName>
    <definedName name="IQ_STATES_NONTRANSACTION_ACCOUNTS_FDIC" hidden="1">"c6547"</definedName>
    <definedName name="IQ_STATES_TOTAL_DEPOSITS_FDIC" hidden="1">"c6473"</definedName>
    <definedName name="IQ_STATES_TRANSACTION_ACCOUNTS_FDIC" hidden="1">"c6539"</definedName>
    <definedName name="IQ_STATUTORY_SURPLUS" hidden="1">"c1201"</definedName>
    <definedName name="IQ_STOCK_BASED" hidden="1">"c1202"</definedName>
    <definedName name="IQ_STOCK_BASED_AT" hidden="1">"c2999"</definedName>
    <definedName name="IQ_STOCK_BASED_CF" hidden="1">"c1203"</definedName>
    <definedName name="IQ_STOCK_BASED_COGS" hidden="1">"c2990"</definedName>
    <definedName name="IQ_STOCK_BASED_COMP" hidden="1">"c3512"</definedName>
    <definedName name="IQ_STOCK_BASED_COMP_PRETAX" hidden="1">"c3510"</definedName>
    <definedName name="IQ_STOCK_BASED_COMP_TAX" hidden="1">"c3511"</definedName>
    <definedName name="IQ_STOCK_BASED_GA" hidden="1">"c2993"</definedName>
    <definedName name="IQ_STOCK_BASED_OTHER" hidden="1">"c2995"</definedName>
    <definedName name="IQ_STOCK_BASED_RD" hidden="1">"c2991"</definedName>
    <definedName name="IQ_STOCK_BASED_SGA" hidden="1">"c2994"</definedName>
    <definedName name="IQ_STOCK_BASED_SM" hidden="1">"c2992"</definedName>
    <definedName name="IQ_STOCK_BASED_TOTAL" hidden="1">"c3040"</definedName>
    <definedName name="IQ_STOCK_OPTIONS_COMP" hidden="1">"c3509"</definedName>
    <definedName name="IQ_STOCK_OPTIONS_COMP_PRETAX" hidden="1">"c3507"</definedName>
    <definedName name="IQ_STOCK_OPTIONS_COMP_TAX" hidden="1">"c3508"</definedName>
    <definedName name="IQ_STRATEGY_NOTE" hidden="1">"c6791"</definedName>
    <definedName name="IQ_STRIKE_PRICE_ISSUED" hidden="1">"c1645"</definedName>
    <definedName name="IQ_STRIKE_PRICE_OS" hidden="1">"c1646"</definedName>
    <definedName name="IQ_STRUCT_FIN_CLASS" hidden="1">"c8950"</definedName>
    <definedName name="IQ_STRUCT_FIN_SERIES" hidden="1">"c8956"</definedName>
    <definedName name="IQ_STW" hidden="1">"c2166"</definedName>
    <definedName name="IQ_SUB_BONDS_NOTES" hidden="1">"c2503"</definedName>
    <definedName name="IQ_SUB_BONDS_NOTES_PCT" hidden="1">"c2504"</definedName>
    <definedName name="IQ_SUB_DEBT" hidden="1">"c2532"</definedName>
    <definedName name="IQ_SUB_DEBT_EBITDA" hidden="1">"c2558"</definedName>
    <definedName name="IQ_SUB_DEBT_EBITDA_CAPEX" hidden="1">"c2559"</definedName>
    <definedName name="IQ_SUB_DEBT_FDIC" hidden="1">"c6346"</definedName>
    <definedName name="IQ_SUB_DEBT_PCT" hidden="1">"c2533"</definedName>
    <definedName name="IQ_SUB_LEASE_AFTER_FIVE" hidden="1">"c1207"</definedName>
    <definedName name="IQ_SUB_LEASE_INC_CY" hidden="1">"c1208"</definedName>
    <definedName name="IQ_SUB_LEASE_INC_CY1" hidden="1">"c1209"</definedName>
    <definedName name="IQ_SUB_LEASE_INC_CY2" hidden="1">"c1210"</definedName>
    <definedName name="IQ_SUB_LEASE_INC_CY3" hidden="1">"c1211"</definedName>
    <definedName name="IQ_SUB_LEASE_INC_CY4" hidden="1">"c1212"</definedName>
    <definedName name="IQ_SUB_LEASE_NEXT_FIVE" hidden="1">"c1213"</definedName>
    <definedName name="IQ_SURPLUS_FDIC" hidden="1">"c6351"</definedName>
    <definedName name="IQ_SVA" hidden="1">"c1214"</definedName>
    <definedName name="IQ_TARGET_PRICE_NUM" hidden="1">"c1653"</definedName>
    <definedName name="IQ_TARGET_PRICE_NUM_CIQ" hidden="1">"c4661"</definedName>
    <definedName name="IQ_TARGET_PRICE_STDDEV" hidden="1">"c1654"</definedName>
    <definedName name="IQ_TARGET_PRICE_STDDEV_CIQ" hidden="1">"c4662"</definedName>
    <definedName name="IQ_TAX_BENEFIT_CF_1YR" hidden="1">"c3483"</definedName>
    <definedName name="IQ_TAX_BENEFIT_CF_2YR" hidden="1">"c3484"</definedName>
    <definedName name="IQ_TAX_BENEFIT_CF_3YR" hidden="1">"c3485"</definedName>
    <definedName name="IQ_TAX_BENEFIT_CF_4YR" hidden="1">"c3486"</definedName>
    <definedName name="IQ_TAX_BENEFIT_CF_5YR" hidden="1">"c3487"</definedName>
    <definedName name="IQ_TAX_BENEFIT_CF_AFTER_FIVE" hidden="1">"c3488"</definedName>
    <definedName name="IQ_TAX_BENEFIT_CF_MAX_YEAR" hidden="1">"c3491"</definedName>
    <definedName name="IQ_TAX_BENEFIT_CF_NO_EXP" hidden="1">"c3489"</definedName>
    <definedName name="IQ_TAX_BENEFIT_CF_TOTAL" hidden="1">"c3490"</definedName>
    <definedName name="IQ_TAX_BENEFIT_OPTIONS" hidden="1">"c1215"</definedName>
    <definedName name="IQ_TAX_EQUIV_NET_INT_INC" hidden="1">"c1216"</definedName>
    <definedName name="IQ_TAX_OTHER_EXP_AP" hidden="1">"c8878"</definedName>
    <definedName name="IQ_TAX_OTHER_EXP_AP_ABS" hidden="1">"c8897"</definedName>
    <definedName name="IQ_TAX_OTHER_EXP_NAME_AP" hidden="1">"c8916"</definedName>
    <definedName name="IQ_TAX_OTHER_EXP_NAME_AP_ABS" hidden="1">"c8935"</definedName>
    <definedName name="IQ_TBV" hidden="1">"c1906"</definedName>
    <definedName name="IQ_TBV_10YR_ANN_CAGR" hidden="1">"c6169"</definedName>
    <definedName name="IQ_TBV_10YR_ANN_GROWTH" hidden="1">"c1936"</definedName>
    <definedName name="IQ_TBV_1YR_ANN_GROWTH" hidden="1">"c1931"</definedName>
    <definedName name="IQ_TBV_2YR_ANN_CAGR" hidden="1">"c6165"</definedName>
    <definedName name="IQ_TBV_2YR_ANN_GROWTH" hidden="1">"c1932"</definedName>
    <definedName name="IQ_TBV_3YR_ANN_CAGR" hidden="1">"c6166"</definedName>
    <definedName name="IQ_TBV_3YR_ANN_GROWTH" hidden="1">"c1933"</definedName>
    <definedName name="IQ_TBV_5YR_ANN_CAGR" hidden="1">"c6167"</definedName>
    <definedName name="IQ_TBV_5YR_ANN_GROWTH" hidden="1">"c1934"</definedName>
    <definedName name="IQ_TBV_7YR_ANN_CAGR" hidden="1">"c6168"</definedName>
    <definedName name="IQ_TBV_7YR_ANN_GROWTH" hidden="1">"c1935"</definedName>
    <definedName name="IQ_TBV_SHARE" hidden="1">"c1217"</definedName>
    <definedName name="IQ_TEMPLATE" hidden="1">"c1521"</definedName>
    <definedName name="IQ_TENANT" hidden="1">"c1218"</definedName>
    <definedName name="IQ_TERM_LOANS" hidden="1">"c2499"</definedName>
    <definedName name="IQ_TERM_LOANS_PCT" hidden="1">"c2500"</definedName>
    <definedName name="IQ_TEV" hidden="1">"c1219"</definedName>
    <definedName name="IQ_TEV_EBIT" hidden="1">"c1220"</definedName>
    <definedName name="IQ_TEV_EBIT_AVG" hidden="1">"c1221"</definedName>
    <definedName name="IQ_TEV_EBITDA" hidden="1">"c1222"</definedName>
    <definedName name="IQ_TEV_EBITDA_AVG" hidden="1">"c1223"</definedName>
    <definedName name="IQ_TEV_EBITDA_FWD" hidden="1">"c1224"</definedName>
    <definedName name="IQ_TEV_EBITDA_FWD_CIQ" hidden="1">"c4043"</definedName>
    <definedName name="IQ_TEV_EMPLOYEE_AVG" hidden="1">"c1225"</definedName>
    <definedName name="IQ_TEV_TOTAL_REV" hidden="1">"c1226"</definedName>
    <definedName name="IQ_TEV_TOTAL_REV_AVG" hidden="1">"c1227"</definedName>
    <definedName name="IQ_TEV_TOTAL_REV_FWD" hidden="1">"c1228"</definedName>
    <definedName name="IQ_TEV_TOTAL_REV_FWD_CIQ" hidden="1">"c4044"</definedName>
    <definedName name="IQ_TEV_UFCF" hidden="1">"c2208"</definedName>
    <definedName name="IQ_THREE_MONTHS_FIXED_AND_FLOATING_FDIC" hidden="1">"c6419"</definedName>
    <definedName name="IQ_THREE_MONTHS_MORTGAGE_PASS_THROUGHS_FDIC" hidden="1">"c6411"</definedName>
    <definedName name="IQ_THREE_YEAR_FIXED_AND_FLOATING_RATE_FDIC" hidden="1">"c6421"</definedName>
    <definedName name="IQ_THREE_YEAR_MORTGAGE_PASS_THROUGHS_FDIC" hidden="1">"c6413"</definedName>
    <definedName name="IQ_THREE_YEARS_LESS_FDIC" hidden="1">"c6417"</definedName>
    <definedName name="IQ_TIER_1_RISK_BASED_CAPITAL_RATIO_FDIC" hidden="1">"c6746"</definedName>
    <definedName name="IQ_TIER_ONE_CAPITAL" hidden="1">"c2667"</definedName>
    <definedName name="IQ_TIER_ONE_FDIC" hidden="1">"c6369"</definedName>
    <definedName name="IQ_TIER_ONE_RATIO" hidden="1">"c1229"</definedName>
    <definedName name="IQ_TIER_TWO_CAPITAL" hidden="1">"c2669"</definedName>
    <definedName name="IQ_TIME_DEP" hidden="1">"c1230"</definedName>
    <definedName name="IQ_TIME_DEPOSITS_LESS_THAN_100K_FDIC" hidden="1">"c6465"</definedName>
    <definedName name="IQ_TIME_DEPOSITS_MORE_THAN_100K_FDIC" hidden="1">"c6470"</definedName>
    <definedName name="IQ_TODAY" hidden="1">0</definedName>
    <definedName name="IQ_TOT_ADJ_INC" hidden="1">"c1616"</definedName>
    <definedName name="IQ_TOTAL_AR_BR" hidden="1">"c1231"</definedName>
    <definedName name="IQ_TOTAL_AR_RE" hidden="1">"c6270"</definedName>
    <definedName name="IQ_TOTAL_AR_REIT" hidden="1">"c1232"</definedName>
    <definedName name="IQ_TOTAL_AR_UTI" hidden="1">"c1233"</definedName>
    <definedName name="IQ_TOTAL_ASSETS" hidden="1">"c1234"</definedName>
    <definedName name="IQ_TOTAL_ASSETS_10YR_ANN_CAGR" hidden="1">"c6140"</definedName>
    <definedName name="IQ_TOTAL_ASSETS_10YR_ANN_GROWTH" hidden="1">"c1235"</definedName>
    <definedName name="IQ_TOTAL_ASSETS_1YR_ANN_GROWTH" hidden="1">"c1236"</definedName>
    <definedName name="IQ_TOTAL_ASSETS_2YR_ANN_CAGR" hidden="1">"c6141"</definedName>
    <definedName name="IQ_TOTAL_ASSETS_2YR_ANN_GROWTH" hidden="1">"c1237"</definedName>
    <definedName name="IQ_TOTAL_ASSETS_3YR_ANN_CAGR" hidden="1">"c6142"</definedName>
    <definedName name="IQ_TOTAL_ASSETS_3YR_ANN_GROWTH" hidden="1">"c1238"</definedName>
    <definedName name="IQ_TOTAL_ASSETS_5YR_ANN_CAGR" hidden="1">"c6143"</definedName>
    <definedName name="IQ_TOTAL_ASSETS_5YR_ANN_GROWTH" hidden="1">"c1239"</definedName>
    <definedName name="IQ_TOTAL_ASSETS_7YR_ANN_CAGR" hidden="1">"c6144"</definedName>
    <definedName name="IQ_TOTAL_ASSETS_7YR_ANN_GROWTH" hidden="1">"c1240"</definedName>
    <definedName name="IQ_TOTAL_ASSETS_FDIC" hidden="1">"c6339"</definedName>
    <definedName name="IQ_TOTAL_ASSETS_SUBTOTAL_AP" hidden="1">"c8985"</definedName>
    <definedName name="IQ_TOTAL_ATTRIB_ORE_RESOURCES_ALUM" hidden="1">"c9241"</definedName>
    <definedName name="IQ_TOTAL_ATTRIB_ORE_RESOURCES_COP" hidden="1">"c9185"</definedName>
    <definedName name="IQ_TOTAL_ATTRIB_ORE_RESOURCES_DIAM" hidden="1">"c9665"</definedName>
    <definedName name="IQ_TOTAL_ATTRIB_ORE_RESOURCES_GOLD" hidden="1">"c9026"</definedName>
    <definedName name="IQ_TOTAL_ATTRIB_ORE_RESOURCES_IRON" hidden="1">"c9400"</definedName>
    <definedName name="IQ_TOTAL_ATTRIB_ORE_RESOURCES_LEAD" hidden="1">"c9453"</definedName>
    <definedName name="IQ_TOTAL_ATTRIB_ORE_RESOURCES_MANG" hidden="1">"c9506"</definedName>
    <definedName name="IQ_TOTAL_ATTRIB_ORE_RESOURCES_MOLYB" hidden="1">"c9718"</definedName>
    <definedName name="IQ_TOTAL_ATTRIB_ORE_RESOURCES_NICK" hidden="1">"c9294"</definedName>
    <definedName name="IQ_TOTAL_ATTRIB_ORE_RESOURCES_PLAT" hidden="1">"c9132"</definedName>
    <definedName name="IQ_TOTAL_ATTRIB_ORE_RESOURCES_SILVER" hidden="1">"c9079"</definedName>
    <definedName name="IQ_TOTAL_ATTRIB_ORE_RESOURCES_TITAN" hidden="1">"c9559"</definedName>
    <definedName name="IQ_TOTAL_ATTRIB_ORE_RESOURCES_URAN" hidden="1">"c9612"</definedName>
    <definedName name="IQ_TOTAL_ATTRIB_ORE_RESOURCES_ZINC" hidden="1">"c9347"</definedName>
    <definedName name="IQ_TOTAL_AVG_CE_TOTAL_AVG_ASSETS" hidden="1">"c1241"</definedName>
    <definedName name="IQ_TOTAL_AVG_EQUITY_TOTAL_AVG_ASSETS" hidden="1">"c1242"</definedName>
    <definedName name="IQ_TOTAL_BANK_CAPITAL" hidden="1">"c2668"</definedName>
    <definedName name="IQ_TOTAL_BEDS" hidden="1">"c8785"</definedName>
    <definedName name="IQ_TOTAL_CA" hidden="1">"c1243"</definedName>
    <definedName name="IQ_TOTAL_CA_SUBTOTAL_AP" hidden="1">"c8986"</definedName>
    <definedName name="IQ_TOTAL_CAP" hidden="1">"c1507"</definedName>
    <definedName name="IQ_TOTAL_CAPITAL_RATIO" hidden="1">"c1244"</definedName>
    <definedName name="IQ_TOTAL_CASH_DIVID" hidden="1">"c1455"</definedName>
    <definedName name="IQ_TOTAL_CASH_FINAN" hidden="1">"c1352"</definedName>
    <definedName name="IQ_TOTAL_CASH_INVEST" hidden="1">"c1353"</definedName>
    <definedName name="IQ_TOTAL_CASH_OPER" hidden="1">"c1354"</definedName>
    <definedName name="IQ_TOTAL_CHARGE_OFFS_FDIC" hidden="1">"c6603"</definedName>
    <definedName name="IQ_TOTAL_CHURN" hidden="1">"c2122"</definedName>
    <definedName name="IQ_TOTAL_CL" hidden="1">"c1245"</definedName>
    <definedName name="IQ_TOTAL_CL_SUBTOTAL_AP" hidden="1">"c8987"</definedName>
    <definedName name="IQ_TOTAL_COAL_PRODUCTION_COAL" hidden="1">"c9824"</definedName>
    <definedName name="IQ_TOTAL_COMMON" hidden="1">"c1411"</definedName>
    <definedName name="IQ_TOTAL_COMMON_EQUITY" hidden="1">"c1246"</definedName>
    <definedName name="IQ_TOTAL_CURRENT_ASSETS" hidden="1">"c1430"</definedName>
    <definedName name="IQ_TOTAL_CURRENT_LIAB" hidden="1">"c1431"</definedName>
    <definedName name="IQ_TOTAL_DEBT" hidden="1">"c1247"</definedName>
    <definedName name="IQ_TOTAL_DEBT_CAPITAL" hidden="1">"c1248"</definedName>
    <definedName name="IQ_TOTAL_DEBT_CURRENT" hidden="1">"c6190"</definedName>
    <definedName name="IQ_TOTAL_DEBT_EBITDA" hidden="1">"c1249"</definedName>
    <definedName name="IQ_TOTAL_DEBT_EBITDA_CAPEX" hidden="1">"c2948"</definedName>
    <definedName name="IQ_TOTAL_DEBT_EQUITY" hidden="1">"c1250"</definedName>
    <definedName name="IQ_TOTAL_DEBT_EXCL_FIN" hidden="1">"c2937"</definedName>
    <definedName name="IQ_TOTAL_DEBT_ISSUED" hidden="1">"c1251"</definedName>
    <definedName name="IQ_TOTAL_DEBT_ISSUED_BNK" hidden="1">"c1252"</definedName>
    <definedName name="IQ_TOTAL_DEBT_ISSUED_BR" hidden="1">"c1253"</definedName>
    <definedName name="IQ_TOTAL_DEBT_ISSUED_FIN" hidden="1">"c1254"</definedName>
    <definedName name="IQ_TOTAL_DEBT_ISSUED_RE" hidden="1">"c6271"</definedName>
    <definedName name="IQ_TOTAL_DEBT_ISSUED_REIT" hidden="1">"c1255"</definedName>
    <definedName name="IQ_TOTAL_DEBT_ISSUED_UTI" hidden="1">"c1256"</definedName>
    <definedName name="IQ_TOTAL_DEBT_ISSUES_INS" hidden="1">"c1257"</definedName>
    <definedName name="IQ_TOTAL_DEBT_NON_CURRENT" hidden="1">"c6191"</definedName>
    <definedName name="IQ_TOTAL_DEBT_OVER_EBITDA" hidden="1">"c1433"</definedName>
    <definedName name="IQ_TOTAL_DEBT_OVER_TOTAL_BV" hidden="1">"c1434"</definedName>
    <definedName name="IQ_TOTAL_DEBT_OVER_TOTAL_CAP" hidden="1">"c1432"</definedName>
    <definedName name="IQ_TOTAL_DEBT_REPAID" hidden="1">"c1258"</definedName>
    <definedName name="IQ_TOTAL_DEBT_REPAID_BNK" hidden="1">"c1259"</definedName>
    <definedName name="IQ_TOTAL_DEBT_REPAID_BR" hidden="1">"c1260"</definedName>
    <definedName name="IQ_TOTAL_DEBT_REPAID_FIN" hidden="1">"c1261"</definedName>
    <definedName name="IQ_TOTAL_DEBT_REPAID_INS" hidden="1">"c1262"</definedName>
    <definedName name="IQ_TOTAL_DEBT_REPAID_RE" hidden="1">"c6272"</definedName>
    <definedName name="IQ_TOTAL_DEBT_REPAID_REIT" hidden="1">"c1263"</definedName>
    <definedName name="IQ_TOTAL_DEBT_REPAID_UTI" hidden="1">"c1264"</definedName>
    <definedName name="IQ_TOTAL_DEBT_SECURITIES_FDIC" hidden="1">"c6410"</definedName>
    <definedName name="IQ_TOTAL_DEPOSITS" hidden="1">"c1265"</definedName>
    <definedName name="IQ_TOTAL_DEPOSITS_FDIC" hidden="1">"c6342"</definedName>
    <definedName name="IQ_TOTAL_DIV_PAID_CF" hidden="1">"c1266"</definedName>
    <definedName name="IQ_TOTAL_EMPLOYEE" hidden="1">"c2141"</definedName>
    <definedName name="IQ_TOTAL_EMPLOYEES" hidden="1">"c1522"</definedName>
    <definedName name="IQ_TOTAL_EMPLOYEES_FDIC" hidden="1">"c6355"</definedName>
    <definedName name="IQ_TOTAL_EQUITY" hidden="1">"c1267"</definedName>
    <definedName name="IQ_TOTAL_EQUITY_10YR_ANN_CAGR" hidden="1">"c6145"</definedName>
    <definedName name="IQ_TOTAL_EQUITY_10YR_ANN_GROWTH" hidden="1">"c1268"</definedName>
    <definedName name="IQ_TOTAL_EQUITY_1YR_ANN_GROWTH" hidden="1">"c1269"</definedName>
    <definedName name="IQ_TOTAL_EQUITY_2YR_ANN_CAGR" hidden="1">"c6146"</definedName>
    <definedName name="IQ_TOTAL_EQUITY_2YR_ANN_GROWTH" hidden="1">"c1270"</definedName>
    <definedName name="IQ_TOTAL_EQUITY_3YR_ANN_CAGR" hidden="1">"c6147"</definedName>
    <definedName name="IQ_TOTAL_EQUITY_3YR_ANN_GROWTH" hidden="1">"c1271"</definedName>
    <definedName name="IQ_TOTAL_EQUITY_5YR_ANN_CAGR" hidden="1">"c6148"</definedName>
    <definedName name="IQ_TOTAL_EQUITY_5YR_ANN_GROWTH" hidden="1">"c1272"</definedName>
    <definedName name="IQ_TOTAL_EQUITY_7YR_ANN_CAGR" hidden="1">"c6149"</definedName>
    <definedName name="IQ_TOTAL_EQUITY_7YR_ANN_GROWTH" hidden="1">"c1273"</definedName>
    <definedName name="IQ_TOTAL_EQUITY_ALLOWANCE_TOTAL_LOANS" hidden="1">"c1274"</definedName>
    <definedName name="IQ_TOTAL_EQUITY_SUBTOTAL_AP" hidden="1">"c8989"</definedName>
    <definedName name="IQ_TOTAL_INTEREST_EXP" hidden="1">"c1382"</definedName>
    <definedName name="IQ_TOTAL_INVENTORY" hidden="1">"c1385"</definedName>
    <definedName name="IQ_TOTAL_INVEST" hidden="1">"c1275"</definedName>
    <definedName name="IQ_TOTAL_LIAB" hidden="1">"c1276"</definedName>
    <definedName name="IQ_TOTAL_LIAB_BNK" hidden="1">"c1277"</definedName>
    <definedName name="IQ_TOTAL_LIAB_BR" hidden="1">"c1278"</definedName>
    <definedName name="IQ_TOTAL_LIAB_EQUITY" hidden="1">"c1279"</definedName>
    <definedName name="IQ_TOTAL_LIAB_EQUITY_FDIC" hidden="1">"c6354"</definedName>
    <definedName name="IQ_TOTAL_LIAB_EQUITY_SUBTOTAL_AP" hidden="1">"c8988"</definedName>
    <definedName name="IQ_TOTAL_LIAB_FIN" hidden="1">"c1280"</definedName>
    <definedName name="IQ_TOTAL_LIAB_INS" hidden="1">"c1281"</definedName>
    <definedName name="IQ_TOTAL_LIAB_RE" hidden="1">"c6273"</definedName>
    <definedName name="IQ_TOTAL_LIAB_REIT" hidden="1">"c1282"</definedName>
    <definedName name="IQ_TOTAL_LIAB_SHAREHOLD" hidden="1">"c1435"</definedName>
    <definedName name="IQ_TOTAL_LIAB_TOTAL_ASSETS" hidden="1">"c1283"</definedName>
    <definedName name="IQ_TOTAL_LIABILITIES_FDIC" hidden="1">"c6348"</definedName>
    <definedName name="IQ_TOTAL_LOANS" hidden="1">"c5653"</definedName>
    <definedName name="IQ_TOTAL_LONG_DEBT" hidden="1">"c1617"</definedName>
    <definedName name="IQ_TOTAL_NON_REC" hidden="1">"c1444"</definedName>
    <definedName name="IQ_TOTAL_OPER_EXP_BR" hidden="1">"c1284"</definedName>
    <definedName name="IQ_TOTAL_OPER_EXP_FIN" hidden="1">"c1285"</definedName>
    <definedName name="IQ_TOTAL_OPER_EXP_INS" hidden="1">"c1286"</definedName>
    <definedName name="IQ_TOTAL_OPER_EXP_RE" hidden="1">"c6274"</definedName>
    <definedName name="IQ_TOTAL_OPER_EXP_REIT" hidden="1">"c1287"</definedName>
    <definedName name="IQ_TOTAL_OPER_EXP_UTI" hidden="1">"c1288"</definedName>
    <definedName name="IQ_TOTAL_OPER_EXPEN" hidden="1">"c1445"</definedName>
    <definedName name="IQ_TOTAL_OPTIONS_BEG_OS" hidden="1">"c2693"</definedName>
    <definedName name="IQ_TOTAL_OPTIONS_CANCELLED" hidden="1">"c2696"</definedName>
    <definedName name="IQ_TOTAL_OPTIONS_END_OS" hidden="1">"c2697"</definedName>
    <definedName name="IQ_TOTAL_OPTIONS_EXERCISABLE_END_OS" hidden="1">"c5819"</definedName>
    <definedName name="IQ_TOTAL_OPTIONS_EXERCISED" hidden="1">"c2695"</definedName>
    <definedName name="IQ_TOTAL_OPTIONS_GRANTED" hidden="1">"c2694"</definedName>
    <definedName name="IQ_TOTAL_ORE_RESOURCES_ALUM" hidden="1">"c9230"</definedName>
    <definedName name="IQ_TOTAL_ORE_RESOURCES_COP" hidden="1">"c9174"</definedName>
    <definedName name="IQ_TOTAL_ORE_RESOURCES_DIAM" hidden="1">"c9654"</definedName>
    <definedName name="IQ_TOTAL_ORE_RESOURCES_GOLD" hidden="1">"c9015"</definedName>
    <definedName name="IQ_TOTAL_ORE_RESOURCES_IRON" hidden="1">"c9389"</definedName>
    <definedName name="IQ_TOTAL_ORE_RESOURCES_LEAD" hidden="1">"c9442"</definedName>
    <definedName name="IQ_TOTAL_ORE_RESOURCES_MANG" hidden="1">"c9495"</definedName>
    <definedName name="IQ_TOTAL_ORE_RESOURCES_MOLYB" hidden="1">"c9707"</definedName>
    <definedName name="IQ_TOTAL_ORE_RESOURCES_NICK" hidden="1">"c9283"</definedName>
    <definedName name="IQ_TOTAL_ORE_RESOURCES_PLAT" hidden="1">"c9121"</definedName>
    <definedName name="IQ_TOTAL_ORE_RESOURCES_SILVER" hidden="1">"c9068"</definedName>
    <definedName name="IQ_TOTAL_ORE_RESOURCES_TITAN" hidden="1">"c9548"</definedName>
    <definedName name="IQ_TOTAL_ORE_RESOURCES_URAN" hidden="1">"c9601"</definedName>
    <definedName name="IQ_TOTAL_ORE_RESOURCES_ZINC" hidden="1">"c9336"</definedName>
    <definedName name="IQ_TOTAL_OTHER_OPER" hidden="1">"c1289"</definedName>
    <definedName name="IQ_TOTAL_OUTSTANDING_BS_DATE" hidden="1">"c1022"</definedName>
    <definedName name="IQ_TOTAL_OUTSTANDING_FILING_DATE" hidden="1">"c2107"</definedName>
    <definedName name="IQ_TOTAL_PENSION_ASSETS" hidden="1">"c1290"</definedName>
    <definedName name="IQ_TOTAL_PENSION_ASSETS_DOMESTIC" hidden="1">"c2658"</definedName>
    <definedName name="IQ_TOTAL_PENSION_ASSETS_FOREIGN" hidden="1">"c2666"</definedName>
    <definedName name="IQ_TOTAL_PENSION_EXP" hidden="1">"c1291"</definedName>
    <definedName name="IQ_TOTAL_PRINCIPAL" hidden="1">"c2509"</definedName>
    <definedName name="IQ_TOTAL_PRINCIPAL_PCT" hidden="1">"c2510"</definedName>
    <definedName name="IQ_TOTAL_PROP" hidden="1">"c8765"</definedName>
    <definedName name="IQ_TOTAL_PROVED_RESERVES_NGL" hidden="1">"c2924"</definedName>
    <definedName name="IQ_TOTAL_PROVED_RESERVES_OIL" hidden="1">"c2040"</definedName>
    <definedName name="IQ_TOTAL_RECEIV" hidden="1">"c1293"</definedName>
    <definedName name="IQ_TOTAL_RECOV_ATTRIB_RESOURCES_ALUM" hidden="1">"c9246"</definedName>
    <definedName name="IQ_TOTAL_RECOV_ATTRIB_RESOURCES_COAL" hidden="1">"c9820"</definedName>
    <definedName name="IQ_TOTAL_RECOV_ATTRIB_RESOURCES_COP" hidden="1">"c9190"</definedName>
    <definedName name="IQ_TOTAL_RECOV_ATTRIB_RESOURCES_DIAM" hidden="1">"c9670"</definedName>
    <definedName name="IQ_TOTAL_RECOV_ATTRIB_RESOURCES_GOLD" hidden="1">"c9031"</definedName>
    <definedName name="IQ_TOTAL_RECOV_ATTRIB_RESOURCES_IRON" hidden="1">"c9405"</definedName>
    <definedName name="IQ_TOTAL_RECOV_ATTRIB_RESOURCES_LEAD" hidden="1">"c9458"</definedName>
    <definedName name="IQ_TOTAL_RECOV_ATTRIB_RESOURCES_MANG" hidden="1">"c9511"</definedName>
    <definedName name="IQ_TOTAL_RECOV_ATTRIB_RESOURCES_MET_COAL" hidden="1">"c9760"</definedName>
    <definedName name="IQ_TOTAL_RECOV_ATTRIB_RESOURCES_MOLYB" hidden="1">"c9723"</definedName>
    <definedName name="IQ_TOTAL_RECOV_ATTRIB_RESOURCES_NICK" hidden="1">"c9299"</definedName>
    <definedName name="IQ_TOTAL_RECOV_ATTRIB_RESOURCES_PLAT" hidden="1">"c9137"</definedName>
    <definedName name="IQ_TOTAL_RECOV_ATTRIB_RESOURCES_SILVER" hidden="1">"c9084"</definedName>
    <definedName name="IQ_TOTAL_RECOV_ATTRIB_RESOURCES_STEAM" hidden="1">"c9790"</definedName>
    <definedName name="IQ_TOTAL_RECOV_ATTRIB_RESOURCES_TITAN" hidden="1">"c9564"</definedName>
    <definedName name="IQ_TOTAL_RECOV_ATTRIB_RESOURCES_URAN" hidden="1">"c9617"</definedName>
    <definedName name="IQ_TOTAL_RECOV_ATTRIB_RESOURCES_ZINC" hidden="1">"c9352"</definedName>
    <definedName name="IQ_TOTAL_RECOV_RESOURCES_ALUM" hidden="1">"c9236"</definedName>
    <definedName name="IQ_TOTAL_RECOV_RESOURCES_COAL" hidden="1">"c9815"</definedName>
    <definedName name="IQ_TOTAL_RECOV_RESOURCES_COP" hidden="1">"c9180"</definedName>
    <definedName name="IQ_TOTAL_RECOV_RESOURCES_DIAM" hidden="1">"c9660"</definedName>
    <definedName name="IQ_TOTAL_RECOV_RESOURCES_GOLD" hidden="1">"c9021"</definedName>
    <definedName name="IQ_TOTAL_RECOV_RESOURCES_IRON" hidden="1">"c9395"</definedName>
    <definedName name="IQ_TOTAL_RECOV_RESOURCES_LEAD" hidden="1">"c9448"</definedName>
    <definedName name="IQ_TOTAL_RECOV_RESOURCES_MANG" hidden="1">"c9501"</definedName>
    <definedName name="IQ_TOTAL_RECOV_RESOURCES_MET_COAL" hidden="1">"c9755"</definedName>
    <definedName name="IQ_TOTAL_RECOV_RESOURCES_MOLYB" hidden="1">"c9713"</definedName>
    <definedName name="IQ_TOTAL_RECOV_RESOURCES_NICK" hidden="1">"c9289"</definedName>
    <definedName name="IQ_TOTAL_RECOV_RESOURCES_PLAT" hidden="1">"c9127"</definedName>
    <definedName name="IQ_TOTAL_RECOV_RESOURCES_SILVER" hidden="1">"c9074"</definedName>
    <definedName name="IQ_TOTAL_RECOV_RESOURCES_STEAM" hidden="1">"c9785"</definedName>
    <definedName name="IQ_TOTAL_RECOV_RESOURCES_TITAN" hidden="1">"c9554"</definedName>
    <definedName name="IQ_TOTAL_RECOV_RESOURCES_URAN" hidden="1">"c9607"</definedName>
    <definedName name="IQ_TOTAL_RECOV_RESOURCES_ZINC" hidden="1">"c9342"</definedName>
    <definedName name="IQ_TOTAL_RECOVERIES_FDIC" hidden="1">"c6622"</definedName>
    <definedName name="IQ_TOTAL_RESOURCES_CALORIFIC_VALUE_COAL" hidden="1">"c9810"</definedName>
    <definedName name="IQ_TOTAL_RESOURCES_CALORIFIC_VALUE_MET_COAL" hidden="1">"c9750"</definedName>
    <definedName name="IQ_TOTAL_RESOURCES_CALORIFIC_VALUE_STEAM" hidden="1">"c9780"</definedName>
    <definedName name="IQ_TOTAL_RESOURCES_GRADE_ALUM" hidden="1">"c9231"</definedName>
    <definedName name="IQ_TOTAL_RESOURCES_GRADE_COP" hidden="1">"c9175"</definedName>
    <definedName name="IQ_TOTAL_RESOURCES_GRADE_DIAM" hidden="1">"c9655"</definedName>
    <definedName name="IQ_TOTAL_RESOURCES_GRADE_GOLD" hidden="1">"c9016"</definedName>
    <definedName name="IQ_TOTAL_RESOURCES_GRADE_IRON" hidden="1">"c9390"</definedName>
    <definedName name="IQ_TOTAL_RESOURCES_GRADE_LEAD" hidden="1">"c9443"</definedName>
    <definedName name="IQ_TOTAL_RESOURCES_GRADE_MANG" hidden="1">"c9496"</definedName>
    <definedName name="IQ_TOTAL_RESOURCES_GRADE_MOLYB" hidden="1">"c9708"</definedName>
    <definedName name="IQ_TOTAL_RESOURCES_GRADE_NICK" hidden="1">"c9284"</definedName>
    <definedName name="IQ_TOTAL_RESOURCES_GRADE_PLAT" hidden="1">"c9122"</definedName>
    <definedName name="IQ_TOTAL_RESOURCES_GRADE_SILVER" hidden="1">"c9069"</definedName>
    <definedName name="IQ_TOTAL_RESOURCES_GRADE_TITAN" hidden="1">"c9549"</definedName>
    <definedName name="IQ_TOTAL_RESOURCES_GRADE_URAN" hidden="1">"c9602"</definedName>
    <definedName name="IQ_TOTAL_RESOURCES_GRADE_ZINC" hidden="1">"c9337"</definedName>
    <definedName name="IQ_TOTAL_REV" hidden="1">"c1294"</definedName>
    <definedName name="IQ_TOTAL_REV_10YR_ANN_CAGR" hidden="1">"c6150"</definedName>
    <definedName name="IQ_TOTAL_REV_10YR_ANN_GROWTH" hidden="1">"c1295"</definedName>
    <definedName name="IQ_TOTAL_REV_1YR_ANN_GROWTH" hidden="1">"c1296"</definedName>
    <definedName name="IQ_TOTAL_REV_2YR_ANN_CAGR" hidden="1">"c6151"</definedName>
    <definedName name="IQ_TOTAL_REV_2YR_ANN_GROWTH" hidden="1">"c1297"</definedName>
    <definedName name="IQ_TOTAL_REV_3YR_ANN_CAGR" hidden="1">"c6152"</definedName>
    <definedName name="IQ_TOTAL_REV_3YR_ANN_GROWTH" hidden="1">"c1298"</definedName>
    <definedName name="IQ_TOTAL_REV_5YR_ANN_CAGR" hidden="1">"c6153"</definedName>
    <definedName name="IQ_TOTAL_REV_5YR_ANN_GROWTH" hidden="1">"c1299"</definedName>
    <definedName name="IQ_TOTAL_REV_7YR_ANN_CAGR" hidden="1">"c6154"</definedName>
    <definedName name="IQ_TOTAL_REV_7YR_ANN_GROWTH" hidden="1">"c1300"</definedName>
    <definedName name="IQ_TOTAL_REV_AS_REPORTED" hidden="1">"c1301"</definedName>
    <definedName name="IQ_TOTAL_REV_BNK" hidden="1">"c1302"</definedName>
    <definedName name="IQ_TOTAL_REV_BNK_FDIC" hidden="1">"c6786"</definedName>
    <definedName name="IQ_TOTAL_REV_BR" hidden="1">"c1303"</definedName>
    <definedName name="IQ_TOTAL_REV_EMPLOYEE" hidden="1">"c1304"</definedName>
    <definedName name="IQ_TOTAL_REV_FIN" hidden="1">"c1305"</definedName>
    <definedName name="IQ_TOTAL_REV_INS" hidden="1">"c1306"</definedName>
    <definedName name="IQ_TOTAL_REV_RE" hidden="1">"c6275"</definedName>
    <definedName name="IQ_TOTAL_REV_REIT" hidden="1">"c1307"</definedName>
    <definedName name="IQ_TOTAL_REV_SHARE" hidden="1">"c1912"</definedName>
    <definedName name="IQ_TOTAL_REV_SUBTOTAL_AP" hidden="1">"c8975"</definedName>
    <definedName name="IQ_TOTAL_REV_UTI" hidden="1">"c1308"</definedName>
    <definedName name="IQ_TOTAL_REVENUE" hidden="1">"c1436"</definedName>
    <definedName name="IQ_TOTAL_RISK_BASED_CAPITAL_RATIO_FDIC" hidden="1">"c6747"</definedName>
    <definedName name="IQ_TOTAL_ROOMS" hidden="1">"c8789"</definedName>
    <definedName name="IQ_TOTAL_SECURITIES_FDIC" hidden="1">"c6306"</definedName>
    <definedName name="IQ_TOTAL_SPECIAL" hidden="1">"c1618"</definedName>
    <definedName name="IQ_TOTAL_SQ_FT" hidden="1">"c8781"</definedName>
    <definedName name="IQ_TOTAL_ST_BORROW" hidden="1">"c1424"</definedName>
    <definedName name="IQ_TOTAL_SUB_DEBT" hidden="1">"c2528"</definedName>
    <definedName name="IQ_TOTAL_SUB_DEBT_EBITDA" hidden="1">"c2554"</definedName>
    <definedName name="IQ_TOTAL_SUB_DEBT_EBITDA_CAPEX" hidden="1">"c2555"</definedName>
    <definedName name="IQ_TOTAL_SUB_DEBT_PCT" hidden="1">"c2529"</definedName>
    <definedName name="IQ_TOTAL_SUBS" hidden="1">"c2119"</definedName>
    <definedName name="IQ_TOTAL_TIME_DEPOSITS_FDIC" hidden="1">"c6497"</definedName>
    <definedName name="IQ_TOTAL_TIME_SAVINGS_DEPOSITS_FDIC" hidden="1">"c6498"</definedName>
    <definedName name="IQ_TOTAL_UNITS" hidden="1">"c8773"</definedName>
    <definedName name="IQ_TOTAL_UNUSED_COMMITMENTS_FDIC" hidden="1">"c6536"</definedName>
    <definedName name="IQ_TOTAL_UNUSUAL" hidden="1">"c1508"</definedName>
    <definedName name="IQ_TOTAL_UNUSUAL_BNK" hidden="1">"c5516"</definedName>
    <definedName name="IQ_TOTAL_UNUSUAL_BR" hidden="1">"c5517"</definedName>
    <definedName name="IQ_TOTAL_UNUSUAL_FIN" hidden="1">"c5518"</definedName>
    <definedName name="IQ_TOTAL_UNUSUAL_INS" hidden="1">"c5519"</definedName>
    <definedName name="IQ_TOTAL_UNUSUAL_RE" hidden="1">"c6286"</definedName>
    <definedName name="IQ_TOTAL_UNUSUAL_REIT" hidden="1">"c5520"</definedName>
    <definedName name="IQ_TOTAL_UNUSUAL_UTI" hidden="1">"c5521"</definedName>
    <definedName name="IQ_TOTAL_WARRANTS_BEG_OS" hidden="1">"c2719"</definedName>
    <definedName name="IQ_TOTAL_WARRANTS_CANCELLED" hidden="1">"c2722"</definedName>
    <definedName name="IQ_TOTAL_WARRANTS_END_OS" hidden="1">"c2723"</definedName>
    <definedName name="IQ_TOTAL_WARRANTS_EXERCISED" hidden="1">"c2721"</definedName>
    <definedName name="IQ_TOTAL_WARRANTS_ISSUED" hidden="1">"c2720"</definedName>
    <definedName name="IQ_TR_ACCT_METHOD" hidden="1">"c2363"</definedName>
    <definedName name="IQ_TR_ACQ_52_WK_HI_PCT" hidden="1">"c2348"</definedName>
    <definedName name="IQ_TR_ACQ_52_WK_LOW_PCT" hidden="1">"c2347"</definedName>
    <definedName name="IQ_TR_ACQ_CASH_ST_INVEST" hidden="1">"c2372"</definedName>
    <definedName name="IQ_TR_ACQ_CLOSEPRICE_1D" hidden="1">"c3027"</definedName>
    <definedName name="IQ_TR_ACQ_DILUT_EPS_EXCL" hidden="1">"c3028"</definedName>
    <definedName name="IQ_TR_ACQ_EARNING_CO" hidden="1">"c2379"</definedName>
    <definedName name="IQ_TR_ACQ_EBIT" hidden="1">"c2380"</definedName>
    <definedName name="IQ_TR_ACQ_EBIT_EQ_INC" hidden="1">"c3611"</definedName>
    <definedName name="IQ_TR_ACQ_EBITDA" hidden="1">"c2381"</definedName>
    <definedName name="IQ_TR_ACQ_EBITDA_EQ_INC" hidden="1">"c3610"</definedName>
    <definedName name="IQ_TR_ACQ_FILING_CURRENCY" hidden="1">"c3033"</definedName>
    <definedName name="IQ_TR_ACQ_FILINGDATE" hidden="1">"c3607"</definedName>
    <definedName name="IQ_TR_ACQ_MCAP_1DAY" hidden="1">"c2345"</definedName>
    <definedName name="IQ_TR_ACQ_MIN_INT" hidden="1">"c2374"</definedName>
    <definedName name="IQ_TR_ACQ_NET_DEBT" hidden="1">"c2373"</definedName>
    <definedName name="IQ_TR_ACQ_NI" hidden="1">"c2378"</definedName>
    <definedName name="IQ_TR_ACQ_PERIODDATE" hidden="1">"c3606"</definedName>
    <definedName name="IQ_TR_ACQ_PRICEDATE_1D" hidden="1">"c2346"</definedName>
    <definedName name="IQ_TR_ACQ_RETURN" hidden="1">"c2349"</definedName>
    <definedName name="IQ_TR_ACQ_STOCKYEARHIGH_1D" hidden="1">"c2343"</definedName>
    <definedName name="IQ_TR_ACQ_STOCKYEARLOW_1D" hidden="1">"c2344"</definedName>
    <definedName name="IQ_TR_ACQ_TOTAL_ASSETS" hidden="1">"c2371"</definedName>
    <definedName name="IQ_TR_ACQ_TOTAL_COMMON_EQ" hidden="1">"c2377"</definedName>
    <definedName name="IQ_TR_ACQ_TOTAL_DEBT" hidden="1">"c2376"</definedName>
    <definedName name="IQ_TR_ACQ_TOTAL_PREF" hidden="1">"c2375"</definedName>
    <definedName name="IQ_TR_ACQ_TOTAL_REV" hidden="1">"c2382"</definedName>
    <definedName name="IQ_TR_ADJ_SIZE" hidden="1">"c3024"</definedName>
    <definedName name="IQ_TR_ANN_DATE" hidden="1">"c2395"</definedName>
    <definedName name="IQ_TR_ANN_DATE_BL" hidden="1">"c2394"</definedName>
    <definedName name="IQ_TR_BID_DATE" hidden="1">"c2357"</definedName>
    <definedName name="IQ_TR_BLUESKY_FEES" hidden="1">"c2277"</definedName>
    <definedName name="IQ_TR_BUY_ACC_ADVISORS" hidden="1">"c3048"</definedName>
    <definedName name="IQ_TR_BUY_FIN_ADVISORS" hidden="1">"c3045"</definedName>
    <definedName name="IQ_TR_BUY_LEG_ADVISORS" hidden="1">"c2387"</definedName>
    <definedName name="IQ_TR_BUYER_ID" hidden="1">"c2404"</definedName>
    <definedName name="IQ_TR_BUYERNAME" hidden="1">"c2401"</definedName>
    <definedName name="IQ_TR_CANCELLED_DATE" hidden="1">"c2284"</definedName>
    <definedName name="IQ_TR_CASH_CONSID_PCT" hidden="1">"c2296"</definedName>
    <definedName name="IQ_TR_CASH_ST_INVEST" hidden="1">"c3025"</definedName>
    <definedName name="IQ_TR_CHANGE_CONTROL" hidden="1">"c2365"</definedName>
    <definedName name="IQ_TR_CLOSED_DATE" hidden="1">"c2283"</definedName>
    <definedName name="IQ_TR_CO_NET_PROCEEDS" hidden="1">"c2268"</definedName>
    <definedName name="IQ_TR_CO_NET_PROCEEDS_PCT" hidden="1">"c2270"</definedName>
    <definedName name="IQ_TR_COMMENTS" hidden="1">"c2383"</definedName>
    <definedName name="IQ_TR_CURRENCY" hidden="1">"c3016"</definedName>
    <definedName name="IQ_TR_DEAL_ATTITUDE" hidden="1">"c2364"</definedName>
    <definedName name="IQ_TR_DEAL_CONDITIONS" hidden="1">"c2367"</definedName>
    <definedName name="IQ_TR_DEAL_RESOLUTION" hidden="1">"c2391"</definedName>
    <definedName name="IQ_TR_DEAL_RESPONSES" hidden="1">"c2366"</definedName>
    <definedName name="IQ_TR_DEBT_CONSID_PCT" hidden="1">"c2299"</definedName>
    <definedName name="IQ_TR_DEF_AGRMT_DATE" hidden="1">"c2285"</definedName>
    <definedName name="IQ_TR_DISCLOSED_FEES_EXP" hidden="1">"c2288"</definedName>
    <definedName name="IQ_TR_EARNOUTS" hidden="1">"c3023"</definedName>
    <definedName name="IQ_TR_EXPIRED_DATE" hidden="1">"c2412"</definedName>
    <definedName name="IQ_TR_GROSS_OFFERING_AMT" hidden="1">"c2262"</definedName>
    <definedName name="IQ_TR_HYBRID_CONSID_PCT" hidden="1">"c2300"</definedName>
    <definedName name="IQ_TR_IMPLIED_EQ" hidden="1">"c3018"</definedName>
    <definedName name="IQ_TR_IMPLIED_EQ_BV" hidden="1">"c3019"</definedName>
    <definedName name="IQ_TR_IMPLIED_EQ_NI_LTM" hidden="1">"c3020"</definedName>
    <definedName name="IQ_TR_IMPLIED_EV" hidden="1">"c2301"</definedName>
    <definedName name="IQ_TR_IMPLIED_EV_BV" hidden="1">"c2306"</definedName>
    <definedName name="IQ_TR_IMPLIED_EV_EBIT" hidden="1">"c2302"</definedName>
    <definedName name="IQ_TR_IMPLIED_EV_EBITDA" hidden="1">"c2303"</definedName>
    <definedName name="IQ_TR_IMPLIED_EV_NI_LTM" hidden="1">"c2307"</definedName>
    <definedName name="IQ_TR_IMPLIED_EV_REV" hidden="1">"c2304"</definedName>
    <definedName name="IQ_TR_INIT_FILED_DATE" hidden="1">"c3495"</definedName>
    <definedName name="IQ_TR_LOI_DATE" hidden="1">"c2282"</definedName>
    <definedName name="IQ_TR_MAJ_MIN_STAKE" hidden="1">"c2389"</definedName>
    <definedName name="IQ_TR_NEGOTIATED_BUYBACK_PRICE" hidden="1">"c2414"</definedName>
    <definedName name="IQ_TR_NET_ASSUM_LIABILITIES" hidden="1">"c2308"</definedName>
    <definedName name="IQ_TR_NET_PROCEEDS" hidden="1">"c2267"</definedName>
    <definedName name="IQ_TR_OFFER_DATE" hidden="1">"c2265"</definedName>
    <definedName name="IQ_TR_OFFER_DATE_MA" hidden="1">"c3035"</definedName>
    <definedName name="IQ_TR_OFFER_PER_SHARE" hidden="1">"c3017"</definedName>
    <definedName name="IQ_TR_OPTIONS_CONSID_PCT" hidden="1">"c2311"</definedName>
    <definedName name="IQ_TR_OTHER_CONSID" hidden="1">"c3022"</definedName>
    <definedName name="IQ_TR_PCT_SOUGHT" hidden="1">"c2309"</definedName>
    <definedName name="IQ_TR_PFEATURES" hidden="1">"c2384"</definedName>
    <definedName name="IQ_TR_PIPE_CONV_PRICE_SHARE" hidden="1">"c2292"</definedName>
    <definedName name="IQ_TR_PIPE_CPN_PCT" hidden="1">"c2291"</definedName>
    <definedName name="IQ_TR_PIPE_NUMBER_SHARES" hidden="1">"c2293"</definedName>
    <definedName name="IQ_TR_PIPE_PPS" hidden="1">"c2290"</definedName>
    <definedName name="IQ_TR_POSTMONEY_VAL" hidden="1">"c2286"</definedName>
    <definedName name="IQ_TR_PREDEAL_SITUATION" hidden="1">"c2390"</definedName>
    <definedName name="IQ_TR_PREF_CONSID_PCT" hidden="1">"c2310"</definedName>
    <definedName name="IQ_TR_PREMONEY_VAL" hidden="1">"c2287"</definedName>
    <definedName name="IQ_TR_PRINTING_FEES" hidden="1">"c2276"</definedName>
    <definedName name="IQ_TR_PT_MONETARY_VALUES" hidden="1">"c2415"</definedName>
    <definedName name="IQ_TR_PT_NUMBER_SHARES" hidden="1">"c2417"</definedName>
    <definedName name="IQ_TR_PT_PCT_SHARES" hidden="1">"c2416"</definedName>
    <definedName name="IQ_TR_RATING_FEES" hidden="1">"c2275"</definedName>
    <definedName name="IQ_TR_REG_EFFECT_DATE" hidden="1">"c2264"</definedName>
    <definedName name="IQ_TR_REG_FILED_DATE" hidden="1">"c2263"</definedName>
    <definedName name="IQ_TR_RENEWAL_BUYBACK" hidden="1">"c2413"</definedName>
    <definedName name="IQ_TR_ROUND_NUMBER" hidden="1">"c2295"</definedName>
    <definedName name="IQ_TR_SEC_FEES" hidden="1">"c2274"</definedName>
    <definedName name="IQ_TR_SECURITY_TYPE_REG" hidden="1">"c2279"</definedName>
    <definedName name="IQ_TR_SELL_ACC_ADVISORS" hidden="1">"c3049"</definedName>
    <definedName name="IQ_TR_SELL_FIN_ADVISORS" hidden="1">"c3046"</definedName>
    <definedName name="IQ_TR_SELL_LEG_ADVISORS" hidden="1">"c2388"</definedName>
    <definedName name="IQ_TR_SELLER_ID" hidden="1">"c2406"</definedName>
    <definedName name="IQ_TR_SELLERNAME" hidden="1">"c2402"</definedName>
    <definedName name="IQ_TR_SFEATURES" hidden="1">"c2385"</definedName>
    <definedName name="IQ_TR_SH_NET_PROCEEDS" hidden="1">"c2269"</definedName>
    <definedName name="IQ_TR_SH_NET_PROCEEDS_PCT" hidden="1">"c2271"</definedName>
    <definedName name="IQ_TR_SPECIAL_COMMITTEE" hidden="1">"c2362"</definedName>
    <definedName name="IQ_TR_STATUS" hidden="1">"c2399"</definedName>
    <definedName name="IQ_TR_STOCK_CONSID_PCT" hidden="1">"c2312"</definedName>
    <definedName name="IQ_TR_SUSPENDED_DATE" hidden="1">"c2407"</definedName>
    <definedName name="IQ_TR_TARGET_52WKHI_PCT" hidden="1">"c2351"</definedName>
    <definedName name="IQ_TR_TARGET_52WKLOW_PCT" hidden="1">"c2350"</definedName>
    <definedName name="IQ_TR_TARGET_ACC_ADVISORS" hidden="1">"c3047"</definedName>
    <definedName name="IQ_TR_TARGET_CASH_ST_INVEST" hidden="1">"c2327"</definedName>
    <definedName name="IQ_TR_TARGET_CLOSEPRICE_1D" hidden="1">"c2352"</definedName>
    <definedName name="IQ_TR_TARGET_CLOSEPRICE_1M" hidden="1">"c2354"</definedName>
    <definedName name="IQ_TR_TARGET_CLOSEPRICE_1W" hidden="1">"c2353"</definedName>
    <definedName name="IQ_TR_TARGET_DILUT_EPS_EXCL" hidden="1">"c2324"</definedName>
    <definedName name="IQ_TR_TARGET_EARNING_CO" hidden="1">"c2332"</definedName>
    <definedName name="IQ_TR_TARGET_EBIT" hidden="1">"c2333"</definedName>
    <definedName name="IQ_TR_TARGET_EBIT_EQ_INC" hidden="1">"c3609"</definedName>
    <definedName name="IQ_TR_TARGET_EBITDA" hidden="1">"c2334"</definedName>
    <definedName name="IQ_TR_TARGET_EBITDA_EQ_INC" hidden="1">"c3608"</definedName>
    <definedName name="IQ_TR_TARGET_FILING_CURRENCY" hidden="1">"c3034"</definedName>
    <definedName name="IQ_TR_TARGET_FILINGDATE" hidden="1">"c3605"</definedName>
    <definedName name="IQ_TR_TARGET_FIN_ADVISORS" hidden="1">"c3044"</definedName>
    <definedName name="IQ_TR_TARGET_ID" hidden="1">"c2405"</definedName>
    <definedName name="IQ_TR_TARGET_LEG_ADVISORS" hidden="1">"c2386"</definedName>
    <definedName name="IQ_TR_TARGET_MARKETCAP" hidden="1">"c2342"</definedName>
    <definedName name="IQ_TR_TARGET_MIN_INT" hidden="1">"c2328"</definedName>
    <definedName name="IQ_TR_TARGET_NET_DEBT" hidden="1">"c2326"</definedName>
    <definedName name="IQ_TR_TARGET_NI" hidden="1">"c2331"</definedName>
    <definedName name="IQ_TR_TARGET_PERIODDATE" hidden="1">"c3604"</definedName>
    <definedName name="IQ_TR_TARGET_PRICEDATE_1D" hidden="1">"c2341"</definedName>
    <definedName name="IQ_TR_TARGET_RETURN" hidden="1">"c2355"</definedName>
    <definedName name="IQ_TR_TARGET_SEC_DETAIL" hidden="1">"c3021"</definedName>
    <definedName name="IQ_TR_TARGET_SEC_TI_ID" hidden="1">"c2368"</definedName>
    <definedName name="IQ_TR_TARGET_SEC_TYPE" hidden="1">"c2369"</definedName>
    <definedName name="IQ_TR_TARGET_SPD" hidden="1">"c2313"</definedName>
    <definedName name="IQ_TR_TARGET_SPD_PCT" hidden="1">"c2314"</definedName>
    <definedName name="IQ_TR_TARGET_STOCKPREMIUM_1D" hidden="1">"c2336"</definedName>
    <definedName name="IQ_TR_TARGET_STOCKPREMIUM_1M" hidden="1">"c2337"</definedName>
    <definedName name="IQ_TR_TARGET_STOCKPREMIUM_1W" hidden="1">"c2338"</definedName>
    <definedName name="IQ_TR_TARGET_STOCKYEARHIGH_1D" hidden="1">"c2339"</definedName>
    <definedName name="IQ_TR_TARGET_STOCKYEARLOW_1D" hidden="1">"c2340"</definedName>
    <definedName name="IQ_TR_TARGET_TOTAL_ASSETS" hidden="1">"c2325"</definedName>
    <definedName name="IQ_TR_TARGET_TOTAL_COMMON_EQ" hidden="1">"c2421"</definedName>
    <definedName name="IQ_TR_TARGET_TOTAL_DEBT" hidden="1">"c2330"</definedName>
    <definedName name="IQ_TR_TARGET_TOTAL_PREF" hidden="1">"c2329"</definedName>
    <definedName name="IQ_TR_TARGET_TOTAL_REV" hidden="1">"c2335"</definedName>
    <definedName name="IQ_TR_TARGETNAME" hidden="1">"c2403"</definedName>
    <definedName name="IQ_TR_TERM_FEE" hidden="1">"c2298"</definedName>
    <definedName name="IQ_TR_TERM_FEE_PCT" hidden="1">"c2297"</definedName>
    <definedName name="IQ_TR_TODATE" hidden="1">"c3036"</definedName>
    <definedName name="IQ_TR_TODATE_MONETARY_VALUE" hidden="1">"c2418"</definedName>
    <definedName name="IQ_TR_TODATE_NUMBER_SHARES" hidden="1">"c2420"</definedName>
    <definedName name="IQ_TR_TODATE_PCT_SHARES" hidden="1">"c2419"</definedName>
    <definedName name="IQ_TR_TOTAL_ACCT_FEES" hidden="1">"c2273"</definedName>
    <definedName name="IQ_TR_TOTAL_CASH" hidden="1">"c2315"</definedName>
    <definedName name="IQ_TR_TOTAL_CONSID_SH" hidden="1">"c2316"</definedName>
    <definedName name="IQ_TR_TOTAL_DEBT" hidden="1">"c2317"</definedName>
    <definedName name="IQ_TR_TOTAL_GROSS_TV" hidden="1">"c2318"</definedName>
    <definedName name="IQ_TR_TOTAL_HYBRID" hidden="1">"c2319"</definedName>
    <definedName name="IQ_TR_TOTAL_LEGAL_FEES" hidden="1">"c2272"</definedName>
    <definedName name="IQ_TR_TOTAL_NET_TV" hidden="1">"c2320"</definedName>
    <definedName name="IQ_TR_TOTAL_NEWMONEY" hidden="1">"c2289"</definedName>
    <definedName name="IQ_TR_TOTAL_OPTIONS" hidden="1">"c2322"</definedName>
    <definedName name="IQ_TR_TOTAL_OPTIONS_BUYER" hidden="1">"c3026"</definedName>
    <definedName name="IQ_TR_TOTAL_PREFERRED" hidden="1">"c2321"</definedName>
    <definedName name="IQ_TR_TOTAL_REG_AMT" hidden="1">"c2261"</definedName>
    <definedName name="IQ_TR_TOTAL_STOCK" hidden="1">"c2323"</definedName>
    <definedName name="IQ_TR_TOTAL_TAKEDOWNS" hidden="1">"c2278"</definedName>
    <definedName name="IQ_TR_TOTAL_UW_COMP" hidden="1">"c2280"</definedName>
    <definedName name="IQ_TR_TOTALVALUE" hidden="1">"c2400"</definedName>
    <definedName name="IQ_TR_TRANSACTION_TYPE" hidden="1">"c2398"</definedName>
    <definedName name="IQ_TR_WITHDRAWN_DTE" hidden="1">"c2266"</definedName>
    <definedName name="IQ_TRADE_AR" hidden="1">"c1345"</definedName>
    <definedName name="IQ_TRADE_PRINCIPAL" hidden="1">"c1309"</definedName>
    <definedName name="IQ_TRADING_ACCOUNT_GAINS_FEES_FDIC" hidden="1">"c6573"</definedName>
    <definedName name="IQ_TRADING_ASSETS" hidden="1">"c1310"</definedName>
    <definedName name="IQ_TRADING_ASSETS_FDIC" hidden="1">"c6328"</definedName>
    <definedName name="IQ_TRADING_CURRENCY" hidden="1">"c2212"</definedName>
    <definedName name="IQ_TRADING_ITEM_CIQID" hidden="1">"c8949"</definedName>
    <definedName name="IQ_TRADING_LIABILITIES_FDIC" hidden="1">"c6344"</definedName>
    <definedName name="IQ_TRANSACTION_ACCOUNTS_FDIC" hidden="1">"c6544"</definedName>
    <definedName name="IQ_TREASURY" hidden="1">"c1311"</definedName>
    <definedName name="IQ_TREASURY_OTHER_EQUITY" hidden="1">"c1312"</definedName>
    <definedName name="IQ_TREASURY_OTHER_EQUITY_BNK" hidden="1">"c1313"</definedName>
    <definedName name="IQ_TREASURY_OTHER_EQUITY_BR" hidden="1">"c1314"</definedName>
    <definedName name="IQ_TREASURY_OTHER_EQUITY_FIN" hidden="1">"c1315"</definedName>
    <definedName name="IQ_TREASURY_OTHER_EQUITY_INS" hidden="1">"c1316"</definedName>
    <definedName name="IQ_TREASURY_OTHER_EQUITY_RE" hidden="1">"c6276"</definedName>
    <definedName name="IQ_TREASURY_OTHER_EQUITY_REIT" hidden="1">"c1317"</definedName>
    <definedName name="IQ_TREASURY_OTHER_EQUITY_UTI" hidden="1">"c1318"</definedName>
    <definedName name="IQ_TREASURY_STOCK" hidden="1">"c1438"</definedName>
    <definedName name="IQ_TREASURY_STOCK_TRANSACTIONS_FDIC" hidden="1">"c6501"</definedName>
    <definedName name="IQ_TRUCK_ASSEMBLIES" hidden="1">"c7021"</definedName>
    <definedName name="IQ_TRUCK_ASSEMBLIES_APR" hidden="1">"c7681"</definedName>
    <definedName name="IQ_TRUCK_ASSEMBLIES_APR_FC" hidden="1">"c8561"</definedName>
    <definedName name="IQ_TRUCK_ASSEMBLIES_FC" hidden="1">"c7901"</definedName>
    <definedName name="IQ_TRUCK_ASSEMBLIES_POP" hidden="1">"c7241"</definedName>
    <definedName name="IQ_TRUCK_ASSEMBLIES_POP_FC" hidden="1">"c8121"</definedName>
    <definedName name="IQ_TRUCK_ASSEMBLIES_YOY" hidden="1">"c7461"</definedName>
    <definedName name="IQ_TRUCK_ASSEMBLIES_YOY_FC" hidden="1">"c8341"</definedName>
    <definedName name="IQ_TRUST_INC" hidden="1">"c1319"</definedName>
    <definedName name="IQ_TRUST_PREF" hidden="1">"c1320"</definedName>
    <definedName name="IQ_TRUST_PREFERRED" hidden="1">"c3029"</definedName>
    <definedName name="IQ_TRUST_PREFERRED_PCT" hidden="1">"c3030"</definedName>
    <definedName name="IQ_TRUSTEE" hidden="1">"c8959"</definedName>
    <definedName name="IQ_TWELVE_MONTHS_FIXED_AND_FLOATING_FDIC" hidden="1">"c6420"</definedName>
    <definedName name="IQ_TWELVE_MONTHS_MORTGAGE_PASS_THROUGHS_FDIC" hidden="1">"c6412"</definedName>
    <definedName name="IQ_UFCF_10YR_ANN_CAGR" hidden="1">"c6179"</definedName>
    <definedName name="IQ_UFCF_10YR_ANN_GROWTH" hidden="1">"c1948"</definedName>
    <definedName name="IQ_UFCF_1YR_ANN_GROWTH" hidden="1">"c1943"</definedName>
    <definedName name="IQ_UFCF_2YR_ANN_CAGR" hidden="1">"c6175"</definedName>
    <definedName name="IQ_UFCF_2YR_ANN_GROWTH" hidden="1">"c1944"</definedName>
    <definedName name="IQ_UFCF_3YR_ANN_CAGR" hidden="1">"c6176"</definedName>
    <definedName name="IQ_UFCF_3YR_ANN_GROWTH" hidden="1">"c1945"</definedName>
    <definedName name="IQ_UFCF_5YR_ANN_CAGR" hidden="1">"c6177"</definedName>
    <definedName name="IQ_UFCF_5YR_ANN_GROWTH" hidden="1">"c1946"</definedName>
    <definedName name="IQ_UFCF_7YR_ANN_CAGR" hidden="1">"c6178"</definedName>
    <definedName name="IQ_UFCF_7YR_ANN_GROWTH" hidden="1">"c1947"</definedName>
    <definedName name="IQ_UFCF_MARGIN" hidden="1">"c1962"</definedName>
    <definedName name="IQ_ULT_PARENT" hidden="1">"c3037"</definedName>
    <definedName name="IQ_ULT_PARENT_CIQID" hidden="1">"c3039"</definedName>
    <definedName name="IQ_ULT_PARENT_TICKER" hidden="1">"c3038"</definedName>
    <definedName name="IQ_UNAMORT_DISC" hidden="1">"c2513"</definedName>
    <definedName name="IQ_UNAMORT_DISC_PCT" hidden="1">"c2514"</definedName>
    <definedName name="IQ_UNAMORT_PREMIUM" hidden="1">"c2511"</definedName>
    <definedName name="IQ_UNAMORT_PREMIUM_PCT" hidden="1">"c2512"</definedName>
    <definedName name="IQ_UNCONSOL_BEDS" hidden="1">"c8783"</definedName>
    <definedName name="IQ_UNCONSOL_PROP" hidden="1">"c8762"</definedName>
    <definedName name="IQ_UNCONSOL_ROOMS" hidden="1">"c8787"</definedName>
    <definedName name="IQ_UNCONSOL_SQ_FT" hidden="1">"c8778"</definedName>
    <definedName name="IQ_UNCONSOL_UNITS" hidden="1">"c8770"</definedName>
    <definedName name="IQ_UNDERWRITER" hidden="1">"c8958"</definedName>
    <definedName name="IQ_UNDERWRITING_PROFIT" hidden="1">"c9975"</definedName>
    <definedName name="IQ_UNDIVIDED_PROFITS_FDIC" hidden="1">"c6352"</definedName>
    <definedName name="IQ_UNDRAWN_CP" hidden="1">"c2518"</definedName>
    <definedName name="IQ_UNDRAWN_CREDIT" hidden="1">"c3032"</definedName>
    <definedName name="IQ_UNDRAWN_RC" hidden="1">"c2517"</definedName>
    <definedName name="IQ_UNDRAWN_TL" hidden="1">"c2519"</definedName>
    <definedName name="IQ_UNEARN_PREMIUM" hidden="1">"c1321"</definedName>
    <definedName name="IQ_UNEARN_REV_CURRENT" hidden="1">"c1322"</definedName>
    <definedName name="IQ_UNEARN_REV_CURRENT_BNK" hidden="1">"c1323"</definedName>
    <definedName name="IQ_UNEARN_REV_CURRENT_BR" hidden="1">"c1324"</definedName>
    <definedName name="IQ_UNEARN_REV_CURRENT_FIN" hidden="1">"c1325"</definedName>
    <definedName name="IQ_UNEARN_REV_CURRENT_INS" hidden="1">"c1326"</definedName>
    <definedName name="IQ_UNEARN_REV_CURRENT_RE" hidden="1">"c6277"</definedName>
    <definedName name="IQ_UNEARN_REV_CURRENT_REIT" hidden="1">"c1327"</definedName>
    <definedName name="IQ_UNEARN_REV_CURRENT_UTI" hidden="1">"c1328"</definedName>
    <definedName name="IQ_UNEARN_REV_LT" hidden="1">"c1329"</definedName>
    <definedName name="IQ_UNEARNED_INCOME_FDIC" hidden="1">"c6324"</definedName>
    <definedName name="IQ_UNEARNED_INCOME_FOREIGN_FDIC" hidden="1">"c6385"</definedName>
    <definedName name="IQ_UNEMPLOYMENT_RATE" hidden="1">"c7023"</definedName>
    <definedName name="IQ_UNEMPLOYMENT_RATE_FC" hidden="1">"c7903"</definedName>
    <definedName name="IQ_UNEMPLOYMENT_RATE_POP" hidden="1">"c7243"</definedName>
    <definedName name="IQ_UNEMPLOYMENT_RATE_POP_FC" hidden="1">"c8123"</definedName>
    <definedName name="IQ_UNEMPLOYMENT_RATE_YOY" hidden="1">"c7463"</definedName>
    <definedName name="IQ_UNEMPLOYMENT_RATE_YOY_FC" hidden="1">"c8343"</definedName>
    <definedName name="IQ_UNIT_LABOR_COST_INDEX" hidden="1">"c7025"</definedName>
    <definedName name="IQ_UNIT_LABOR_COST_INDEX_APR" hidden="1">"c7685"</definedName>
    <definedName name="IQ_UNIT_LABOR_COST_INDEX_APR_FC" hidden="1">"c8565"</definedName>
    <definedName name="IQ_UNIT_LABOR_COST_INDEX_FC" hidden="1">"c7905"</definedName>
    <definedName name="IQ_UNIT_LABOR_COST_INDEX_PCT_CHANGE" hidden="1">"c7024"</definedName>
    <definedName name="IQ_UNIT_LABOR_COST_INDEX_PCT_CHANGE_FC" hidden="1">"c7904"</definedName>
    <definedName name="IQ_UNIT_LABOR_COST_INDEX_PCT_CHANGE_POP" hidden="1">"c7244"</definedName>
    <definedName name="IQ_UNIT_LABOR_COST_INDEX_PCT_CHANGE_POP_FC" hidden="1">"c8124"</definedName>
    <definedName name="IQ_UNIT_LABOR_COST_INDEX_PCT_CHANGE_YOY" hidden="1">"c7464"</definedName>
    <definedName name="IQ_UNIT_LABOR_COST_INDEX_PCT_CHANGE_YOY_FC" hidden="1">"c8344"</definedName>
    <definedName name="IQ_UNIT_LABOR_COST_INDEX_POP" hidden="1">"c7245"</definedName>
    <definedName name="IQ_UNIT_LABOR_COST_INDEX_POP_FC" hidden="1">"c8125"</definedName>
    <definedName name="IQ_UNIT_LABOR_COST_INDEX_YOY" hidden="1">"c7465"</definedName>
    <definedName name="IQ_UNIT_LABOR_COST_INDEX_YOY_FC" hidden="1">"c8345"</definedName>
    <definedName name="IQ_UNLEVERED_FCF" hidden="1">"c1908"</definedName>
    <definedName name="IQ_UNPAID_CLAIMS" hidden="1">"c1330"</definedName>
    <definedName name="IQ_UNPROFITABLE_INSTITUTIONS_FDIC" hidden="1">"c6722"</definedName>
    <definedName name="IQ_UNREALIZED_GAIN" hidden="1">"c1619"</definedName>
    <definedName name="IQ_UNSECURED_DEBT" hidden="1">"c2548"</definedName>
    <definedName name="IQ_UNSECURED_DEBT_PCT" hidden="1">"c2549"</definedName>
    <definedName name="IQ_UNUSED_LOAN_COMMITMENTS_FDIC" hidden="1">"c6368"</definedName>
    <definedName name="IQ_UNUSUAL_EXP" hidden="1">"c1456"</definedName>
    <definedName name="IQ_US_BRANCHES_FOREIGN_BANK_LOANS_FDIC" hidden="1">"c6435"</definedName>
    <definedName name="IQ_US_BRANCHES_FOREIGN_BANKS_FDIC" hidden="1">"c6390"</definedName>
    <definedName name="IQ_US_GAAP" hidden="1">"c1331"</definedName>
    <definedName name="IQ_US_GAAP_BASIC_EPS_EXCL" hidden="1">"c2984"</definedName>
    <definedName name="IQ_US_GAAP_BASIC_EPS_INCL" hidden="1">"c2982"</definedName>
    <definedName name="IQ_US_GAAP_BASIC_WEIGHT" hidden="1">"c2980"</definedName>
    <definedName name="IQ_US_GAAP_CA_ADJ" hidden="1">"c2925"</definedName>
    <definedName name="IQ_US_GAAP_CASH_FINAN" hidden="1">"c2945"</definedName>
    <definedName name="IQ_US_GAAP_CASH_FINAN_ADJ" hidden="1">"c2941"</definedName>
    <definedName name="IQ_US_GAAP_CASH_INVEST" hidden="1">"c2944"</definedName>
    <definedName name="IQ_US_GAAP_CASH_INVEST_ADJ" hidden="1">"c2940"</definedName>
    <definedName name="IQ_US_GAAP_CASH_OPER" hidden="1">"c2943"</definedName>
    <definedName name="IQ_US_GAAP_CASH_OPER_ADJ" hidden="1">"c2939"</definedName>
    <definedName name="IQ_US_GAAP_CL_ADJ" hidden="1">"c2927"</definedName>
    <definedName name="IQ_US_GAAP_COST_REV_ADJ" hidden="1">"c2951"</definedName>
    <definedName name="IQ_US_GAAP_DILUT_EPS_EXCL" hidden="1">"c2985"</definedName>
    <definedName name="IQ_US_GAAP_DILUT_EPS_INCL" hidden="1">"c2983"</definedName>
    <definedName name="IQ_US_GAAP_DILUT_NI" hidden="1">"c2979"</definedName>
    <definedName name="IQ_US_GAAP_DILUT_WEIGHT" hidden="1">"c2981"</definedName>
    <definedName name="IQ_US_GAAP_DO_ADJ" hidden="1">"c2959"</definedName>
    <definedName name="IQ_US_GAAP_EXTRA_ACC_ITEMS_ADJ" hidden="1">"c2958"</definedName>
    <definedName name="IQ_US_GAAP_INC_TAX_ADJ" hidden="1">"c2961"</definedName>
    <definedName name="IQ_US_GAAP_INTEREST_EXP_ADJ" hidden="1">"c2957"</definedName>
    <definedName name="IQ_US_GAAP_LIAB_LT_ADJ" hidden="1">"c2928"</definedName>
    <definedName name="IQ_US_GAAP_LIAB_TOTAL_LIAB" hidden="1">"c2933"</definedName>
    <definedName name="IQ_US_GAAP_MINORITY_INTEREST_IS_ADJ" hidden="1">"c2960"</definedName>
    <definedName name="IQ_US_GAAP_NCA_ADJ" hidden="1">"c2926"</definedName>
    <definedName name="IQ_US_GAAP_NET_CHANGE" hidden="1">"c2946"</definedName>
    <definedName name="IQ_US_GAAP_NET_CHANGE_ADJ" hidden="1">"c2942"</definedName>
    <definedName name="IQ_US_GAAP_NI" hidden="1">"c2976"</definedName>
    <definedName name="IQ_US_GAAP_NI_ADJ" hidden="1">"c2963"</definedName>
    <definedName name="IQ_US_GAAP_NI_AVAIL_INCL" hidden="1">"c2978"</definedName>
    <definedName name="IQ_US_GAAP_OTHER_ADJ_ADJ" hidden="1">"c2962"</definedName>
    <definedName name="IQ_US_GAAP_OTHER_NON_OPER_ADJ" hidden="1">"c2955"</definedName>
    <definedName name="IQ_US_GAAP_OTHER_OPER_ADJ" hidden="1">"c2954"</definedName>
    <definedName name="IQ_US_GAAP_RD_ADJ" hidden="1">"c2953"</definedName>
    <definedName name="IQ_US_GAAP_SGA_ADJ" hidden="1">"c2952"</definedName>
    <definedName name="IQ_US_GAAP_TOTAL_ASSETS" hidden="1">"c2931"</definedName>
    <definedName name="IQ_US_GAAP_TOTAL_EQUITY" hidden="1">"c2934"</definedName>
    <definedName name="IQ_US_GAAP_TOTAL_EQUITY_ADJ" hidden="1">"c2929"</definedName>
    <definedName name="IQ_US_GAAP_TOTAL_REV_ADJ" hidden="1">"c2950"</definedName>
    <definedName name="IQ_US_GAAP_TOTAL_UNUSUAL_ADJ" hidden="1">"c2956"</definedName>
    <definedName name="IQ_US_GOV_AGENCIES_FDIC" hidden="1">"c6395"</definedName>
    <definedName name="IQ_US_GOV_DEPOSITS_FDIC" hidden="1">"c6483"</definedName>
    <definedName name="IQ_US_GOV_ENTERPRISES_FDIC" hidden="1">"c6396"</definedName>
    <definedName name="IQ_US_GOV_NONCURRENT_LOANS_TOTAL_NONCURRENT_FDIC" hidden="1">"c6779"</definedName>
    <definedName name="IQ_US_GOV_NONTRANSACTION_ACCOUNTS_FDIC" hidden="1">"c6546"</definedName>
    <definedName name="IQ_US_GOV_OBLIGATIONS_FDIC" hidden="1">"c6299"</definedName>
    <definedName name="IQ_US_GOV_SECURITIES_FDIC" hidden="1">"c6297"</definedName>
    <definedName name="IQ_US_GOV_TOTAL_DEPOSITS_FDIC" hidden="1">"c6472"</definedName>
    <definedName name="IQ_US_GOV_TRANSACTION_ACCOUNTS_FDIC" hidden="1">"c6538"</definedName>
    <definedName name="IQ_US_TREASURY_SECURITIES_FDIC" hidden="1">"c6298"</definedName>
    <definedName name="IQ_UTIL_PPE_NET" hidden="1">"c1620"</definedName>
    <definedName name="IQ_UTIL_REV" hidden="1">"c2091"</definedName>
    <definedName name="IQ_UV_PENSION_LIAB" hidden="1">"c1332"</definedName>
    <definedName name="IQ_VALUATION_ALLOWANCES_FDIC" hidden="1">"c6400"</definedName>
    <definedName name="IQ_VALUE_TRADED" hidden="1">"c1519"</definedName>
    <definedName name="IQ_VALUE_TRADED_LAST_3MTH" hidden="1">"c1530"</definedName>
    <definedName name="IQ_VALUE_TRADED_LAST_6MTH" hidden="1">"c1531"</definedName>
    <definedName name="IQ_VALUE_TRADED_LAST_MTH" hidden="1">"c1529"</definedName>
    <definedName name="IQ_VALUE_TRADED_LAST_WK" hidden="1">"c1528"</definedName>
    <definedName name="IQ_VALUE_TRADED_LAST_YR" hidden="1">"c1532"</definedName>
    <definedName name="IQ_VC_REVENUE_FDIC" hidden="1">"c6667"</definedName>
    <definedName name="IQ_VEHICLE_ASSEMBLIES_LIGHT" hidden="1">"c6905"</definedName>
    <definedName name="IQ_VEHICLE_ASSEMBLIES_LIGHT_APR" hidden="1">"c7565"</definedName>
    <definedName name="IQ_VEHICLE_ASSEMBLIES_LIGHT_APR_FC" hidden="1">"c8445"</definedName>
    <definedName name="IQ_VEHICLE_ASSEMBLIES_LIGHT_FC" hidden="1">"c7785"</definedName>
    <definedName name="IQ_VEHICLE_ASSEMBLIES_LIGHT_NEW" hidden="1">"c6925"</definedName>
    <definedName name="IQ_VEHICLE_ASSEMBLIES_LIGHT_NEW_APR" hidden="1">"c7585"</definedName>
    <definedName name="IQ_VEHICLE_ASSEMBLIES_LIGHT_NEW_APR_FC" hidden="1">"c8465"</definedName>
    <definedName name="IQ_VEHICLE_ASSEMBLIES_LIGHT_NEW_FC" hidden="1">"c7805"</definedName>
    <definedName name="IQ_VEHICLE_ASSEMBLIES_LIGHT_NEW_POP" hidden="1">"c7145"</definedName>
    <definedName name="IQ_VEHICLE_ASSEMBLIES_LIGHT_NEW_POP_FC" hidden="1">"c8025"</definedName>
    <definedName name="IQ_VEHICLE_ASSEMBLIES_LIGHT_NEW_YOY" hidden="1">"c7365"</definedName>
    <definedName name="IQ_VEHICLE_ASSEMBLIES_LIGHT_NEW_YOY_FC" hidden="1">"c8245"</definedName>
    <definedName name="IQ_VEHICLE_ASSEMBLIES_LIGHT_POP" hidden="1">"c7125"</definedName>
    <definedName name="IQ_VEHICLE_ASSEMBLIES_LIGHT_POP_FC" hidden="1">"c8005"</definedName>
    <definedName name="IQ_VEHICLE_ASSEMBLIES_LIGHT_YOY" hidden="1">"c7345"</definedName>
    <definedName name="IQ_VEHICLE_ASSEMBLIES_LIGHT_YOY_FC" hidden="1">"c8225"</definedName>
    <definedName name="IQ_VEHICLE_ASSEMBLIES_TOTAL" hidden="1">"c7020"</definedName>
    <definedName name="IQ_VEHICLE_ASSEMBLIES_TOTAL_APR" hidden="1">"c7680"</definedName>
    <definedName name="IQ_VEHICLE_ASSEMBLIES_TOTAL_APR_FC" hidden="1">"c8560"</definedName>
    <definedName name="IQ_VEHICLE_ASSEMBLIES_TOTAL_FC" hidden="1">"c7900"</definedName>
    <definedName name="IQ_VEHICLE_ASSEMBLIES_TOTAL_POP" hidden="1">"c7240"</definedName>
    <definedName name="IQ_VEHICLE_ASSEMBLIES_TOTAL_POP_FC" hidden="1">"c8120"</definedName>
    <definedName name="IQ_VEHICLE_ASSEMBLIES_TOTAL_YOY" hidden="1">"c7460"</definedName>
    <definedName name="IQ_VEHICLE_ASSEMBLIES_TOTAL_YOY_FC" hidden="1">"c8340"</definedName>
    <definedName name="IQ_VIF_AFTER_COST_CAPITAL_COVERED" hidden="1">"c9966"</definedName>
    <definedName name="IQ_VIF_AFTER_COST_CAPITAL_GROUP" hidden="1">"c9952"</definedName>
    <definedName name="IQ_VIF_BEFORE_COST_CAPITAL_COVERED" hidden="1">"c9964"</definedName>
    <definedName name="IQ_VIF_BEFORE_COST_CAPITAL_GROUP" hidden="1">"c9950"</definedName>
    <definedName name="IQ_VOL_LAST_3MTH" hidden="1">"c1525"</definedName>
    <definedName name="IQ_VOL_LAST_6MTH" hidden="1">"c1526"</definedName>
    <definedName name="IQ_VOL_LAST_MTH" hidden="1">"c1524"</definedName>
    <definedName name="IQ_VOL_LAST_WK" hidden="1">"c1523"</definedName>
    <definedName name="IQ_VOL_LAST_YR" hidden="1">"c1527"</definedName>
    <definedName name="IQ_VOLATILE_LIABILITIES_FDIC" hidden="1">"c6364"</definedName>
    <definedName name="IQ_VOLUME" hidden="1">"c1333"</definedName>
    <definedName name="IQ_WAC_CURRENT" hidden="1">"c8961"</definedName>
    <definedName name="IQ_WAC_ORIGINAL" hidden="1">"c8953"</definedName>
    <definedName name="IQ_WAM_CURRENT" hidden="1">"c8962"</definedName>
    <definedName name="IQ_WAM_ORIGINAL" hidden="1">"c8952"</definedName>
    <definedName name="IQ_WARRANTS_BEG_OS" hidden="1">"c2698"</definedName>
    <definedName name="IQ_WARRANTS_CANCELLED" hidden="1">"c2701"</definedName>
    <definedName name="IQ_WARRANTS_END_OS" hidden="1">"c2702"</definedName>
    <definedName name="IQ_WARRANTS_EXERCISED" hidden="1">"c2700"</definedName>
    <definedName name="IQ_WARRANTS_ISSUED" hidden="1">"c2699"</definedName>
    <definedName name="IQ_WARRANTS_STRIKE_PRICE_ISSUED" hidden="1">"c2704"</definedName>
    <definedName name="IQ_WARRANTS_STRIKE_PRICE_OS" hidden="1">"c2703"</definedName>
    <definedName name="IQ_WEEK" hidden="1">50000</definedName>
    <definedName name="IQ_WEIGHTED_AVG_PRICE" hidden="1">"c1334"</definedName>
    <definedName name="IQ_WHOLESALE_INVENTORIES" hidden="1">"c7027"</definedName>
    <definedName name="IQ_WHOLESALE_INVENTORIES_APR" hidden="1">"c7687"</definedName>
    <definedName name="IQ_WHOLESALE_INVENTORIES_APR_FC" hidden="1">"c8567"</definedName>
    <definedName name="IQ_WHOLESALE_INVENTORIES_FC" hidden="1">"c7907"</definedName>
    <definedName name="IQ_WHOLESALE_INVENTORIES_POP" hidden="1">"c7247"</definedName>
    <definedName name="IQ_WHOLESALE_INVENTORIES_POP_FC" hidden="1">"c8127"</definedName>
    <definedName name="IQ_WHOLESALE_INVENTORIES_YOY" hidden="1">"c7467"</definedName>
    <definedName name="IQ_WHOLESALE_INVENTORIES_YOY_FC" hidden="1">"c8347"</definedName>
    <definedName name="IQ_WHOLESALE_IS_RATIO" hidden="1">"c7026"</definedName>
    <definedName name="IQ_WHOLESALE_IS_RATIO_FC" hidden="1">"c7906"</definedName>
    <definedName name="IQ_WHOLESALE_IS_RATIO_POP" hidden="1">"c7246"</definedName>
    <definedName name="IQ_WHOLESALE_IS_RATIO_POP_FC" hidden="1">"c8126"</definedName>
    <definedName name="IQ_WHOLESALE_IS_RATIO_YOY" hidden="1">"c7466"</definedName>
    <definedName name="IQ_WHOLESALE_IS_RATIO_YOY_FC" hidden="1">"c8346"</definedName>
    <definedName name="IQ_WHOLESALE_SALES" hidden="1">"c7028"</definedName>
    <definedName name="IQ_WHOLESALE_SALES_APR" hidden="1">"c7688"</definedName>
    <definedName name="IQ_WHOLESALE_SALES_APR_FC" hidden="1">"c8568"</definedName>
    <definedName name="IQ_WHOLESALE_SALES_FC" hidden="1">"c7908"</definedName>
    <definedName name="IQ_WHOLESALE_SALES_INDEX" hidden="1">"c7029"</definedName>
    <definedName name="IQ_WHOLESALE_SALES_INDEX_APR" hidden="1">"c7689"</definedName>
    <definedName name="IQ_WHOLESALE_SALES_INDEX_APR_FC" hidden="1">"c8569"</definedName>
    <definedName name="IQ_WHOLESALE_SALES_INDEX_FC" hidden="1">"c7909"</definedName>
    <definedName name="IQ_WHOLESALE_SALES_INDEX_POP" hidden="1">"c7249"</definedName>
    <definedName name="IQ_WHOLESALE_SALES_INDEX_POP_FC" hidden="1">"c8129"</definedName>
    <definedName name="IQ_WHOLESALE_SALES_INDEX_YOY" hidden="1">"c7469"</definedName>
    <definedName name="IQ_WHOLESALE_SALES_INDEX_YOY_FC" hidden="1">"c8349"</definedName>
    <definedName name="IQ_WHOLESALE_SALES_POP" hidden="1">"c7248"</definedName>
    <definedName name="IQ_WHOLESALE_SALES_POP_FC" hidden="1">"c8128"</definedName>
    <definedName name="IQ_WHOLESALE_SALES_YOY" hidden="1">"c7468"</definedName>
    <definedName name="IQ_WHOLESALE_SALES_YOY_FC" hidden="1">"c8348"</definedName>
    <definedName name="IQ_WIP_INV" hidden="1">"c1335"</definedName>
    <definedName name="IQ_WORKING_CAP" hidden="1">"c3494"</definedName>
    <definedName name="IQ_WORKMEN_WRITTEN" hidden="1">"c1336"</definedName>
    <definedName name="IQ_WRITTEN_OPTION_CONTRACTS_FDIC" hidden="1">"c6509"</definedName>
    <definedName name="IQ_WRITTEN_OPTION_CONTRACTS_FX_RISK_FDIC" hidden="1">"c6514"</definedName>
    <definedName name="IQ_WRITTEN_OPTION_CONTRACTS_NON_FX_IR_FDIC" hidden="1">"c6519"</definedName>
    <definedName name="IQ_XDIV_DATE" hidden="1">"c2104"</definedName>
    <definedName name="IQ_YEAR_FOUNDED" hidden="1">"c6793"</definedName>
    <definedName name="IQ_YEARHIGH" hidden="1">"c1337"</definedName>
    <definedName name="IQ_YEARHIGH_DATE" hidden="1">"c2250"</definedName>
    <definedName name="IQ_YEARLOW" hidden="1">"c1338"</definedName>
    <definedName name="IQ_YEARLOW_DATE" hidden="1">"c2251"</definedName>
    <definedName name="IQ_YTD" hidden="1">3000</definedName>
    <definedName name="IQ_YTW" hidden="1">"c2163"</definedName>
    <definedName name="IQ_YTW_DATE" hidden="1">"c2164"</definedName>
    <definedName name="IQ_YTW_DATE_TYPE" hidden="1">"c2165"</definedName>
    <definedName name="IQ_Z_SCORE" hidden="1">"c1339"</definedName>
    <definedName name="ITC_Rate_Treatment_Options">[3]ValidationOptions!$B$173:$B$175</definedName>
    <definedName name="ITC_Treatment_Options">[3]ValidationOptions!$B$169:$B$170</definedName>
    <definedName name="Location_State">[3]ValidationOptions!$B$196:$B$201</definedName>
    <definedName name="MACRSLives">[3]DepreciationInputs!$B$2:$I$2</definedName>
    <definedName name="MACRSTable">[3]DepreciationInputs!$B$4:$I$54</definedName>
    <definedName name="MACRSTotals">[3]DepreciationInputs!$B$55:$I$55</definedName>
    <definedName name="nineMWfourHR">returns_stdev_correl!$O$8:$O$87</definedName>
    <definedName name="nineMWtwoHR">returns_stdev_correl!$AM$8:$AM$87</definedName>
    <definedName name="No">[3]ValidationOptions!$B$229</definedName>
    <definedName name="NPVBaseDate">[3]Control!$D$179</definedName>
    <definedName name="NPVBaseDateOptions">[7]ValidationOptions!$B$3:$B$11</definedName>
    <definedName name="Perfect_or_Rate_Case_Ratemaking_Options">[3]ValidationOptions!$B$323:$B$324</definedName>
    <definedName name="ProjectNames">[3]ProjectInputs!$C$4:$BF$4</definedName>
    <definedName name="ProjectNumbers">[3]ProjectInputs!$C$3:$BF$3</definedName>
    <definedName name="Property_Taxed_On">[3]ValidationOptions!$B$223:$B$225</definedName>
    <definedName name="QuarterEndDates">[3]ValidationOptions!$B$3:$B$166</definedName>
    <definedName name="QuarterStartDate">[3]ValidationOptions!$C$3:$C$166</definedName>
    <definedName name="Retail_Jurisdictions">[3]ValidationOptions!$B$186:$B$193</definedName>
    <definedName name="s" hidden="1">[2]Assum!$E$14:$E$22</definedName>
    <definedName name="SCDEROptions_AvoidedCost">[3]ValidationOptions!$B$367:$B$370</definedName>
    <definedName name="SCDEROptions_Premium">[3]ValidationOptions!$B$373:$B$376</definedName>
    <definedName name="sencount" hidden="1">1</definedName>
    <definedName name="solver_cvg" localSheetId="2" hidden="1">0.0001</definedName>
    <definedName name="solver_drv" localSheetId="2" hidden="1">1</definedName>
    <definedName name="solver_eng" localSheetId="2" hidden="1">1</definedName>
    <definedName name="solver_est" localSheetId="2" hidden="1">1</definedName>
    <definedName name="solver_itr" localSheetId="2" hidden="1">2147483647</definedName>
    <definedName name="solver_lhs1" localSheetId="2" hidden="1">portVar_9AssetModel!$Q$2</definedName>
    <definedName name="solver_lhs10" localSheetId="2" hidden="1">portVar_9AssetModel!$T$6</definedName>
    <definedName name="solver_lhs11" localSheetId="2" hidden="1">portVar_9AssetModel!$T$11</definedName>
    <definedName name="solver_lhs12" localSheetId="2" hidden="1">portVar_9AssetModel!$Q$2</definedName>
    <definedName name="solver_lhs13" localSheetId="2" hidden="1">portVar_9AssetModel!$Q$3</definedName>
    <definedName name="solver_lhs14" localSheetId="2" hidden="1">portVar_9AssetModel!$Q$4</definedName>
    <definedName name="solver_lhs15" localSheetId="2" hidden="1">portVar_9AssetModel!$Q$5</definedName>
    <definedName name="solver_lhs16" localSheetId="2" hidden="1">portVar_9AssetModel!$Q$6</definedName>
    <definedName name="solver_lhs17" localSheetId="2" hidden="1">portVar_9AssetModel!$Q$7</definedName>
    <definedName name="solver_lhs18" localSheetId="2" hidden="1">portVar_9AssetModel!$Q$8</definedName>
    <definedName name="solver_lhs19" localSheetId="2" hidden="1">portVar_9AssetModel!$Q$9</definedName>
    <definedName name="solver_lhs2" localSheetId="2" hidden="1">portVar_9AssetModel!$Q$3</definedName>
    <definedName name="solver_lhs20" localSheetId="2" hidden="1">portVar_9AssetModel!$Q$10</definedName>
    <definedName name="solver_lhs21" localSheetId="2" hidden="1">portVar_9AssetModel!$T$6</definedName>
    <definedName name="solver_lhs22" localSheetId="2" hidden="1">portVar_9AssetModel!$T$11</definedName>
    <definedName name="solver_lhs3" localSheetId="2" hidden="1">portVar_9AssetModel!$Q$4</definedName>
    <definedName name="solver_lhs4" localSheetId="2" hidden="1">portVar_9AssetModel!$Q$5</definedName>
    <definedName name="solver_lhs5" localSheetId="2" hidden="1">portVar_9AssetModel!$Q$6</definedName>
    <definedName name="solver_lhs6" localSheetId="2" hidden="1">portVar_9AssetModel!$Q$7</definedName>
    <definedName name="solver_lhs7" localSheetId="2" hidden="1">portVar_9AssetModel!$Q$8</definedName>
    <definedName name="solver_lhs8" localSheetId="2" hidden="1">portVar_9AssetModel!$Q$9</definedName>
    <definedName name="solver_lhs9" localSheetId="2" hidden="1">portVar_9AssetModel!$Q$10</definedName>
    <definedName name="solver_mip" localSheetId="2" hidden="1">2147483647</definedName>
    <definedName name="solver_mni" localSheetId="2" hidden="1">30</definedName>
    <definedName name="solver_mrt" localSheetId="2" hidden="1">0.075</definedName>
    <definedName name="solver_msl" localSheetId="2" hidden="1">2</definedName>
    <definedName name="solver_neg" localSheetId="2" hidden="1">1</definedName>
    <definedName name="solver_nod" localSheetId="2" hidden="1">2147483647</definedName>
    <definedName name="solver_num" localSheetId="2" hidden="1">0</definedName>
    <definedName name="solver_nwt" localSheetId="2" hidden="1">1</definedName>
    <definedName name="solver_pre" localSheetId="2" hidden="1">0.000001</definedName>
    <definedName name="solver_rbv" localSheetId="2" hidden="1">2</definedName>
    <definedName name="solver_rel1" localSheetId="2" hidden="1">3</definedName>
    <definedName name="solver_rel10" localSheetId="2" hidden="1">2</definedName>
    <definedName name="solver_rel11" localSheetId="2" hidden="1">2</definedName>
    <definedName name="solver_rel12" localSheetId="2" hidden="1">3</definedName>
    <definedName name="solver_rel13" localSheetId="2" hidden="1">3</definedName>
    <definedName name="solver_rel14" localSheetId="2" hidden="1">3</definedName>
    <definedName name="solver_rel15" localSheetId="2" hidden="1">3</definedName>
    <definedName name="solver_rel16" localSheetId="2" hidden="1">3</definedName>
    <definedName name="solver_rel17" localSheetId="2" hidden="1">3</definedName>
    <definedName name="solver_rel18" localSheetId="2" hidden="1">3</definedName>
    <definedName name="solver_rel19" localSheetId="2" hidden="1">3</definedName>
    <definedName name="solver_rel2" localSheetId="2" hidden="1">3</definedName>
    <definedName name="solver_rel20" localSheetId="2" hidden="1">3</definedName>
    <definedName name="solver_rel21" localSheetId="2" hidden="1">2</definedName>
    <definedName name="solver_rel22" localSheetId="2" hidden="1">2</definedName>
    <definedName name="solver_rel3" localSheetId="2" hidden="1">3</definedName>
    <definedName name="solver_rel4" localSheetId="2" hidden="1">3</definedName>
    <definedName name="solver_rel5" localSheetId="2" hidden="1">3</definedName>
    <definedName name="solver_rel6" localSheetId="2" hidden="1">3</definedName>
    <definedName name="solver_rel7" localSheetId="2" hidden="1">3</definedName>
    <definedName name="solver_rel8" localSheetId="2" hidden="1">3</definedName>
    <definedName name="solver_rel9" localSheetId="2" hidden="1">3</definedName>
    <definedName name="solver_rhs1" localSheetId="2" hidden="1">0</definedName>
    <definedName name="solver_rhs10" localSheetId="2" hidden="1">1</definedName>
    <definedName name="solver_rhs11" localSheetId="2" hidden="1">portVar_9AssetModel!$U$11</definedName>
    <definedName name="solver_rhs12" localSheetId="2" hidden="1">0</definedName>
    <definedName name="solver_rhs13" localSheetId="2" hidden="1">0</definedName>
    <definedName name="solver_rhs14" localSheetId="2" hidden="1">0</definedName>
    <definedName name="solver_rhs15" localSheetId="2" hidden="1">0</definedName>
    <definedName name="solver_rhs16" localSheetId="2" hidden="1">0</definedName>
    <definedName name="solver_rhs17" localSheetId="2" hidden="1">0</definedName>
    <definedName name="solver_rhs18" localSheetId="2" hidden="1">0</definedName>
    <definedName name="solver_rhs19" localSheetId="2" hidden="1">0</definedName>
    <definedName name="solver_rhs2" localSheetId="2" hidden="1">0</definedName>
    <definedName name="solver_rhs20" localSheetId="2" hidden="1">0</definedName>
    <definedName name="solver_rhs21" localSheetId="2" hidden="1">1</definedName>
    <definedName name="solver_rhs22" localSheetId="2" hidden="1">portVar_9AssetModel!$U$7</definedName>
    <definedName name="solver_rhs3" localSheetId="2" hidden="1">0</definedName>
    <definedName name="solver_rhs4" localSheetId="2" hidden="1">0</definedName>
    <definedName name="solver_rhs5" localSheetId="2" hidden="1">0</definedName>
    <definedName name="solver_rhs6" localSheetId="2" hidden="1">0</definedName>
    <definedName name="solver_rhs7" localSheetId="2" hidden="1">0</definedName>
    <definedName name="solver_rhs8" localSheetId="2" hidden="1">0</definedName>
    <definedName name="solver_rhs9" localSheetId="2" hidden="1">0</definedName>
    <definedName name="solver_rlx" localSheetId="2" hidden="1">2</definedName>
    <definedName name="solver_rsd" localSheetId="2" hidden="1">0</definedName>
    <definedName name="solver_scl" localSheetId="2" hidden="1">2</definedName>
    <definedName name="solver_sho" localSheetId="2" hidden="1">2</definedName>
    <definedName name="solver_ssz" localSheetId="2" hidden="1">0</definedName>
    <definedName name="solver_tim" localSheetId="2" hidden="1">2147483647</definedName>
    <definedName name="solver_tol" localSheetId="2" hidden="1">0.01</definedName>
    <definedName name="solver_typ" localSheetId="2" hidden="1">1</definedName>
    <definedName name="solver_val" localSheetId="2" hidden="1">0</definedName>
    <definedName name="solver_ver" localSheetId="2" hidden="1">3</definedName>
    <definedName name="StartingPoint" hidden="1">#REF!</definedName>
    <definedName name="StartYear">[3]NonProjectInputs!$B$4</definedName>
    <definedName name="StateTreatmentOfADITandADITC">[3]Analysis!$B$191</definedName>
    <definedName name="SWFL">[3]Analysis!$C$512</definedName>
    <definedName name="SWIN">[3]Analysis!$C$556</definedName>
    <definedName name="SWKY">[3]Analysis!$C$651</definedName>
    <definedName name="SWNC">[3]Analysis!$C$342</definedName>
    <definedName name="SWOH">[3]Analysis!$C$640</definedName>
    <definedName name="SWProjectFinancing">[3]Analysis!$B$134</definedName>
    <definedName name="SWSC">[3]Analysis!$C$428</definedName>
    <definedName name="SWWS">[3]Analysis!$C$674</definedName>
    <definedName name="TBD">[3]ValidationOptions!$B$337</definedName>
    <definedName name="TerminalInputMethod">[3]ValidationOptions!$B$358:$B$360</definedName>
    <definedName name="Territories">[3]ValidationOptions!$B$178:$B$183</definedName>
    <definedName name="thirteenPtFiveMWfourHR">returns_stdev_correl!$U$8:$U$87</definedName>
    <definedName name="thirteenPtFiveMWtwoHR">returns_stdev_correl!$AS$8:$AS$87</definedName>
    <definedName name="TPAYNE" hidden="1">[5]capcost!#REF!</definedName>
    <definedName name="Treatment_of_ADIT_and_ADITC">[3]ValidationOptions!$C$196:$C$201</definedName>
    <definedName name="UNI_FILT_OFFSPEC" hidden="1">2</definedName>
    <definedName name="UNI_FILT_ONSPEC" hidden="1">1</definedName>
    <definedName name="UNI_NOTHING" hidden="1">0</definedName>
    <definedName name="UNI_PRES_FILTER" hidden="1">1</definedName>
    <definedName name="UNI_PRES_HEADINGS" hidden="1">16</definedName>
    <definedName name="UNI_PRES_INVERT" hidden="1">2</definedName>
    <definedName name="UNI_PRES_MATRIX" hidden="1">4</definedName>
    <definedName name="UNI_PRES_MERGED" hidden="1">8</definedName>
    <definedName name="UNI_PRES_OUTLIERS" hidden="1">32</definedName>
    <definedName name="UNI_RET_ATTRIB" hidden="1">64</definedName>
    <definedName name="UNI_RET_CONF" hidden="1">32</definedName>
    <definedName name="UNI_RET_DESC" hidden="1">4</definedName>
    <definedName name="UNI_RET_EQUIP" hidden="1">1</definedName>
    <definedName name="UNI_RET_OFFSPEC" hidden="1">512</definedName>
    <definedName name="UNI_RET_ONSPEC" hidden="1">256</definedName>
    <definedName name="UNI_RET_PROP" hidden="1">32</definedName>
    <definedName name="UNI_RET_PROPDESC" hidden="1">64</definedName>
    <definedName name="UNI_RET_SMPLPNT" hidden="1">4</definedName>
    <definedName name="UNI_RET_SPECMAX" hidden="1">2048</definedName>
    <definedName name="UNI_RET_SPECMIN" hidden="1">1024</definedName>
    <definedName name="UNI_RET_TAG" hidden="1">1</definedName>
    <definedName name="UNI_RET_TESTTIME" hidden="1">128</definedName>
    <definedName name="UNI_RET_TIME" hidden="1">8</definedName>
    <definedName name="UNI_RET_UNIT" hidden="1">2</definedName>
    <definedName name="UNI_RET_VALUE" hidden="1">16</definedName>
    <definedName name="wrn.3cases." hidden="1">{#N/A,"Base",FALSE,"Dividend";#N/A,"Conservative",FALSE,"Dividend";#N/A,"Downside",FALSE,"Dividend"}</definedName>
    <definedName name="wrn.Accretion." hidden="1">{"Accretion",#N/A,FALSE,"Assum"}</definedName>
    <definedName name="wrn.Analysis." hidden="1">{"Analysis",#N/A,FALSE,"Analysis";"Details",#N/A,FALSE,"Analysis"}</definedName>
    <definedName name="wrn.Assumptions." hidden="1">{"Assumptions",#N/A,FALSE,"Assum"}</definedName>
    <definedName name="wrn.CAG." hidden="1">{#N/A,#N/A,FALSE,"CAG"}</definedName>
    <definedName name="wrn.capandinputs." hidden="1">{"capital",#N/A,FALSE,"Analysis";"input data",#N/A,FALSE,"Analysis"}</definedName>
    <definedName name="wrn.CPB." hidden="1">{#N/A,#N/A,FALSE,"CPB"}</definedName>
    <definedName name="wrn.Credit._.Summary." hidden="1">{#N/A,#N/A,FALSE,"Credit Summary"}</definedName>
    <definedName name="wrn.FCB." hidden="1">{"FCB_ALL",#N/A,FALSE,"FCB"}</definedName>
    <definedName name="wrn.fcb2" hidden="1">{"FCB_ALL",#N/A,FALSE,"FCB"}</definedName>
    <definedName name="wrn.Full." hidden="1">{#N/A,#N/A,TRUE,"Summary";#N/A,#N/A,TRUE,"Sales";#N/A,#N/A,TRUE,"Production";#N/A,#N/A,TRUE,"Quality";#N/A,#N/A,TRUE,"Plant";#N/A,#N/A,TRUE,"Savings";#N/A,#N/A,TRUE,"Inc. Stmt.";#N/A,#N/A,TRUE,"Cash Flow";#N/A,#N/A,TRUE,"Deprec";#N/A,#N/A,TRUE,"Misc"}</definedName>
    <definedName name="wrn.GIS." hidden="1">{#N/A,#N/A,FALSE,"GIS"}</definedName>
    <definedName name="wrn.HNZ." hidden="1">{#N/A,#N/A,FALSE,"HNZ"}</definedName>
    <definedName name="wrn.K." hidden="1">{#N/A,#N/A,FALSE,"K"}</definedName>
    <definedName name="wrn.LEM." hidden="1">{#N/A,#N/A,TRUE,"Summary";#N/A,#N/A,TRUE,"Sales";#N/A,#N/A,TRUE,"Inc. Stmt.";#N/A,#N/A,TRUE,"Cash Flow"}</definedName>
    <definedName name="wrn.MCCRK." hidden="1">{#N/A,#N/A,FALSE,"MCCRK"}</definedName>
    <definedName name="wrn.NA." hidden="1">{#N/A,#N/A,FALSE,"NA"}</definedName>
    <definedName name="wrn.print._.graphs." hidden="1">{"cap_structure",#N/A,FALSE,"Graph-Mkt Cap";"price",#N/A,FALSE,"Graph-Price";"ebit",#N/A,FALSE,"Graph-EBITDA";"ebitda",#N/A,FALSE,"Graph-EBITDA"}</definedName>
    <definedName name="wrn.print._.raw._.data._.entry." hidden="1">{"inputs raw data",#N/A,TRUE,"INPUT"}</definedName>
    <definedName name="wrn.print._.summary._.sheets." hidden="1">{"summary1",#N/A,TRUE,"Comps";"summary2",#N/A,TRUE,"Comps";"summary3",#N/A,TRUE,"Comps"}</definedName>
    <definedName name="wrn.print._.summary._.sheets.2" hidden="1">{"summary1",#N/A,TRUE,"Comps";"summary2",#N/A,TRUE,"Comps";"summary3",#N/A,TRUE,"Comps"}</definedName>
    <definedName name="wrn.Print_Buyer." hidden="1">{#N/A,"DR",FALSE,"increm pf";#N/A,"MAMSI",FALSE,"increm pf";#N/A,"MAXI",FALSE,"increm pf";#N/A,"PCAM",FALSE,"increm pf";#N/A,"PHSV",FALSE,"increm pf";#N/A,"SIE",FALSE,"increm pf"}</definedName>
    <definedName name="wrn.Print_Target." hidden="1">{#N/A,"Foundation Health",FALSE,"increm pf";#N/A,"FHP International",FALSE,"increm pf";#N/A,"Healthsource",FALSE,"increm pf";#N/A,"Humana",FALSE,"increm pf";#N/A,"Oxford Health Plans",FALSE,"increm pf";#N/A,"PacifiCare",FALSE,"increm pf";#N/A,"United HealthCare",FALSE,"increm pf";#N/A,"U.S. Healthcare",FALSE,"increm pf";#N/A,"Value Health",FALSE,"increm pf";#N/A,"WellPoint",FALSE,"increm pf"}</definedName>
    <definedName name="wrn.STAND_ALONE_BOTH." hidden="1">{"FCB_ALL",#N/A,FALSE,"FCB";"GREY_ALL",#N/A,FALSE,"GREY"}</definedName>
    <definedName name="wrn.Trading._.Summary." hidden="1">{#N/A,#N/A,FALSE,"Trading Summary"}</definedName>
    <definedName name="wrn.WWY." hidden="1">{#N/A,#N/A,FALSE,"WWY"}</definedName>
    <definedName name="wvu.inputs._.raw._.data." hidden="1">{TRUE,TRUE,-1.25,-15.5,604.5,369,FALSE,FALSE,TRUE,TRUE,0,1,83,1,38,4,5,4,TRUE,TRUE,3,TRUE,1,TRUE,75,"Swvu.inputs._.raw._.data.","ACwvu.inputs._.raw._.data.",#N/A,FALSE,FALSE,0.5,0.5,0.5,0.5,2,"&amp;F","&amp;A&amp;RPage &amp;P",FALSE,FALSE,FALSE,FALSE,1,60,#N/A,#N/A,"=R1C61:R53C89","=C1:C5",#N/A,#N/A,FALSE,FALSE,FALSE,1,600,600,FALSE,FALSE,TRUE,TRUE,TRUE}</definedName>
    <definedName name="wvu.summary1." hidden="1">{TRUE,TRUE,-1.25,-15.5,604.5,369,FALSE,FALSE,TRUE,TRUE,0,1,#N/A,1,#N/A,20.5555555555556,28.9285714285714,1,FALSE,FALSE,3,TRUE,1,FALSE,80,"Swvu.summary1.","ACwvu.summary1.",#N/A,FALSE,FALSE,0.5,0.5,0.5,0.5,2,"&amp;F","&amp;L&amp;D&amp;C&amp;A&amp;RPage &amp;P",TRUE,FALSE,FALSE,FALSE,1,50,#N/A,#N/A,"=R1C1:R55C31",FALSE,#N/A,#N/A,FALSE,FALSE,TRUE,1,600,600,FALSE,FALSE,TRUE,TRUE,TRUE}</definedName>
    <definedName name="wvu.summary2." hidden="1">{TRUE,TRUE,-1.25,-15.5,604.5,369,FALSE,FALSE,TRUE,TRUE,0,1,#N/A,41,#N/A,20.5555555555556,27.0714285714286,1,FALSE,FALSE,3,TRUE,1,FALSE,80,"Swvu.summary2.","ACwvu.summary2.",#N/A,FALSE,FALSE,0.5,0.5,0.5,0.5,2,"&amp;F","&amp;A&amp;RPage &amp;P",TRUE,FALSE,FALSE,FALSE,1,50,#N/A,#N/A,"=R56C1:R103C31",FALSE,#N/A,#N/A,FALSE,FALSE,TRUE,1,600,600,FALSE,FALSE,TRUE,TRUE,TRUE}</definedName>
    <definedName name="wvu.summary3." hidden="1">{TRUE,TRUE,-1.25,-15.5,604.5,369,FALSE,FALSE,TRUE,TRUE,0,1,#N/A,91,#N/A,20.5555555555556,24.8571428571429,1,FALSE,FALSE,3,TRUE,1,FALSE,80,"Swvu.summary3.","ACwvu.summary3.",#N/A,FALSE,FALSE,0.5,0.5,0.5,0.5,2,"&amp;F","&amp;A&amp;RPage &amp;P",TRUE,FALSE,FALSE,FALSE,1,50,#N/A,#N/A,"=R104C1:R153C31",FALSE,#N/A,#N/A,FALSE,FALSE,TRUE,1,600,600,FALSE,FALSE,TRUE,TRUE,TRUE}</definedName>
    <definedName name="x" hidden="1">'[1]LCOE Calculation (fixed)'!$P$93:$W$101</definedName>
    <definedName name="y" hidden="1">[2]Assum!$B$14:$B$22</definedName>
    <definedName name="Yes">[3]ValidationOptions!$B$228</definedName>
    <definedName name="Yes_No">[3]ValidationOptions!$B$228:$B$229</definedName>
    <definedName name="z" hidden="1">[2]Assum!$C$14:$C$22</definedName>
    <definedName name="zeroMWzeroHR">returns_stdev_correl!$C$8:$C$87</definedName>
    <definedName name="zeroMWzeroHRChange">returns_stdev_correl!$C$8:$C$87</definedName>
  </definedNames>
  <calcPr calcId="191029" calcMode="autoNoTable" iterate="1" iterateDelta="1.0000000000000001E-5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N21" i="3" l="1"/>
  <c r="N20" i="3"/>
  <c r="N19" i="3"/>
  <c r="N18" i="3"/>
  <c r="N17" i="3"/>
  <c r="N16" i="3"/>
  <c r="N15" i="3"/>
  <c r="N14" i="3"/>
  <c r="N13" i="3"/>
  <c r="N10" i="3"/>
  <c r="M10" i="3"/>
  <c r="D10" i="3"/>
  <c r="N9" i="3"/>
  <c r="M9" i="3"/>
  <c r="D9" i="3"/>
  <c r="N8" i="3"/>
  <c r="M8" i="3"/>
  <c r="D8" i="3"/>
  <c r="N7" i="3"/>
  <c r="M7" i="3"/>
  <c r="D7" i="3"/>
  <c r="T6" i="3"/>
  <c r="N6" i="3"/>
  <c r="M6" i="3"/>
  <c r="D6" i="3"/>
  <c r="N5" i="3"/>
  <c r="M5" i="3"/>
  <c r="D5" i="3"/>
  <c r="N4" i="3"/>
  <c r="M4" i="3"/>
  <c r="D4" i="3"/>
  <c r="N3" i="3"/>
  <c r="M3" i="3"/>
  <c r="D3" i="3"/>
  <c r="E6" i="3" s="1"/>
  <c r="N2" i="3"/>
  <c r="M2" i="3"/>
  <c r="E2" i="3"/>
  <c r="D2" i="3"/>
  <c r="E7" i="3" s="1"/>
  <c r="BC7" i="2"/>
  <c r="AW7" i="2"/>
  <c r="AQ7" i="2"/>
  <c r="AK7" i="2"/>
  <c r="AE7" i="2"/>
  <c r="Y7" i="2"/>
  <c r="S7" i="2"/>
  <c r="M7" i="2"/>
  <c r="G7" i="2"/>
  <c r="T158" i="1"/>
  <c r="S158" i="1"/>
  <c r="BC157" i="1"/>
  <c r="AW157" i="1"/>
  <c r="AQ157" i="1"/>
  <c r="AK157" i="1"/>
  <c r="AF157" i="1"/>
  <c r="AE157" i="1"/>
  <c r="Z157" i="1"/>
  <c r="Y157" i="1"/>
  <c r="T157" i="1"/>
  <c r="S157" i="1"/>
  <c r="N157" i="1"/>
  <c r="M157" i="1"/>
  <c r="H157" i="1"/>
  <c r="G157" i="1"/>
  <c r="I157" i="1" s="1"/>
  <c r="BC156" i="1"/>
  <c r="AW156" i="1"/>
  <c r="AQ156" i="1"/>
  <c r="AK156" i="1"/>
  <c r="AF156" i="1"/>
  <c r="AE156" i="1"/>
  <c r="Z156" i="1"/>
  <c r="Y156" i="1"/>
  <c r="T156" i="1"/>
  <c r="S156" i="1"/>
  <c r="N156" i="1"/>
  <c r="M156" i="1"/>
  <c r="H156" i="1"/>
  <c r="G156" i="1"/>
  <c r="I156" i="1" s="1"/>
  <c r="BC155" i="1"/>
  <c r="AW155" i="1"/>
  <c r="AQ155" i="1"/>
  <c r="AK155" i="1"/>
  <c r="AF155" i="1"/>
  <c r="AE155" i="1"/>
  <c r="Z155" i="1"/>
  <c r="Y155" i="1"/>
  <c r="T155" i="1"/>
  <c r="S155" i="1"/>
  <c r="N155" i="1"/>
  <c r="M155" i="1"/>
  <c r="H155" i="1"/>
  <c r="G155" i="1"/>
  <c r="I155" i="1" s="1"/>
  <c r="BC154" i="1"/>
  <c r="AW154" i="1"/>
  <c r="AQ154" i="1"/>
  <c r="AK154" i="1"/>
  <c r="AF154" i="1"/>
  <c r="AE154" i="1"/>
  <c r="Z154" i="1"/>
  <c r="Y154" i="1"/>
  <c r="T154" i="1"/>
  <c r="S154" i="1"/>
  <c r="N154" i="1"/>
  <c r="M154" i="1"/>
  <c r="I154" i="1"/>
  <c r="H154" i="1"/>
  <c r="G154" i="1"/>
  <c r="BC153" i="1"/>
  <c r="AW153" i="1"/>
  <c r="AQ153" i="1"/>
  <c r="AK153" i="1"/>
  <c r="AF153" i="1"/>
  <c r="AE153" i="1"/>
  <c r="Z153" i="1"/>
  <c r="Y153" i="1"/>
  <c r="T153" i="1"/>
  <c r="S153" i="1"/>
  <c r="N153" i="1"/>
  <c r="M153" i="1"/>
  <c r="H153" i="1"/>
  <c r="G153" i="1"/>
  <c r="I153" i="1" s="1"/>
  <c r="BC152" i="1"/>
  <c r="AW152" i="1"/>
  <c r="AQ152" i="1"/>
  <c r="AK152" i="1"/>
  <c r="AF152" i="1"/>
  <c r="AE152" i="1"/>
  <c r="Z152" i="1"/>
  <c r="Y152" i="1"/>
  <c r="T152" i="1"/>
  <c r="S152" i="1"/>
  <c r="N152" i="1"/>
  <c r="M152" i="1"/>
  <c r="H152" i="1"/>
  <c r="G152" i="1"/>
  <c r="I152" i="1" s="1"/>
  <c r="BC151" i="1"/>
  <c r="AW151" i="1"/>
  <c r="AQ151" i="1"/>
  <c r="AK151" i="1"/>
  <c r="AF151" i="1"/>
  <c r="AE151" i="1"/>
  <c r="Z151" i="1"/>
  <c r="Y151" i="1"/>
  <c r="T151" i="1"/>
  <c r="S151" i="1"/>
  <c r="N151" i="1"/>
  <c r="M151" i="1"/>
  <c r="I151" i="1"/>
  <c r="H151" i="1"/>
  <c r="G151" i="1"/>
  <c r="BC150" i="1"/>
  <c r="AW150" i="1"/>
  <c r="AQ150" i="1"/>
  <c r="AK150" i="1"/>
  <c r="AF150" i="1"/>
  <c r="AE150" i="1"/>
  <c r="Z150" i="1"/>
  <c r="Y150" i="1"/>
  <c r="T150" i="1"/>
  <c r="S150" i="1"/>
  <c r="N150" i="1"/>
  <c r="M150" i="1"/>
  <c r="H150" i="1"/>
  <c r="G150" i="1"/>
  <c r="I150" i="1" s="1"/>
  <c r="BC149" i="1"/>
  <c r="AW149" i="1"/>
  <c r="AQ149" i="1"/>
  <c r="AK149" i="1"/>
  <c r="AF149" i="1"/>
  <c r="AE149" i="1"/>
  <c r="Z149" i="1"/>
  <c r="Y149" i="1"/>
  <c r="T149" i="1"/>
  <c r="S149" i="1"/>
  <c r="N149" i="1"/>
  <c r="M149" i="1"/>
  <c r="H149" i="1"/>
  <c r="G149" i="1"/>
  <c r="I149" i="1" s="1"/>
  <c r="BC148" i="1"/>
  <c r="AW148" i="1"/>
  <c r="AQ148" i="1"/>
  <c r="AK148" i="1"/>
  <c r="AF148" i="1"/>
  <c r="AE148" i="1"/>
  <c r="Z148" i="1"/>
  <c r="Y148" i="1"/>
  <c r="T148" i="1"/>
  <c r="S148" i="1"/>
  <c r="N148" i="1"/>
  <c r="M148" i="1"/>
  <c r="H148" i="1"/>
  <c r="G148" i="1"/>
  <c r="BC147" i="1"/>
  <c r="AW147" i="1"/>
  <c r="AQ147" i="1"/>
  <c r="AK147" i="1"/>
  <c r="AF147" i="1"/>
  <c r="AE147" i="1"/>
  <c r="Z147" i="1"/>
  <c r="Y147" i="1"/>
  <c r="T147" i="1"/>
  <c r="S147" i="1"/>
  <c r="N147" i="1"/>
  <c r="M147" i="1"/>
  <c r="H147" i="1"/>
  <c r="G147" i="1"/>
  <c r="I147" i="1" s="1"/>
  <c r="BC146" i="1"/>
  <c r="AW146" i="1"/>
  <c r="AQ146" i="1"/>
  <c r="AK146" i="1"/>
  <c r="AF146" i="1"/>
  <c r="AE146" i="1"/>
  <c r="Z146" i="1"/>
  <c r="Y146" i="1"/>
  <c r="T146" i="1"/>
  <c r="S146" i="1"/>
  <c r="N146" i="1"/>
  <c r="M146" i="1"/>
  <c r="I146" i="1"/>
  <c r="H146" i="1"/>
  <c r="G146" i="1"/>
  <c r="BC145" i="1"/>
  <c r="AW145" i="1"/>
  <c r="AQ145" i="1"/>
  <c r="AK145" i="1"/>
  <c r="AF145" i="1"/>
  <c r="AE145" i="1"/>
  <c r="Z145" i="1"/>
  <c r="Y145" i="1"/>
  <c r="T145" i="1"/>
  <c r="S145" i="1"/>
  <c r="N145" i="1"/>
  <c r="M145" i="1"/>
  <c r="H145" i="1"/>
  <c r="G145" i="1"/>
  <c r="I145" i="1" s="1"/>
  <c r="BC144" i="1"/>
  <c r="AW144" i="1"/>
  <c r="AQ144" i="1"/>
  <c r="AK144" i="1"/>
  <c r="AF144" i="1"/>
  <c r="AE144" i="1"/>
  <c r="Z144" i="1"/>
  <c r="Y144" i="1"/>
  <c r="T144" i="1"/>
  <c r="S144" i="1"/>
  <c r="N144" i="1"/>
  <c r="M144" i="1"/>
  <c r="H144" i="1"/>
  <c r="G144" i="1"/>
  <c r="I144" i="1" s="1"/>
  <c r="BC143" i="1"/>
  <c r="AW143" i="1"/>
  <c r="AQ143" i="1"/>
  <c r="AK143" i="1"/>
  <c r="AF143" i="1"/>
  <c r="AE143" i="1"/>
  <c r="Z143" i="1"/>
  <c r="Y143" i="1"/>
  <c r="T143" i="1"/>
  <c r="S143" i="1"/>
  <c r="N143" i="1"/>
  <c r="M143" i="1"/>
  <c r="I143" i="1"/>
  <c r="H143" i="1"/>
  <c r="G143" i="1"/>
  <c r="BC142" i="1"/>
  <c r="AZ142" i="1"/>
  <c r="AT142" i="1"/>
  <c r="AW142" i="1" s="1"/>
  <c r="AN142" i="1"/>
  <c r="AQ142" i="1" s="1"/>
  <c r="AK142" i="1"/>
  <c r="AH142" i="1"/>
  <c r="AF142" i="1"/>
  <c r="AB142" i="1"/>
  <c r="AE142" i="1" s="1"/>
  <c r="Z146" i="2" s="1"/>
  <c r="V142" i="1"/>
  <c r="Z142" i="1" s="1"/>
  <c r="P142" i="1"/>
  <c r="T142" i="1" s="1"/>
  <c r="J142" i="1"/>
  <c r="N142" i="1" s="1"/>
  <c r="H142" i="1"/>
  <c r="G142" i="1"/>
  <c r="B146" i="2" s="1"/>
  <c r="C142" i="1"/>
  <c r="BC141" i="1"/>
  <c r="AZ141" i="1"/>
  <c r="AT141" i="1"/>
  <c r="AW141" i="1" s="1"/>
  <c r="AN141" i="1"/>
  <c r="AQ141" i="1" s="1"/>
  <c r="AK141" i="1"/>
  <c r="AH141" i="1"/>
  <c r="AF141" i="1"/>
  <c r="AB141" i="1"/>
  <c r="AE141" i="1" s="1"/>
  <c r="Z145" i="2" s="1"/>
  <c r="V141" i="1"/>
  <c r="Z141" i="1" s="1"/>
  <c r="P141" i="1"/>
  <c r="T141" i="1" s="1"/>
  <c r="J141" i="1"/>
  <c r="N141" i="1" s="1"/>
  <c r="H141" i="1"/>
  <c r="G141" i="1"/>
  <c r="B145" i="2" s="1"/>
  <c r="C141" i="1"/>
  <c r="BC140" i="1"/>
  <c r="AZ140" i="1"/>
  <c r="AT140" i="1"/>
  <c r="AW140" i="1" s="1"/>
  <c r="AN140" i="1"/>
  <c r="AQ140" i="1" s="1"/>
  <c r="AK140" i="1"/>
  <c r="AH140" i="1"/>
  <c r="AF140" i="1"/>
  <c r="AB140" i="1"/>
  <c r="AE140" i="1" s="1"/>
  <c r="Z144" i="2" s="1"/>
  <c r="V140" i="1"/>
  <c r="Z140" i="1" s="1"/>
  <c r="P140" i="1"/>
  <c r="T140" i="1" s="1"/>
  <c r="J140" i="1"/>
  <c r="N140" i="1" s="1"/>
  <c r="H140" i="1"/>
  <c r="G140" i="1"/>
  <c r="B144" i="2" s="1"/>
  <c r="C140" i="1"/>
  <c r="BC139" i="1"/>
  <c r="AZ139" i="1"/>
  <c r="AT139" i="1"/>
  <c r="AW139" i="1" s="1"/>
  <c r="AN139" i="1"/>
  <c r="AQ139" i="1" s="1"/>
  <c r="AK139" i="1"/>
  <c r="AH139" i="1"/>
  <c r="AF139" i="1"/>
  <c r="AB139" i="1"/>
  <c r="AE139" i="1" s="1"/>
  <c r="Z143" i="2" s="1"/>
  <c r="V139" i="1"/>
  <c r="Z139" i="1" s="1"/>
  <c r="P139" i="1"/>
  <c r="T139" i="1" s="1"/>
  <c r="J139" i="1"/>
  <c r="N139" i="1" s="1"/>
  <c r="H139" i="1"/>
  <c r="G139" i="1"/>
  <c r="B143" i="2" s="1"/>
  <c r="C139" i="1"/>
  <c r="BC138" i="1"/>
  <c r="AZ138" i="1"/>
  <c r="AT138" i="1"/>
  <c r="AW138" i="1" s="1"/>
  <c r="AN138" i="1"/>
  <c r="AQ138" i="1" s="1"/>
  <c r="AK138" i="1"/>
  <c r="AH138" i="1"/>
  <c r="AF138" i="1"/>
  <c r="AB138" i="1"/>
  <c r="AE138" i="1" s="1"/>
  <c r="Z142" i="2" s="1"/>
  <c r="V138" i="1"/>
  <c r="Z138" i="1" s="1"/>
  <c r="P138" i="1"/>
  <c r="T138" i="1" s="1"/>
  <c r="J138" i="1"/>
  <c r="N138" i="1" s="1"/>
  <c r="H138" i="1"/>
  <c r="G138" i="1"/>
  <c r="B142" i="2" s="1"/>
  <c r="C138" i="1"/>
  <c r="BC137" i="1"/>
  <c r="AZ137" i="1"/>
  <c r="AT137" i="1"/>
  <c r="AW137" i="1" s="1"/>
  <c r="AN137" i="1"/>
  <c r="AQ137" i="1" s="1"/>
  <c r="AK137" i="1"/>
  <c r="AH137" i="1"/>
  <c r="AF137" i="1"/>
  <c r="AB137" i="1"/>
  <c r="AE137" i="1" s="1"/>
  <c r="Z141" i="2" s="1"/>
  <c r="V137" i="1"/>
  <c r="Z137" i="1" s="1"/>
  <c r="P137" i="1"/>
  <c r="T137" i="1" s="1"/>
  <c r="J137" i="1"/>
  <c r="N137" i="1" s="1"/>
  <c r="H137" i="1"/>
  <c r="G137" i="1"/>
  <c r="B141" i="2" s="1"/>
  <c r="C137" i="1"/>
  <c r="BC136" i="1"/>
  <c r="AZ136" i="1"/>
  <c r="AT136" i="1"/>
  <c r="AW136" i="1" s="1"/>
  <c r="AN136" i="1"/>
  <c r="AQ136" i="1" s="1"/>
  <c r="AK136" i="1"/>
  <c r="AH136" i="1"/>
  <c r="AF136" i="1"/>
  <c r="AB136" i="1"/>
  <c r="AE136" i="1" s="1"/>
  <c r="Z140" i="2" s="1"/>
  <c r="V136" i="1"/>
  <c r="Z136" i="1" s="1"/>
  <c r="P136" i="1"/>
  <c r="T136" i="1" s="1"/>
  <c r="J136" i="1"/>
  <c r="N136" i="1" s="1"/>
  <c r="H136" i="1"/>
  <c r="G136" i="1"/>
  <c r="B140" i="2" s="1"/>
  <c r="C136" i="1"/>
  <c r="BC135" i="1"/>
  <c r="AZ135" i="1"/>
  <c r="AT135" i="1"/>
  <c r="AW135" i="1" s="1"/>
  <c r="AN135" i="1"/>
  <c r="AQ135" i="1" s="1"/>
  <c r="AK135" i="1"/>
  <c r="AH135" i="1"/>
  <c r="AF135" i="1"/>
  <c r="AB135" i="1"/>
  <c r="AE135" i="1" s="1"/>
  <c r="Z139" i="2" s="1"/>
  <c r="V135" i="1"/>
  <c r="Z135" i="1" s="1"/>
  <c r="P135" i="1"/>
  <c r="T135" i="1" s="1"/>
  <c r="J135" i="1"/>
  <c r="N135" i="1" s="1"/>
  <c r="H135" i="1"/>
  <c r="G135" i="1"/>
  <c r="B139" i="2" s="1"/>
  <c r="C135" i="1"/>
  <c r="BC134" i="1"/>
  <c r="AZ134" i="1"/>
  <c r="AT134" i="1"/>
  <c r="AW134" i="1" s="1"/>
  <c r="AN134" i="1"/>
  <c r="AQ134" i="1" s="1"/>
  <c r="AK134" i="1"/>
  <c r="AH134" i="1"/>
  <c r="AF134" i="1"/>
  <c r="AB134" i="1"/>
  <c r="AE134" i="1" s="1"/>
  <c r="Z138" i="2" s="1"/>
  <c r="V134" i="1"/>
  <c r="Z134" i="1" s="1"/>
  <c r="P134" i="1"/>
  <c r="T134" i="1" s="1"/>
  <c r="J134" i="1"/>
  <c r="N134" i="1" s="1"/>
  <c r="H134" i="1"/>
  <c r="G134" i="1"/>
  <c r="B138" i="2" s="1"/>
  <c r="C134" i="1"/>
  <c r="BC133" i="1"/>
  <c r="AZ133" i="1"/>
  <c r="AT133" i="1"/>
  <c r="AW133" i="1" s="1"/>
  <c r="AN133" i="1"/>
  <c r="AQ133" i="1" s="1"/>
  <c r="AK133" i="1"/>
  <c r="AH133" i="1"/>
  <c r="AF133" i="1"/>
  <c r="AB133" i="1"/>
  <c r="AE133" i="1" s="1"/>
  <c r="Z137" i="2" s="1"/>
  <c r="V133" i="1"/>
  <c r="Z133" i="1" s="1"/>
  <c r="P133" i="1"/>
  <c r="T133" i="1" s="1"/>
  <c r="J133" i="1"/>
  <c r="N133" i="1" s="1"/>
  <c r="H133" i="1"/>
  <c r="G133" i="1"/>
  <c r="B137" i="2" s="1"/>
  <c r="C133" i="1"/>
  <c r="BC132" i="1"/>
  <c r="AZ132" i="1"/>
  <c r="AT132" i="1"/>
  <c r="AW132" i="1" s="1"/>
  <c r="AN132" i="1"/>
  <c r="AQ132" i="1" s="1"/>
  <c r="AK132" i="1"/>
  <c r="AH132" i="1"/>
  <c r="AF132" i="1"/>
  <c r="AB132" i="1"/>
  <c r="AE132" i="1" s="1"/>
  <c r="Z136" i="2" s="1"/>
  <c r="V132" i="1"/>
  <c r="Z132" i="1" s="1"/>
  <c r="P132" i="1"/>
  <c r="J132" i="1"/>
  <c r="N132" i="1" s="1"/>
  <c r="H132" i="1"/>
  <c r="G132" i="1"/>
  <c r="B136" i="2" s="1"/>
  <c r="C132" i="1"/>
  <c r="BC131" i="1"/>
  <c r="AZ131" i="1"/>
  <c r="AT131" i="1"/>
  <c r="AW131" i="1" s="1"/>
  <c r="AN131" i="1"/>
  <c r="AQ131" i="1" s="1"/>
  <c r="AK131" i="1"/>
  <c r="AH131" i="1"/>
  <c r="AF131" i="1"/>
  <c r="AB131" i="1"/>
  <c r="AE131" i="1" s="1"/>
  <c r="Z135" i="2" s="1"/>
  <c r="V131" i="1"/>
  <c r="Z131" i="1" s="1"/>
  <c r="T131" i="1"/>
  <c r="P131" i="1"/>
  <c r="S131" i="1" s="1"/>
  <c r="N135" i="2" s="1"/>
  <c r="J131" i="1"/>
  <c r="N131" i="1" s="1"/>
  <c r="H131" i="1"/>
  <c r="G131" i="1"/>
  <c r="C131" i="1"/>
  <c r="BC130" i="1"/>
  <c r="AZ130" i="1"/>
  <c r="AT130" i="1"/>
  <c r="AW130" i="1" s="1"/>
  <c r="AN130" i="1"/>
  <c r="AQ130" i="1" s="1"/>
  <c r="AK130" i="1"/>
  <c r="AH130" i="1"/>
  <c r="AF130" i="1"/>
  <c r="AB130" i="1"/>
  <c r="AE130" i="1" s="1"/>
  <c r="Z134" i="2" s="1"/>
  <c r="V130" i="1"/>
  <c r="P130" i="1"/>
  <c r="S130" i="1" s="1"/>
  <c r="N134" i="2" s="1"/>
  <c r="J130" i="1"/>
  <c r="N130" i="1" s="1"/>
  <c r="H130" i="1"/>
  <c r="G130" i="1"/>
  <c r="C130" i="1"/>
  <c r="BC129" i="1"/>
  <c r="AZ129" i="1"/>
  <c r="AT129" i="1"/>
  <c r="AW129" i="1" s="1"/>
  <c r="AN129" i="1"/>
  <c r="AQ129" i="1" s="1"/>
  <c r="AK129" i="1"/>
  <c r="AH129" i="1"/>
  <c r="AF129" i="1"/>
  <c r="AB129" i="1"/>
  <c r="AE129" i="1" s="1"/>
  <c r="Z133" i="2" s="1"/>
  <c r="V129" i="1"/>
  <c r="T129" i="1"/>
  <c r="P129" i="1"/>
  <c r="S129" i="1" s="1"/>
  <c r="N133" i="2" s="1"/>
  <c r="J129" i="1"/>
  <c r="N129" i="1" s="1"/>
  <c r="H129" i="1"/>
  <c r="G129" i="1"/>
  <c r="C129" i="1"/>
  <c r="BC128" i="1"/>
  <c r="AZ128" i="1"/>
  <c r="AT128" i="1"/>
  <c r="AW128" i="1" s="1"/>
  <c r="AN128" i="1"/>
  <c r="AQ128" i="1" s="1"/>
  <c r="AK128" i="1"/>
  <c r="AH128" i="1"/>
  <c r="AF128" i="1"/>
  <c r="AB128" i="1"/>
  <c r="AE128" i="1" s="1"/>
  <c r="Z132" i="2" s="1"/>
  <c r="V128" i="1"/>
  <c r="T128" i="1"/>
  <c r="P128" i="1"/>
  <c r="S128" i="1" s="1"/>
  <c r="N132" i="2" s="1"/>
  <c r="J128" i="1"/>
  <c r="N128" i="1" s="1"/>
  <c r="H128" i="1"/>
  <c r="G128" i="1"/>
  <c r="C128" i="1"/>
  <c r="BC127" i="1"/>
  <c r="AZ127" i="1"/>
  <c r="AT127" i="1"/>
  <c r="AW127" i="1" s="1"/>
  <c r="AN127" i="1"/>
  <c r="AQ127" i="1" s="1"/>
  <c r="AK127" i="1"/>
  <c r="AH127" i="1"/>
  <c r="AF127" i="1"/>
  <c r="AB127" i="1"/>
  <c r="AE127" i="1" s="1"/>
  <c r="Z131" i="2" s="1"/>
  <c r="V127" i="1"/>
  <c r="P127" i="1"/>
  <c r="S127" i="1" s="1"/>
  <c r="N131" i="2" s="1"/>
  <c r="J127" i="1"/>
  <c r="N127" i="1" s="1"/>
  <c r="H127" i="1"/>
  <c r="G127" i="1"/>
  <c r="C127" i="1"/>
  <c r="BC126" i="1"/>
  <c r="AZ126" i="1"/>
  <c r="AT126" i="1"/>
  <c r="AW126" i="1" s="1"/>
  <c r="AN126" i="1"/>
  <c r="AQ126" i="1" s="1"/>
  <c r="AK126" i="1"/>
  <c r="AH126" i="1"/>
  <c r="AF126" i="1"/>
  <c r="AB126" i="1"/>
  <c r="AE126" i="1" s="1"/>
  <c r="Z130" i="2" s="1"/>
  <c r="V126" i="1"/>
  <c r="P126" i="1"/>
  <c r="S126" i="1" s="1"/>
  <c r="N130" i="2" s="1"/>
  <c r="J126" i="1"/>
  <c r="N126" i="1" s="1"/>
  <c r="H126" i="1"/>
  <c r="G126" i="1"/>
  <c r="C126" i="1"/>
  <c r="BC125" i="1"/>
  <c r="AZ125" i="1"/>
  <c r="AT125" i="1"/>
  <c r="AW125" i="1" s="1"/>
  <c r="AN125" i="1"/>
  <c r="AQ125" i="1" s="1"/>
  <c r="AK125" i="1"/>
  <c r="AH125" i="1"/>
  <c r="AF125" i="1"/>
  <c r="AB125" i="1"/>
  <c r="AE125" i="1" s="1"/>
  <c r="Z129" i="2" s="1"/>
  <c r="V125" i="1"/>
  <c r="T125" i="1"/>
  <c r="P125" i="1"/>
  <c r="S125" i="1" s="1"/>
  <c r="N129" i="2" s="1"/>
  <c r="J125" i="1"/>
  <c r="N125" i="1" s="1"/>
  <c r="H125" i="1"/>
  <c r="G125" i="1"/>
  <c r="C125" i="1"/>
  <c r="BC124" i="1"/>
  <c r="AZ124" i="1"/>
  <c r="AT124" i="1"/>
  <c r="AW124" i="1" s="1"/>
  <c r="AN124" i="1"/>
  <c r="AQ124" i="1" s="1"/>
  <c r="AK124" i="1"/>
  <c r="AH124" i="1"/>
  <c r="AF124" i="1"/>
  <c r="AB124" i="1"/>
  <c r="AE124" i="1" s="1"/>
  <c r="Z128" i="2" s="1"/>
  <c r="V124" i="1"/>
  <c r="P124" i="1"/>
  <c r="S124" i="1" s="1"/>
  <c r="N128" i="2" s="1"/>
  <c r="J124" i="1"/>
  <c r="N124" i="1" s="1"/>
  <c r="H124" i="1"/>
  <c r="G124" i="1"/>
  <c r="C124" i="1"/>
  <c r="BC123" i="1"/>
  <c r="AZ123" i="1"/>
  <c r="AT123" i="1"/>
  <c r="AW123" i="1" s="1"/>
  <c r="AN123" i="1"/>
  <c r="AQ123" i="1" s="1"/>
  <c r="AK123" i="1"/>
  <c r="AH123" i="1"/>
  <c r="AF123" i="1"/>
  <c r="AB123" i="1"/>
  <c r="AE123" i="1" s="1"/>
  <c r="Z127" i="2" s="1"/>
  <c r="V123" i="1"/>
  <c r="T123" i="1"/>
  <c r="P123" i="1"/>
  <c r="S123" i="1" s="1"/>
  <c r="N127" i="2" s="1"/>
  <c r="J123" i="1"/>
  <c r="N123" i="1" s="1"/>
  <c r="H123" i="1"/>
  <c r="G123" i="1"/>
  <c r="C123" i="1"/>
  <c r="BC122" i="1"/>
  <c r="AZ122" i="1"/>
  <c r="AT122" i="1"/>
  <c r="AW122" i="1" s="1"/>
  <c r="AN122" i="1"/>
  <c r="AQ122" i="1" s="1"/>
  <c r="AK122" i="1"/>
  <c r="AH122" i="1"/>
  <c r="AF122" i="1"/>
  <c r="AB122" i="1"/>
  <c r="AE122" i="1" s="1"/>
  <c r="Z126" i="2" s="1"/>
  <c r="V122" i="1"/>
  <c r="P122" i="1"/>
  <c r="S122" i="1" s="1"/>
  <c r="N126" i="2" s="1"/>
  <c r="J122" i="1"/>
  <c r="N122" i="1" s="1"/>
  <c r="H122" i="1"/>
  <c r="G122" i="1"/>
  <c r="C122" i="1"/>
  <c r="BC121" i="1"/>
  <c r="AZ121" i="1"/>
  <c r="AT121" i="1"/>
  <c r="AW121" i="1" s="1"/>
  <c r="AN121" i="1"/>
  <c r="AQ121" i="1" s="1"/>
  <c r="AK121" i="1"/>
  <c r="AH121" i="1"/>
  <c r="AF121" i="1"/>
  <c r="AB121" i="1"/>
  <c r="AE121" i="1" s="1"/>
  <c r="Z125" i="2" s="1"/>
  <c r="V121" i="1"/>
  <c r="T121" i="1"/>
  <c r="P121" i="1"/>
  <c r="S121" i="1" s="1"/>
  <c r="N125" i="2" s="1"/>
  <c r="J121" i="1"/>
  <c r="N121" i="1" s="1"/>
  <c r="H121" i="1"/>
  <c r="G121" i="1"/>
  <c r="C121" i="1"/>
  <c r="BC120" i="1"/>
  <c r="AZ120" i="1"/>
  <c r="AT120" i="1"/>
  <c r="AW120" i="1" s="1"/>
  <c r="AN120" i="1"/>
  <c r="AQ120" i="1" s="1"/>
  <c r="AK120" i="1"/>
  <c r="AH120" i="1"/>
  <c r="AF120" i="1"/>
  <c r="AB120" i="1"/>
  <c r="AE120" i="1" s="1"/>
  <c r="Z124" i="2" s="1"/>
  <c r="V120" i="1"/>
  <c r="T120" i="1"/>
  <c r="P120" i="1"/>
  <c r="S120" i="1" s="1"/>
  <c r="N124" i="2" s="1"/>
  <c r="J120" i="1"/>
  <c r="N120" i="1" s="1"/>
  <c r="H120" i="1"/>
  <c r="G120" i="1"/>
  <c r="C120" i="1"/>
  <c r="BC119" i="1"/>
  <c r="AZ119" i="1"/>
  <c r="AT119" i="1"/>
  <c r="AW119" i="1" s="1"/>
  <c r="AN119" i="1"/>
  <c r="AQ119" i="1" s="1"/>
  <c r="AK119" i="1"/>
  <c r="AH119" i="1"/>
  <c r="AF119" i="1"/>
  <c r="AB119" i="1"/>
  <c r="AE119" i="1" s="1"/>
  <c r="Z123" i="2" s="1"/>
  <c r="V119" i="1"/>
  <c r="Y119" i="1" s="1"/>
  <c r="T123" i="2" s="1"/>
  <c r="T119" i="1"/>
  <c r="P119" i="1"/>
  <c r="S119" i="1" s="1"/>
  <c r="N123" i="2" s="1"/>
  <c r="J119" i="1"/>
  <c r="H119" i="1"/>
  <c r="G119" i="1"/>
  <c r="C119" i="1"/>
  <c r="BC118" i="1"/>
  <c r="AZ118" i="1"/>
  <c r="AT118" i="1"/>
  <c r="AW118" i="1" s="1"/>
  <c r="AN118" i="1"/>
  <c r="AQ118" i="1" s="1"/>
  <c r="AK118" i="1"/>
  <c r="AH118" i="1"/>
  <c r="AF118" i="1"/>
  <c r="AB118" i="1"/>
  <c r="AE118" i="1" s="1"/>
  <c r="Z122" i="2" s="1"/>
  <c r="V118" i="1"/>
  <c r="Y118" i="1" s="1"/>
  <c r="T122" i="2" s="1"/>
  <c r="T118" i="1"/>
  <c r="P118" i="1"/>
  <c r="S118" i="1" s="1"/>
  <c r="N122" i="2" s="1"/>
  <c r="J118" i="1"/>
  <c r="H118" i="1"/>
  <c r="G118" i="1"/>
  <c r="C118" i="1"/>
  <c r="BC117" i="1"/>
  <c r="AZ117" i="1"/>
  <c r="AT117" i="1"/>
  <c r="AW117" i="1" s="1"/>
  <c r="AN117" i="1"/>
  <c r="AQ117" i="1" s="1"/>
  <c r="AK117" i="1"/>
  <c r="AH117" i="1"/>
  <c r="AF117" i="1"/>
  <c r="AB117" i="1"/>
  <c r="AE117" i="1" s="1"/>
  <c r="Z121" i="2" s="1"/>
  <c r="V117" i="1"/>
  <c r="Y117" i="1" s="1"/>
  <c r="T121" i="2" s="1"/>
  <c r="T117" i="1"/>
  <c r="P117" i="1"/>
  <c r="S117" i="1" s="1"/>
  <c r="N121" i="2" s="1"/>
  <c r="J117" i="1"/>
  <c r="H117" i="1"/>
  <c r="G117" i="1"/>
  <c r="C117" i="1"/>
  <c r="BC116" i="1"/>
  <c r="AZ116" i="1"/>
  <c r="AT116" i="1"/>
  <c r="AW116" i="1" s="1"/>
  <c r="AN116" i="1"/>
  <c r="AQ116" i="1" s="1"/>
  <c r="AK116" i="1"/>
  <c r="AH116" i="1"/>
  <c r="AF116" i="1"/>
  <c r="AB116" i="1"/>
  <c r="AE116" i="1" s="1"/>
  <c r="Z120" i="2" s="1"/>
  <c r="V116" i="1"/>
  <c r="Y116" i="1" s="1"/>
  <c r="T120" i="2" s="1"/>
  <c r="T116" i="1"/>
  <c r="P116" i="1"/>
  <c r="S116" i="1" s="1"/>
  <c r="N120" i="2" s="1"/>
  <c r="J116" i="1"/>
  <c r="H116" i="1"/>
  <c r="G116" i="1"/>
  <c r="C116" i="1"/>
  <c r="BC115" i="1"/>
  <c r="AZ115" i="1"/>
  <c r="AT115" i="1"/>
  <c r="AW115" i="1" s="1"/>
  <c r="AN115" i="1"/>
  <c r="AQ115" i="1" s="1"/>
  <c r="AK115" i="1"/>
  <c r="AH115" i="1"/>
  <c r="AF115" i="1"/>
  <c r="AB115" i="1"/>
  <c r="AE115" i="1" s="1"/>
  <c r="Z119" i="2" s="1"/>
  <c r="V115" i="1"/>
  <c r="Y115" i="1" s="1"/>
  <c r="T119" i="2" s="1"/>
  <c r="T115" i="1"/>
  <c r="P115" i="1"/>
  <c r="S115" i="1" s="1"/>
  <c r="N119" i="2" s="1"/>
  <c r="J115" i="1"/>
  <c r="H115" i="1"/>
  <c r="G115" i="1"/>
  <c r="C115" i="1"/>
  <c r="BC114" i="1"/>
  <c r="AZ114" i="1"/>
  <c r="AT114" i="1"/>
  <c r="AW114" i="1" s="1"/>
  <c r="AN114" i="1"/>
  <c r="AQ114" i="1" s="1"/>
  <c r="AK114" i="1"/>
  <c r="AH114" i="1"/>
  <c r="AF114" i="1"/>
  <c r="AB114" i="1"/>
  <c r="AE114" i="1" s="1"/>
  <c r="Z118" i="2" s="1"/>
  <c r="V114" i="1"/>
  <c r="Y114" i="1" s="1"/>
  <c r="T118" i="2" s="1"/>
  <c r="T114" i="1"/>
  <c r="P114" i="1"/>
  <c r="S114" i="1" s="1"/>
  <c r="N118" i="2" s="1"/>
  <c r="J114" i="1"/>
  <c r="H114" i="1"/>
  <c r="G114" i="1"/>
  <c r="C114" i="1"/>
  <c r="BC113" i="1"/>
  <c r="AZ113" i="1"/>
  <c r="AT113" i="1"/>
  <c r="AW113" i="1" s="1"/>
  <c r="AN113" i="1"/>
  <c r="AQ113" i="1" s="1"/>
  <c r="AK113" i="1"/>
  <c r="AH113" i="1"/>
  <c r="AF113" i="1"/>
  <c r="AB113" i="1"/>
  <c r="AE113" i="1" s="1"/>
  <c r="Z117" i="2" s="1"/>
  <c r="V113" i="1"/>
  <c r="Y113" i="1" s="1"/>
  <c r="T117" i="2" s="1"/>
  <c r="T113" i="1"/>
  <c r="P113" i="1"/>
  <c r="S113" i="1" s="1"/>
  <c r="N117" i="2" s="1"/>
  <c r="J113" i="1"/>
  <c r="H113" i="1"/>
  <c r="G113" i="1"/>
  <c r="C113" i="1"/>
  <c r="BC112" i="1"/>
  <c r="AZ112" i="1"/>
  <c r="AT112" i="1"/>
  <c r="AW112" i="1" s="1"/>
  <c r="AN112" i="1"/>
  <c r="AQ112" i="1" s="1"/>
  <c r="AK112" i="1"/>
  <c r="AH112" i="1"/>
  <c r="AF112" i="1"/>
  <c r="AB112" i="1"/>
  <c r="AE112" i="1" s="1"/>
  <c r="Z116" i="2" s="1"/>
  <c r="V112" i="1"/>
  <c r="Y112" i="1" s="1"/>
  <c r="T116" i="2" s="1"/>
  <c r="T112" i="1"/>
  <c r="P112" i="1"/>
  <c r="S112" i="1" s="1"/>
  <c r="N116" i="2" s="1"/>
  <c r="J112" i="1"/>
  <c r="H112" i="1"/>
  <c r="G112" i="1"/>
  <c r="C112" i="1"/>
  <c r="BC111" i="1"/>
  <c r="AZ111" i="1"/>
  <c r="AT111" i="1"/>
  <c r="AW111" i="1" s="1"/>
  <c r="AN111" i="1"/>
  <c r="AQ111" i="1" s="1"/>
  <c r="AK111" i="1"/>
  <c r="AH111" i="1"/>
  <c r="AF111" i="1"/>
  <c r="AB111" i="1"/>
  <c r="AE111" i="1" s="1"/>
  <c r="Z115" i="2" s="1"/>
  <c r="V111" i="1"/>
  <c r="Y111" i="1" s="1"/>
  <c r="T115" i="2" s="1"/>
  <c r="T111" i="1"/>
  <c r="P111" i="1"/>
  <c r="S111" i="1" s="1"/>
  <c r="N115" i="2" s="1"/>
  <c r="J111" i="1"/>
  <c r="H111" i="1"/>
  <c r="G111" i="1"/>
  <c r="C111" i="1"/>
  <c r="BC110" i="1"/>
  <c r="AZ110" i="1"/>
  <c r="AT110" i="1"/>
  <c r="AW110" i="1" s="1"/>
  <c r="AN110" i="1"/>
  <c r="AQ110" i="1" s="1"/>
  <c r="AK110" i="1"/>
  <c r="AH110" i="1"/>
  <c r="AF110" i="1"/>
  <c r="AB110" i="1"/>
  <c r="AE110" i="1" s="1"/>
  <c r="Z114" i="2" s="1"/>
  <c r="V110" i="1"/>
  <c r="Y110" i="1" s="1"/>
  <c r="T114" i="2" s="1"/>
  <c r="T110" i="1"/>
  <c r="P110" i="1"/>
  <c r="S110" i="1" s="1"/>
  <c r="N114" i="2" s="1"/>
  <c r="J110" i="1"/>
  <c r="H110" i="1"/>
  <c r="G110" i="1"/>
  <c r="C110" i="1"/>
  <c r="BC109" i="1"/>
  <c r="AZ109" i="1"/>
  <c r="AT109" i="1"/>
  <c r="AW109" i="1" s="1"/>
  <c r="AN109" i="1"/>
  <c r="AQ109" i="1" s="1"/>
  <c r="AK109" i="1"/>
  <c r="AH109" i="1"/>
  <c r="AF109" i="1"/>
  <c r="AB109" i="1"/>
  <c r="AE109" i="1" s="1"/>
  <c r="Z113" i="2" s="1"/>
  <c r="V109" i="1"/>
  <c r="Y109" i="1" s="1"/>
  <c r="T113" i="2" s="1"/>
  <c r="T109" i="1"/>
  <c r="P109" i="1"/>
  <c r="S109" i="1" s="1"/>
  <c r="N113" i="2" s="1"/>
  <c r="M109" i="1"/>
  <c r="H113" i="2" s="1"/>
  <c r="J109" i="1"/>
  <c r="N109" i="1" s="1"/>
  <c r="H109" i="1"/>
  <c r="G109" i="1"/>
  <c r="C109" i="1"/>
  <c r="BC108" i="1"/>
  <c r="AZ108" i="1"/>
  <c r="AW108" i="1"/>
  <c r="AT108" i="1"/>
  <c r="AN108" i="1"/>
  <c r="AQ108" i="1" s="1"/>
  <c r="AK108" i="1"/>
  <c r="AH108" i="1"/>
  <c r="AE108" i="1"/>
  <c r="Z112" i="2" s="1"/>
  <c r="AB108" i="1"/>
  <c r="AF108" i="1" s="1"/>
  <c r="Z108" i="1"/>
  <c r="V108" i="1"/>
  <c r="Y108" i="1" s="1"/>
  <c r="T112" i="2" s="1"/>
  <c r="P108" i="1"/>
  <c r="T108" i="1" s="1"/>
  <c r="M108" i="1"/>
  <c r="H112" i="2" s="1"/>
  <c r="J108" i="1"/>
  <c r="N108" i="1" s="1"/>
  <c r="H108" i="1"/>
  <c r="G108" i="1"/>
  <c r="C108" i="1"/>
  <c r="AZ107" i="1"/>
  <c r="BC107" i="1" s="1"/>
  <c r="AT107" i="1"/>
  <c r="AW107" i="1" s="1"/>
  <c r="AN107" i="1"/>
  <c r="AQ107" i="1" s="1"/>
  <c r="AK107" i="1"/>
  <c r="AH107" i="1"/>
  <c r="AB107" i="1"/>
  <c r="AF107" i="1" s="1"/>
  <c r="V107" i="1"/>
  <c r="Y107" i="1" s="1"/>
  <c r="T111" i="2" s="1"/>
  <c r="T107" i="1"/>
  <c r="S107" i="1"/>
  <c r="N111" i="2" s="1"/>
  <c r="P107" i="1"/>
  <c r="J107" i="1"/>
  <c r="N107" i="1" s="1"/>
  <c r="G107" i="1"/>
  <c r="C107" i="1"/>
  <c r="H107" i="1" s="1"/>
  <c r="BC106" i="1"/>
  <c r="AZ106" i="1"/>
  <c r="AT106" i="1"/>
  <c r="AW106" i="1" s="1"/>
  <c r="AN106" i="1"/>
  <c r="AQ106" i="1" s="1"/>
  <c r="AH106" i="1"/>
  <c r="AK106" i="1" s="1"/>
  <c r="AF106" i="1"/>
  <c r="AE106" i="1"/>
  <c r="Z110" i="2" s="1"/>
  <c r="AB106" i="1"/>
  <c r="V106" i="1"/>
  <c r="Y106" i="1" s="1"/>
  <c r="T110" i="2" s="1"/>
  <c r="P106" i="1"/>
  <c r="T106" i="1" s="1"/>
  <c r="N106" i="1"/>
  <c r="M106" i="1"/>
  <c r="H110" i="2" s="1"/>
  <c r="J106" i="1"/>
  <c r="C106" i="1"/>
  <c r="H106" i="1" s="1"/>
  <c r="AZ105" i="1"/>
  <c r="BC105" i="1" s="1"/>
  <c r="AT105" i="1"/>
  <c r="AW105" i="1" s="1"/>
  <c r="AN105" i="1"/>
  <c r="AQ105" i="1" s="1"/>
  <c r="AH105" i="1"/>
  <c r="AK105" i="1" s="1"/>
  <c r="AB105" i="1"/>
  <c r="AF105" i="1" s="1"/>
  <c r="V105" i="1"/>
  <c r="Y105" i="1" s="1"/>
  <c r="T109" i="2" s="1"/>
  <c r="T105" i="1"/>
  <c r="P105" i="1"/>
  <c r="S105" i="1" s="1"/>
  <c r="N109" i="2" s="1"/>
  <c r="J105" i="1"/>
  <c r="N105" i="1" s="1"/>
  <c r="H105" i="1"/>
  <c r="G105" i="1"/>
  <c r="C105" i="1"/>
  <c r="AZ104" i="1"/>
  <c r="BC104" i="1" s="1"/>
  <c r="AW104" i="1"/>
  <c r="AT104" i="1"/>
  <c r="AN104" i="1"/>
  <c r="AQ104" i="1" s="1"/>
  <c r="AH104" i="1"/>
  <c r="AK104" i="1" s="1"/>
  <c r="AF104" i="1"/>
  <c r="AB104" i="1"/>
  <c r="AE104" i="1" s="1"/>
  <c r="Z108" i="2" s="1"/>
  <c r="V104" i="1"/>
  <c r="Z104" i="1" s="1"/>
  <c r="T104" i="1"/>
  <c r="S104" i="1"/>
  <c r="N108" i="2" s="1"/>
  <c r="P104" i="1"/>
  <c r="J104" i="1"/>
  <c r="N104" i="1" s="1"/>
  <c r="C104" i="1"/>
  <c r="H104" i="1" s="1"/>
  <c r="BC103" i="1"/>
  <c r="AZ103" i="1"/>
  <c r="AT103" i="1"/>
  <c r="AW103" i="1" s="1"/>
  <c r="AN103" i="1"/>
  <c r="AQ103" i="1" s="1"/>
  <c r="AH103" i="1"/>
  <c r="AK103" i="1" s="1"/>
  <c r="AF103" i="1"/>
  <c r="AB103" i="1"/>
  <c r="AE103" i="1" s="1"/>
  <c r="Z107" i="2" s="1"/>
  <c r="V103" i="1"/>
  <c r="Z103" i="1" s="1"/>
  <c r="T103" i="1"/>
  <c r="S103" i="1"/>
  <c r="N107" i="2" s="1"/>
  <c r="P103" i="1"/>
  <c r="J103" i="1"/>
  <c r="N103" i="1" s="1"/>
  <c r="C103" i="1"/>
  <c r="H103" i="1" s="1"/>
  <c r="BC102" i="1"/>
  <c r="AZ102" i="1"/>
  <c r="AT102" i="1"/>
  <c r="AW102" i="1" s="1"/>
  <c r="AN102" i="1"/>
  <c r="AQ102" i="1" s="1"/>
  <c r="AH102" i="1"/>
  <c r="AK102" i="1" s="1"/>
  <c r="AF102" i="1"/>
  <c r="AB102" i="1"/>
  <c r="AE102" i="1" s="1"/>
  <c r="Z106" i="2" s="1"/>
  <c r="V102" i="1"/>
  <c r="Z102" i="1" s="1"/>
  <c r="T102" i="1"/>
  <c r="S102" i="1"/>
  <c r="N106" i="2" s="1"/>
  <c r="P102" i="1"/>
  <c r="J102" i="1"/>
  <c r="N102" i="1" s="1"/>
  <c r="C102" i="1"/>
  <c r="H102" i="1" s="1"/>
  <c r="BC101" i="1"/>
  <c r="AZ101" i="1"/>
  <c r="AT101" i="1"/>
  <c r="AW101" i="1" s="1"/>
  <c r="AN101" i="1"/>
  <c r="AQ101" i="1" s="1"/>
  <c r="AH101" i="1"/>
  <c r="AK101" i="1" s="1"/>
  <c r="AF101" i="1"/>
  <c r="AB101" i="1"/>
  <c r="AE101" i="1" s="1"/>
  <c r="Z105" i="2" s="1"/>
  <c r="V101" i="1"/>
  <c r="Z101" i="1" s="1"/>
  <c r="T101" i="1"/>
  <c r="S101" i="1"/>
  <c r="N105" i="2" s="1"/>
  <c r="P101" i="1"/>
  <c r="J101" i="1"/>
  <c r="N101" i="1" s="1"/>
  <c r="C101" i="1"/>
  <c r="H101" i="1" s="1"/>
  <c r="BC100" i="1"/>
  <c r="AZ100" i="1"/>
  <c r="AT100" i="1"/>
  <c r="AW100" i="1" s="1"/>
  <c r="AN100" i="1"/>
  <c r="AQ100" i="1" s="1"/>
  <c r="AH100" i="1"/>
  <c r="AK100" i="1" s="1"/>
  <c r="AF100" i="1"/>
  <c r="AB100" i="1"/>
  <c r="AE100" i="1" s="1"/>
  <c r="Z104" i="2" s="1"/>
  <c r="V100" i="1"/>
  <c r="Z100" i="1" s="1"/>
  <c r="T100" i="1"/>
  <c r="S100" i="1"/>
  <c r="N104" i="2" s="1"/>
  <c r="P100" i="1"/>
  <c r="J100" i="1"/>
  <c r="N100" i="1" s="1"/>
  <c r="C100" i="1"/>
  <c r="H100" i="1" s="1"/>
  <c r="BC99" i="1"/>
  <c r="AZ99" i="1"/>
  <c r="AT99" i="1"/>
  <c r="AW99" i="1" s="1"/>
  <c r="AN99" i="1"/>
  <c r="AQ99" i="1" s="1"/>
  <c r="AH99" i="1"/>
  <c r="AK99" i="1" s="1"/>
  <c r="AF99" i="1"/>
  <c r="AB99" i="1"/>
  <c r="AE99" i="1" s="1"/>
  <c r="Z103" i="2" s="1"/>
  <c r="V99" i="1"/>
  <c r="Z99" i="1" s="1"/>
  <c r="T99" i="1"/>
  <c r="S99" i="1"/>
  <c r="N103" i="2" s="1"/>
  <c r="P99" i="1"/>
  <c r="J99" i="1"/>
  <c r="N99" i="1" s="1"/>
  <c r="C99" i="1"/>
  <c r="H99" i="1" s="1"/>
  <c r="BC98" i="1"/>
  <c r="AZ98" i="1"/>
  <c r="AT98" i="1"/>
  <c r="AW98" i="1" s="1"/>
  <c r="AN98" i="1"/>
  <c r="AQ98" i="1" s="1"/>
  <c r="AH98" i="1"/>
  <c r="AK98" i="1" s="1"/>
  <c r="AF98" i="1"/>
  <c r="AB98" i="1"/>
  <c r="AE98" i="1" s="1"/>
  <c r="Z102" i="2" s="1"/>
  <c r="V98" i="1"/>
  <c r="Z98" i="1" s="1"/>
  <c r="T98" i="1"/>
  <c r="S98" i="1"/>
  <c r="N102" i="2" s="1"/>
  <c r="P98" i="1"/>
  <c r="J98" i="1"/>
  <c r="N98" i="1" s="1"/>
  <c r="C98" i="1"/>
  <c r="H98" i="1" s="1"/>
  <c r="BC97" i="1"/>
  <c r="AZ97" i="1"/>
  <c r="AT97" i="1"/>
  <c r="AW97" i="1" s="1"/>
  <c r="AN97" i="1"/>
  <c r="AQ97" i="1" s="1"/>
  <c r="AH97" i="1"/>
  <c r="AK97" i="1" s="1"/>
  <c r="AF97" i="1"/>
  <c r="AB97" i="1"/>
  <c r="AE97" i="1" s="1"/>
  <c r="Z101" i="2" s="1"/>
  <c r="V97" i="1"/>
  <c r="Z97" i="1" s="1"/>
  <c r="T97" i="1"/>
  <c r="S97" i="1"/>
  <c r="N101" i="2" s="1"/>
  <c r="P97" i="1"/>
  <c r="J97" i="1"/>
  <c r="N97" i="1" s="1"/>
  <c r="C97" i="1"/>
  <c r="H97" i="1" s="1"/>
  <c r="BC96" i="1"/>
  <c r="AZ96" i="1"/>
  <c r="AT96" i="1"/>
  <c r="AW96" i="1" s="1"/>
  <c r="AN96" i="1"/>
  <c r="AQ96" i="1" s="1"/>
  <c r="AH96" i="1"/>
  <c r="AK96" i="1" s="1"/>
  <c r="AF96" i="1"/>
  <c r="AB96" i="1"/>
  <c r="AE96" i="1" s="1"/>
  <c r="Z100" i="2" s="1"/>
  <c r="V96" i="1"/>
  <c r="Z96" i="1" s="1"/>
  <c r="T96" i="1"/>
  <c r="S96" i="1"/>
  <c r="N100" i="2" s="1"/>
  <c r="P96" i="1"/>
  <c r="J96" i="1"/>
  <c r="N96" i="1" s="1"/>
  <c r="C96" i="1"/>
  <c r="H96" i="1" s="1"/>
  <c r="BC95" i="1"/>
  <c r="AZ95" i="1"/>
  <c r="AT95" i="1"/>
  <c r="AW95" i="1" s="1"/>
  <c r="AN95" i="1"/>
  <c r="AQ95" i="1" s="1"/>
  <c r="AH95" i="1"/>
  <c r="AK95" i="1" s="1"/>
  <c r="AF95" i="1"/>
  <c r="AB95" i="1"/>
  <c r="AE95" i="1" s="1"/>
  <c r="Z99" i="2" s="1"/>
  <c r="V95" i="1"/>
  <c r="Z95" i="1" s="1"/>
  <c r="T95" i="1"/>
  <c r="S95" i="1"/>
  <c r="N99" i="2" s="1"/>
  <c r="P95" i="1"/>
  <c r="J95" i="1"/>
  <c r="N95" i="1" s="1"/>
  <c r="C95" i="1"/>
  <c r="H95" i="1" s="1"/>
  <c r="BC94" i="1"/>
  <c r="AZ94" i="1"/>
  <c r="AT94" i="1"/>
  <c r="AW94" i="1" s="1"/>
  <c r="AN94" i="1"/>
  <c r="AQ94" i="1" s="1"/>
  <c r="AH94" i="1"/>
  <c r="AK94" i="1" s="1"/>
  <c r="AF94" i="1"/>
  <c r="AB94" i="1"/>
  <c r="AE94" i="1" s="1"/>
  <c r="Z98" i="2" s="1"/>
  <c r="V94" i="1"/>
  <c r="Z94" i="1" s="1"/>
  <c r="T94" i="1"/>
  <c r="S94" i="1"/>
  <c r="N98" i="2" s="1"/>
  <c r="P94" i="1"/>
  <c r="J94" i="1"/>
  <c r="N94" i="1" s="1"/>
  <c r="C94" i="1"/>
  <c r="H94" i="1" s="1"/>
  <c r="BC93" i="1"/>
  <c r="AZ93" i="1"/>
  <c r="AT93" i="1"/>
  <c r="AW93" i="1" s="1"/>
  <c r="AN93" i="1"/>
  <c r="AQ93" i="1" s="1"/>
  <c r="AH93" i="1"/>
  <c r="AK93" i="1" s="1"/>
  <c r="AF93" i="1"/>
  <c r="AB93" i="1"/>
  <c r="AE93" i="1" s="1"/>
  <c r="Z97" i="2" s="1"/>
  <c r="V93" i="1"/>
  <c r="Z93" i="1" s="1"/>
  <c r="T93" i="1"/>
  <c r="S93" i="1"/>
  <c r="N97" i="2" s="1"/>
  <c r="P93" i="1"/>
  <c r="J93" i="1"/>
  <c r="N93" i="1" s="1"/>
  <c r="C93" i="1"/>
  <c r="H93" i="1" s="1"/>
  <c r="BC92" i="1"/>
  <c r="AZ92" i="1"/>
  <c r="AT92" i="1"/>
  <c r="AW92" i="1" s="1"/>
  <c r="AN92" i="1"/>
  <c r="AQ92" i="1" s="1"/>
  <c r="AH92" i="1"/>
  <c r="AK92" i="1" s="1"/>
  <c r="AF92" i="1"/>
  <c r="AB92" i="1"/>
  <c r="AE92" i="1" s="1"/>
  <c r="Z96" i="2" s="1"/>
  <c r="V92" i="1"/>
  <c r="Z92" i="1" s="1"/>
  <c r="T92" i="1"/>
  <c r="S92" i="1"/>
  <c r="N96" i="2" s="1"/>
  <c r="P92" i="1"/>
  <c r="J92" i="1"/>
  <c r="N92" i="1" s="1"/>
  <c r="C92" i="1"/>
  <c r="H92" i="1" s="1"/>
  <c r="BC91" i="1"/>
  <c r="AZ91" i="1"/>
  <c r="AT91" i="1"/>
  <c r="AW91" i="1" s="1"/>
  <c r="AN91" i="1"/>
  <c r="AQ91" i="1" s="1"/>
  <c r="AH91" i="1"/>
  <c r="AK91" i="1" s="1"/>
  <c r="AF91" i="1"/>
  <c r="AB91" i="1"/>
  <c r="AE91" i="1" s="1"/>
  <c r="Z95" i="2" s="1"/>
  <c r="V91" i="1"/>
  <c r="Z91" i="1" s="1"/>
  <c r="T91" i="1"/>
  <c r="S91" i="1"/>
  <c r="N95" i="2" s="1"/>
  <c r="P91" i="1"/>
  <c r="J91" i="1"/>
  <c r="N91" i="1" s="1"/>
  <c r="C91" i="1"/>
  <c r="H91" i="1" s="1"/>
  <c r="BC90" i="1"/>
  <c r="AZ90" i="1"/>
  <c r="AT90" i="1"/>
  <c r="AW90" i="1" s="1"/>
  <c r="AN90" i="1"/>
  <c r="AQ90" i="1" s="1"/>
  <c r="AH90" i="1"/>
  <c r="AK90" i="1" s="1"/>
  <c r="AF90" i="1"/>
  <c r="AB90" i="1"/>
  <c r="AE90" i="1" s="1"/>
  <c r="Z94" i="2" s="1"/>
  <c r="V90" i="1"/>
  <c r="Z90" i="1" s="1"/>
  <c r="T90" i="1"/>
  <c r="S90" i="1"/>
  <c r="N94" i="2" s="1"/>
  <c r="P90" i="1"/>
  <c r="J90" i="1"/>
  <c r="N90" i="1" s="1"/>
  <c r="C90" i="1"/>
  <c r="H90" i="1" s="1"/>
  <c r="BC89" i="1"/>
  <c r="AZ89" i="1"/>
  <c r="AT89" i="1"/>
  <c r="AW89" i="1" s="1"/>
  <c r="AN89" i="1"/>
  <c r="AQ89" i="1" s="1"/>
  <c r="AH89" i="1"/>
  <c r="AK89" i="1" s="1"/>
  <c r="AF89" i="1"/>
  <c r="AB89" i="1"/>
  <c r="AE89" i="1" s="1"/>
  <c r="Z93" i="2" s="1"/>
  <c r="V89" i="1"/>
  <c r="Z89" i="1" s="1"/>
  <c r="T89" i="1"/>
  <c r="S89" i="1"/>
  <c r="N93" i="2" s="1"/>
  <c r="P89" i="1"/>
  <c r="J89" i="1"/>
  <c r="N89" i="1" s="1"/>
  <c r="C89" i="1"/>
  <c r="H89" i="1" s="1"/>
  <c r="BC88" i="1"/>
  <c r="AZ88" i="1"/>
  <c r="AT88" i="1"/>
  <c r="AW88" i="1" s="1"/>
  <c r="AN88" i="1"/>
  <c r="AQ88" i="1" s="1"/>
  <c r="AH88" i="1"/>
  <c r="AK88" i="1" s="1"/>
  <c r="AF88" i="1"/>
  <c r="AB88" i="1"/>
  <c r="AE88" i="1" s="1"/>
  <c r="Z92" i="2" s="1"/>
  <c r="V88" i="1"/>
  <c r="Z88" i="1" s="1"/>
  <c r="T88" i="1"/>
  <c r="S88" i="1"/>
  <c r="N92" i="2" s="1"/>
  <c r="P88" i="1"/>
  <c r="J88" i="1"/>
  <c r="N88" i="1" s="1"/>
  <c r="C88" i="1"/>
  <c r="H88" i="1" s="1"/>
  <c r="BC87" i="1"/>
  <c r="AZ87" i="1"/>
  <c r="AT87" i="1"/>
  <c r="AW87" i="1" s="1"/>
  <c r="AN87" i="1"/>
  <c r="AQ87" i="1" s="1"/>
  <c r="AH87" i="1"/>
  <c r="AK87" i="1" s="1"/>
  <c r="AF87" i="1"/>
  <c r="AB87" i="1"/>
  <c r="AE87" i="1" s="1"/>
  <c r="Z91" i="2" s="1"/>
  <c r="V87" i="1"/>
  <c r="Z87" i="1" s="1"/>
  <c r="T87" i="1"/>
  <c r="S87" i="1"/>
  <c r="N91" i="2" s="1"/>
  <c r="P87" i="1"/>
  <c r="J87" i="1"/>
  <c r="N87" i="1" s="1"/>
  <c r="C87" i="1"/>
  <c r="H87" i="1" s="1"/>
  <c r="BC86" i="1"/>
  <c r="AZ86" i="1"/>
  <c r="AT86" i="1"/>
  <c r="AW86" i="1" s="1"/>
  <c r="AN86" i="1"/>
  <c r="AQ86" i="1" s="1"/>
  <c r="AH86" i="1"/>
  <c r="AK86" i="1" s="1"/>
  <c r="AF86" i="1"/>
  <c r="AB86" i="1"/>
  <c r="AE86" i="1" s="1"/>
  <c r="Z90" i="2" s="1"/>
  <c r="V86" i="1"/>
  <c r="Z86" i="1" s="1"/>
  <c r="T86" i="1"/>
  <c r="S86" i="1"/>
  <c r="N90" i="2" s="1"/>
  <c r="P86" i="1"/>
  <c r="J86" i="1"/>
  <c r="N86" i="1" s="1"/>
  <c r="C86" i="1"/>
  <c r="H86" i="1" s="1"/>
  <c r="BC85" i="1"/>
  <c r="AZ85" i="1"/>
  <c r="AT85" i="1"/>
  <c r="AW85" i="1" s="1"/>
  <c r="AN85" i="1"/>
  <c r="AQ85" i="1" s="1"/>
  <c r="AH85" i="1"/>
  <c r="AK85" i="1" s="1"/>
  <c r="AF85" i="1"/>
  <c r="AB85" i="1"/>
  <c r="AE85" i="1" s="1"/>
  <c r="Z89" i="2" s="1"/>
  <c r="V85" i="1"/>
  <c r="Z85" i="1" s="1"/>
  <c r="T85" i="1"/>
  <c r="S85" i="1"/>
  <c r="N89" i="2" s="1"/>
  <c r="P85" i="1"/>
  <c r="J85" i="1"/>
  <c r="N85" i="1" s="1"/>
  <c r="C85" i="1"/>
  <c r="H85" i="1" s="1"/>
  <c r="BC84" i="1"/>
  <c r="AZ84" i="1"/>
  <c r="AT84" i="1"/>
  <c r="AW84" i="1" s="1"/>
  <c r="AN84" i="1"/>
  <c r="AQ84" i="1" s="1"/>
  <c r="AH84" i="1"/>
  <c r="AK84" i="1" s="1"/>
  <c r="AF84" i="1"/>
  <c r="AB84" i="1"/>
  <c r="AE84" i="1" s="1"/>
  <c r="Z88" i="2" s="1"/>
  <c r="V84" i="1"/>
  <c r="Z84" i="1" s="1"/>
  <c r="T84" i="1"/>
  <c r="S84" i="1"/>
  <c r="N88" i="2" s="1"/>
  <c r="P84" i="1"/>
  <c r="J84" i="1"/>
  <c r="N84" i="1" s="1"/>
  <c r="C84" i="1"/>
  <c r="H84" i="1" s="1"/>
  <c r="BC83" i="1"/>
  <c r="AZ83" i="1"/>
  <c r="AT83" i="1"/>
  <c r="AW83" i="1" s="1"/>
  <c r="AR7" i="2" s="1" a="1"/>
  <c r="AN83" i="1"/>
  <c r="AQ83" i="1" s="1"/>
  <c r="AH83" i="1"/>
  <c r="AK83" i="1" s="1"/>
  <c r="AF83" i="1"/>
  <c r="AB83" i="1"/>
  <c r="AE83" i="1" s="1"/>
  <c r="Z87" i="2" s="1"/>
  <c r="V83" i="1"/>
  <c r="Z83" i="1" s="1"/>
  <c r="P83" i="1"/>
  <c r="S83" i="1" s="1"/>
  <c r="N87" i="2" s="1"/>
  <c r="J83" i="1"/>
  <c r="N83" i="1" s="1"/>
  <c r="C83" i="1"/>
  <c r="H83" i="1" s="1"/>
  <c r="AQ82" i="1"/>
  <c r="AK82" i="1"/>
  <c r="AF82" i="1"/>
  <c r="AE82" i="1"/>
  <c r="Z86" i="2" s="1"/>
  <c r="Z82" i="1"/>
  <c r="Y82" i="1"/>
  <c r="T86" i="2" s="1"/>
  <c r="T82" i="1"/>
  <c r="S82" i="1"/>
  <c r="N86" i="2" s="1"/>
  <c r="N82" i="1"/>
  <c r="M82" i="1"/>
  <c r="H86" i="2" s="1"/>
  <c r="H82" i="1"/>
  <c r="G82" i="1"/>
  <c r="B86" i="2" s="1"/>
  <c r="AQ81" i="1"/>
  <c r="AK81" i="1"/>
  <c r="AF81" i="1"/>
  <c r="AE81" i="1"/>
  <c r="Z85" i="2" s="1"/>
  <c r="Z81" i="1"/>
  <c r="Y81" i="1"/>
  <c r="T85" i="2" s="1"/>
  <c r="T81" i="1"/>
  <c r="S81" i="1"/>
  <c r="N85" i="2" s="1"/>
  <c r="N81" i="1"/>
  <c r="M81" i="1"/>
  <c r="H85" i="2" s="1"/>
  <c r="I81" i="1"/>
  <c r="H81" i="1"/>
  <c r="G81" i="1"/>
  <c r="B85" i="2" s="1"/>
  <c r="AQ80" i="1"/>
  <c r="AK80" i="1"/>
  <c r="AF80" i="1"/>
  <c r="AE80" i="1"/>
  <c r="Z84" i="2" s="1"/>
  <c r="Z80" i="1"/>
  <c r="Y80" i="1"/>
  <c r="T84" i="2" s="1"/>
  <c r="T80" i="1"/>
  <c r="S80" i="1"/>
  <c r="N84" i="2" s="1"/>
  <c r="N80" i="1"/>
  <c r="M80" i="1"/>
  <c r="H84" i="2" s="1"/>
  <c r="H80" i="1"/>
  <c r="G80" i="1"/>
  <c r="B84" i="2" s="1"/>
  <c r="AQ79" i="1"/>
  <c r="AK79" i="1"/>
  <c r="AF79" i="1"/>
  <c r="AE79" i="1"/>
  <c r="Z83" i="2" s="1"/>
  <c r="Z79" i="1"/>
  <c r="Y79" i="1"/>
  <c r="T83" i="2" s="1"/>
  <c r="T79" i="1"/>
  <c r="S79" i="1"/>
  <c r="N83" i="2" s="1"/>
  <c r="N79" i="1"/>
  <c r="M79" i="1"/>
  <c r="H83" i="2" s="1"/>
  <c r="H79" i="1"/>
  <c r="G79" i="1"/>
  <c r="B83" i="2" s="1"/>
  <c r="AQ78" i="1"/>
  <c r="AK78" i="1"/>
  <c r="AF78" i="1"/>
  <c r="AE78" i="1"/>
  <c r="Z82" i="2" s="1"/>
  <c r="Z78" i="1"/>
  <c r="Y78" i="1"/>
  <c r="T82" i="2" s="1"/>
  <c r="T78" i="1"/>
  <c r="S78" i="1"/>
  <c r="N82" i="2" s="1"/>
  <c r="N78" i="1"/>
  <c r="M78" i="1"/>
  <c r="H82" i="2" s="1"/>
  <c r="H78" i="1"/>
  <c r="G78" i="1"/>
  <c r="B82" i="2" s="1"/>
  <c r="AQ77" i="1"/>
  <c r="AK77" i="1"/>
  <c r="AF77" i="1"/>
  <c r="AE77" i="1"/>
  <c r="Z81" i="2" s="1"/>
  <c r="Z77" i="1"/>
  <c r="Y77" i="1"/>
  <c r="T81" i="2" s="1"/>
  <c r="T77" i="1"/>
  <c r="S77" i="1"/>
  <c r="N81" i="2" s="1"/>
  <c r="N77" i="1"/>
  <c r="M77" i="1"/>
  <c r="H81" i="2" s="1"/>
  <c r="H77" i="1"/>
  <c r="G77" i="1"/>
  <c r="B81" i="2" s="1"/>
  <c r="AQ76" i="1"/>
  <c r="AK76" i="1"/>
  <c r="AF76" i="1"/>
  <c r="AE76" i="1"/>
  <c r="Z80" i="2" s="1"/>
  <c r="Z76" i="1"/>
  <c r="Y76" i="1"/>
  <c r="T80" i="2" s="1"/>
  <c r="T76" i="1"/>
  <c r="S76" i="1"/>
  <c r="N80" i="2" s="1"/>
  <c r="N76" i="1"/>
  <c r="M76" i="1"/>
  <c r="H80" i="2" s="1"/>
  <c r="I76" i="1"/>
  <c r="H76" i="1"/>
  <c r="G76" i="1"/>
  <c r="B80" i="2" s="1"/>
  <c r="AQ75" i="1"/>
  <c r="AK75" i="1"/>
  <c r="AF75" i="1"/>
  <c r="AE75" i="1"/>
  <c r="Z79" i="2" s="1"/>
  <c r="Z75" i="1"/>
  <c r="Y75" i="1"/>
  <c r="T79" i="2" s="1"/>
  <c r="T75" i="1"/>
  <c r="S75" i="1"/>
  <c r="N79" i="2" s="1"/>
  <c r="N75" i="1"/>
  <c r="M75" i="1"/>
  <c r="H79" i="2" s="1"/>
  <c r="H75" i="1"/>
  <c r="G75" i="1"/>
  <c r="B79" i="2" s="1"/>
  <c r="AQ74" i="1"/>
  <c r="AK74" i="1"/>
  <c r="AF74" i="1"/>
  <c r="AE74" i="1"/>
  <c r="Z78" i="2" s="1"/>
  <c r="Z74" i="1"/>
  <c r="Y74" i="1"/>
  <c r="T78" i="2" s="1"/>
  <c r="T74" i="1"/>
  <c r="S74" i="1"/>
  <c r="N78" i="2" s="1"/>
  <c r="N74" i="1"/>
  <c r="M74" i="1"/>
  <c r="H78" i="2" s="1"/>
  <c r="H74" i="1"/>
  <c r="G74" i="1"/>
  <c r="B78" i="2" s="1"/>
  <c r="AQ73" i="1"/>
  <c r="AK73" i="1"/>
  <c r="AF73" i="1"/>
  <c r="AE73" i="1"/>
  <c r="Z77" i="2" s="1"/>
  <c r="Z73" i="1"/>
  <c r="Y73" i="1"/>
  <c r="T77" i="2" s="1"/>
  <c r="T73" i="1"/>
  <c r="S73" i="1"/>
  <c r="N77" i="2" s="1"/>
  <c r="N73" i="1"/>
  <c r="M73" i="1"/>
  <c r="H77" i="2" s="1"/>
  <c r="I73" i="1"/>
  <c r="H73" i="1"/>
  <c r="G73" i="1"/>
  <c r="B77" i="2" s="1"/>
  <c r="AQ72" i="1"/>
  <c r="AK72" i="1"/>
  <c r="AF72" i="1"/>
  <c r="AE72" i="1"/>
  <c r="Z76" i="2" s="1"/>
  <c r="Z72" i="1"/>
  <c r="Y72" i="1"/>
  <c r="T76" i="2" s="1"/>
  <c r="T72" i="1"/>
  <c r="S72" i="1"/>
  <c r="N76" i="2" s="1"/>
  <c r="N72" i="1"/>
  <c r="M72" i="1"/>
  <c r="H76" i="2" s="1"/>
  <c r="H72" i="1"/>
  <c r="G72" i="1"/>
  <c r="B76" i="2" s="1"/>
  <c r="AQ71" i="1"/>
  <c r="AK71" i="1"/>
  <c r="AF71" i="1"/>
  <c r="AE71" i="1"/>
  <c r="Z75" i="2" s="1"/>
  <c r="Z71" i="1"/>
  <c r="Y71" i="1"/>
  <c r="T75" i="2" s="1"/>
  <c r="T71" i="1"/>
  <c r="S71" i="1"/>
  <c r="N75" i="2" s="1"/>
  <c r="N71" i="1"/>
  <c r="M71" i="1"/>
  <c r="H75" i="2" s="1"/>
  <c r="H71" i="1"/>
  <c r="G71" i="1"/>
  <c r="B75" i="2" s="1"/>
  <c r="AQ70" i="1"/>
  <c r="AK70" i="1"/>
  <c r="AF70" i="1"/>
  <c r="AE70" i="1"/>
  <c r="Z74" i="2" s="1"/>
  <c r="Z70" i="1"/>
  <c r="Y70" i="1"/>
  <c r="T74" i="2" s="1"/>
  <c r="T70" i="1"/>
  <c r="S70" i="1"/>
  <c r="N74" i="2" s="1"/>
  <c r="N70" i="1"/>
  <c r="M70" i="1"/>
  <c r="H74" i="2" s="1"/>
  <c r="H70" i="1"/>
  <c r="G70" i="1"/>
  <c r="B74" i="2" s="1"/>
  <c r="AQ69" i="1"/>
  <c r="AK69" i="1"/>
  <c r="AF69" i="1"/>
  <c r="AE69" i="1"/>
  <c r="Z73" i="2" s="1"/>
  <c r="Z69" i="1"/>
  <c r="Y69" i="1"/>
  <c r="T73" i="2" s="1"/>
  <c r="T69" i="1"/>
  <c r="S69" i="1"/>
  <c r="N73" i="2" s="1"/>
  <c r="N69" i="1"/>
  <c r="M69" i="1"/>
  <c r="H73" i="2" s="1"/>
  <c r="H69" i="1"/>
  <c r="G69" i="1"/>
  <c r="B73" i="2" s="1"/>
  <c r="AQ68" i="1"/>
  <c r="AK68" i="1"/>
  <c r="AF68" i="1"/>
  <c r="AE68" i="1"/>
  <c r="Z72" i="2" s="1"/>
  <c r="Z68" i="1"/>
  <c r="Y68" i="1"/>
  <c r="T72" i="2" s="1"/>
  <c r="T68" i="1"/>
  <c r="S68" i="1"/>
  <c r="N72" i="2" s="1"/>
  <c r="N68" i="1"/>
  <c r="M68" i="1"/>
  <c r="H72" i="2" s="1"/>
  <c r="I68" i="1"/>
  <c r="H68" i="1"/>
  <c r="G68" i="1"/>
  <c r="B72" i="2" s="1"/>
  <c r="AQ67" i="1"/>
  <c r="AK67" i="1"/>
  <c r="AF67" i="1"/>
  <c r="AE67" i="1"/>
  <c r="Z71" i="2" s="1"/>
  <c r="Z67" i="1"/>
  <c r="Y67" i="1"/>
  <c r="T71" i="2" s="1"/>
  <c r="T67" i="1"/>
  <c r="S67" i="1"/>
  <c r="N71" i="2" s="1"/>
  <c r="N67" i="1"/>
  <c r="M67" i="1"/>
  <c r="H71" i="2" s="1"/>
  <c r="H67" i="1"/>
  <c r="G67" i="1"/>
  <c r="B71" i="2" s="1"/>
  <c r="AQ66" i="1"/>
  <c r="AK66" i="1"/>
  <c r="AF66" i="1"/>
  <c r="AE66" i="1"/>
  <c r="Z70" i="2" s="1"/>
  <c r="Z66" i="1"/>
  <c r="Y66" i="1"/>
  <c r="T70" i="2" s="1"/>
  <c r="T66" i="1"/>
  <c r="S66" i="1"/>
  <c r="N70" i="2" s="1"/>
  <c r="N66" i="1"/>
  <c r="M66" i="1"/>
  <c r="H70" i="2" s="1"/>
  <c r="H66" i="1"/>
  <c r="G66" i="1"/>
  <c r="B70" i="2" s="1"/>
  <c r="AQ65" i="1"/>
  <c r="AK65" i="1"/>
  <c r="AF65" i="1"/>
  <c r="AE65" i="1"/>
  <c r="Z69" i="2" s="1"/>
  <c r="Z65" i="1"/>
  <c r="Y65" i="1"/>
  <c r="T69" i="2" s="1"/>
  <c r="T65" i="1"/>
  <c r="S65" i="1"/>
  <c r="N69" i="2" s="1"/>
  <c r="N65" i="1"/>
  <c r="M65" i="1"/>
  <c r="H69" i="2" s="1"/>
  <c r="I65" i="1"/>
  <c r="H65" i="1"/>
  <c r="G65" i="1"/>
  <c r="B69" i="2" s="1"/>
  <c r="AQ64" i="1"/>
  <c r="AK64" i="1"/>
  <c r="AF64" i="1"/>
  <c r="AE64" i="1"/>
  <c r="Z68" i="2" s="1"/>
  <c r="Z64" i="1"/>
  <c r="Y64" i="1"/>
  <c r="T68" i="2" s="1"/>
  <c r="T64" i="1"/>
  <c r="S64" i="1"/>
  <c r="N68" i="2" s="1"/>
  <c r="N64" i="1"/>
  <c r="M64" i="1"/>
  <c r="H68" i="2" s="1"/>
  <c r="H64" i="1"/>
  <c r="G64" i="1"/>
  <c r="B68" i="2" s="1"/>
  <c r="AQ63" i="1"/>
  <c r="AK63" i="1"/>
  <c r="AF63" i="1"/>
  <c r="AE63" i="1"/>
  <c r="Z67" i="2" s="1"/>
  <c r="Z63" i="1"/>
  <c r="Y63" i="1"/>
  <c r="T67" i="2" s="1"/>
  <c r="T63" i="1"/>
  <c r="S63" i="1"/>
  <c r="N67" i="2" s="1"/>
  <c r="N63" i="1"/>
  <c r="M63" i="1"/>
  <c r="H67" i="2" s="1"/>
  <c r="H63" i="1"/>
  <c r="G63" i="1"/>
  <c r="B67" i="2" s="1"/>
  <c r="AQ62" i="1"/>
  <c r="AK62" i="1"/>
  <c r="AF62" i="1"/>
  <c r="AE62" i="1"/>
  <c r="Z66" i="2" s="1"/>
  <c r="Z62" i="1"/>
  <c r="Y62" i="1"/>
  <c r="T66" i="2" s="1"/>
  <c r="T62" i="1"/>
  <c r="S62" i="1"/>
  <c r="N66" i="2" s="1"/>
  <c r="N62" i="1"/>
  <c r="M62" i="1"/>
  <c r="H66" i="2" s="1"/>
  <c r="H62" i="1"/>
  <c r="G62" i="1"/>
  <c r="B66" i="2" s="1"/>
  <c r="AQ61" i="1"/>
  <c r="AK61" i="1"/>
  <c r="AF61" i="1"/>
  <c r="AE61" i="1"/>
  <c r="Z65" i="2" s="1"/>
  <c r="Z61" i="1"/>
  <c r="Y61" i="1"/>
  <c r="T65" i="2" s="1"/>
  <c r="T61" i="1"/>
  <c r="S61" i="1"/>
  <c r="N65" i="2" s="1"/>
  <c r="N61" i="1"/>
  <c r="M61" i="1"/>
  <c r="H65" i="2" s="1"/>
  <c r="H61" i="1"/>
  <c r="G61" i="1"/>
  <c r="B65" i="2" s="1"/>
  <c r="AQ60" i="1"/>
  <c r="AK60" i="1"/>
  <c r="AF60" i="1"/>
  <c r="AE60" i="1"/>
  <c r="Z64" i="2" s="1"/>
  <c r="Z60" i="1"/>
  <c r="Y60" i="1"/>
  <c r="T64" i="2" s="1"/>
  <c r="T60" i="1"/>
  <c r="S60" i="1"/>
  <c r="N64" i="2" s="1"/>
  <c r="N60" i="1"/>
  <c r="M60" i="1"/>
  <c r="H64" i="2" s="1"/>
  <c r="I60" i="1"/>
  <c r="H60" i="1"/>
  <c r="G60" i="1"/>
  <c r="B64" i="2" s="1"/>
  <c r="AQ59" i="1"/>
  <c r="AK59" i="1"/>
  <c r="AF59" i="1"/>
  <c r="AE59" i="1"/>
  <c r="Z63" i="2" s="1"/>
  <c r="Z59" i="1"/>
  <c r="Y59" i="1"/>
  <c r="T63" i="2" s="1"/>
  <c r="T59" i="1"/>
  <c r="S59" i="1"/>
  <c r="N63" i="2" s="1"/>
  <c r="N59" i="1"/>
  <c r="M59" i="1"/>
  <c r="H63" i="2" s="1"/>
  <c r="H59" i="1"/>
  <c r="G59" i="1"/>
  <c r="B63" i="2" s="1"/>
  <c r="AQ58" i="1"/>
  <c r="AK58" i="1"/>
  <c r="AF58" i="1"/>
  <c r="AE58" i="1"/>
  <c r="Z62" i="2" s="1"/>
  <c r="Z58" i="1"/>
  <c r="Y58" i="1"/>
  <c r="T62" i="2" s="1"/>
  <c r="T58" i="1"/>
  <c r="S58" i="1"/>
  <c r="N62" i="2" s="1"/>
  <c r="N58" i="1"/>
  <c r="M58" i="1"/>
  <c r="H62" i="2" s="1"/>
  <c r="H58" i="1"/>
  <c r="G58" i="1"/>
  <c r="B62" i="2" s="1"/>
  <c r="AQ57" i="1"/>
  <c r="AK57" i="1"/>
  <c r="AF57" i="1"/>
  <c r="AE57" i="1"/>
  <c r="Z61" i="2" s="1"/>
  <c r="Z57" i="1"/>
  <c r="Y57" i="1"/>
  <c r="T61" i="2" s="1"/>
  <c r="T57" i="1"/>
  <c r="S57" i="1"/>
  <c r="N61" i="2" s="1"/>
  <c r="N57" i="1"/>
  <c r="M57" i="1"/>
  <c r="H61" i="2" s="1"/>
  <c r="I57" i="1"/>
  <c r="H57" i="1"/>
  <c r="G57" i="1"/>
  <c r="B61" i="2" s="1"/>
  <c r="AQ56" i="1"/>
  <c r="AK56" i="1"/>
  <c r="AF56" i="1"/>
  <c r="AE56" i="1"/>
  <c r="Z60" i="2" s="1"/>
  <c r="Z56" i="1"/>
  <c r="Y56" i="1"/>
  <c r="T60" i="2" s="1"/>
  <c r="T56" i="1"/>
  <c r="S56" i="1"/>
  <c r="N60" i="2" s="1"/>
  <c r="N56" i="1"/>
  <c r="M56" i="1"/>
  <c r="H60" i="2" s="1"/>
  <c r="H56" i="1"/>
  <c r="G56" i="1"/>
  <c r="B60" i="2" s="1"/>
  <c r="AQ55" i="1"/>
  <c r="AK55" i="1"/>
  <c r="AF55" i="1"/>
  <c r="AE55" i="1"/>
  <c r="Z59" i="2" s="1"/>
  <c r="Z55" i="1"/>
  <c r="Y55" i="1"/>
  <c r="T59" i="2" s="1"/>
  <c r="T55" i="1"/>
  <c r="S55" i="1"/>
  <c r="N59" i="2" s="1"/>
  <c r="N55" i="1"/>
  <c r="M55" i="1"/>
  <c r="H59" i="2" s="1"/>
  <c r="H55" i="1"/>
  <c r="G55" i="1"/>
  <c r="B59" i="2" s="1"/>
  <c r="AQ54" i="1"/>
  <c r="AK54" i="1"/>
  <c r="AF54" i="1"/>
  <c r="AE54" i="1"/>
  <c r="Z58" i="2" s="1"/>
  <c r="Z54" i="1"/>
  <c r="Y54" i="1"/>
  <c r="T58" i="2" s="1"/>
  <c r="T54" i="1"/>
  <c r="S54" i="1"/>
  <c r="N58" i="2" s="1"/>
  <c r="N54" i="1"/>
  <c r="M54" i="1"/>
  <c r="H58" i="2" s="1"/>
  <c r="H54" i="1"/>
  <c r="G54" i="1"/>
  <c r="B58" i="2" s="1"/>
  <c r="AQ53" i="1"/>
  <c r="AK53" i="1"/>
  <c r="AF53" i="1"/>
  <c r="AE53" i="1"/>
  <c r="Z57" i="2" s="1"/>
  <c r="Z53" i="1"/>
  <c r="Y53" i="1"/>
  <c r="T57" i="2" s="1"/>
  <c r="T53" i="1"/>
  <c r="S53" i="1"/>
  <c r="N57" i="2" s="1"/>
  <c r="N53" i="1"/>
  <c r="M53" i="1"/>
  <c r="H57" i="2" s="1"/>
  <c r="H53" i="1"/>
  <c r="G53" i="1"/>
  <c r="B57" i="2" s="1"/>
  <c r="AQ52" i="1"/>
  <c r="AK52" i="1"/>
  <c r="AF52" i="1"/>
  <c r="AE52" i="1"/>
  <c r="Z56" i="2" s="1"/>
  <c r="Z52" i="1"/>
  <c r="Y52" i="1"/>
  <c r="T56" i="2" s="1"/>
  <c r="T52" i="1"/>
  <c r="S52" i="1"/>
  <c r="N56" i="2" s="1"/>
  <c r="N52" i="1"/>
  <c r="M52" i="1"/>
  <c r="H56" i="2" s="1"/>
  <c r="I52" i="1"/>
  <c r="H52" i="1"/>
  <c r="G52" i="1"/>
  <c r="B56" i="2" s="1"/>
  <c r="AQ51" i="1"/>
  <c r="AK51" i="1"/>
  <c r="AF51" i="1"/>
  <c r="AE51" i="1"/>
  <c r="Z55" i="2" s="1"/>
  <c r="Z51" i="1"/>
  <c r="Y51" i="1"/>
  <c r="T55" i="2" s="1"/>
  <c r="T51" i="1"/>
  <c r="S51" i="1"/>
  <c r="N55" i="2" s="1"/>
  <c r="N51" i="1"/>
  <c r="M51" i="1"/>
  <c r="H55" i="2" s="1"/>
  <c r="H51" i="1"/>
  <c r="G51" i="1"/>
  <c r="B55" i="2" s="1"/>
  <c r="AQ50" i="1"/>
  <c r="AK50" i="1"/>
  <c r="AF50" i="1"/>
  <c r="AE50" i="1"/>
  <c r="Z54" i="2" s="1"/>
  <c r="Z50" i="1"/>
  <c r="Y50" i="1"/>
  <c r="T54" i="2" s="1"/>
  <c r="T50" i="1"/>
  <c r="S50" i="1"/>
  <c r="N54" i="2" s="1"/>
  <c r="N50" i="1"/>
  <c r="M50" i="1"/>
  <c r="H54" i="2" s="1"/>
  <c r="H50" i="1"/>
  <c r="G50" i="1"/>
  <c r="B54" i="2" s="1"/>
  <c r="AQ49" i="1"/>
  <c r="AK49" i="1"/>
  <c r="AF49" i="1"/>
  <c r="AE49" i="1"/>
  <c r="Z53" i="2" s="1"/>
  <c r="Z49" i="1"/>
  <c r="Y49" i="1"/>
  <c r="T53" i="2" s="1"/>
  <c r="T49" i="1"/>
  <c r="S49" i="1"/>
  <c r="N53" i="2" s="1"/>
  <c r="N49" i="1"/>
  <c r="M49" i="1"/>
  <c r="H53" i="2" s="1"/>
  <c r="I49" i="1"/>
  <c r="H49" i="1"/>
  <c r="G49" i="1"/>
  <c r="B53" i="2" s="1"/>
  <c r="AQ48" i="1"/>
  <c r="AK48" i="1"/>
  <c r="AF48" i="1"/>
  <c r="AE48" i="1"/>
  <c r="Z52" i="2" s="1"/>
  <c r="Z48" i="1"/>
  <c r="Y48" i="1"/>
  <c r="T52" i="2" s="1"/>
  <c r="T48" i="1"/>
  <c r="S48" i="1"/>
  <c r="N52" i="2" s="1"/>
  <c r="N48" i="1"/>
  <c r="M48" i="1"/>
  <c r="H52" i="2" s="1"/>
  <c r="H48" i="1"/>
  <c r="G48" i="1"/>
  <c r="B52" i="2" s="1"/>
  <c r="AQ47" i="1"/>
  <c r="AK47" i="1"/>
  <c r="AF47" i="1"/>
  <c r="AE47" i="1"/>
  <c r="Z51" i="2" s="1"/>
  <c r="Z47" i="1"/>
  <c r="Y47" i="1"/>
  <c r="T51" i="2" s="1"/>
  <c r="T47" i="1"/>
  <c r="S47" i="1"/>
  <c r="N51" i="2" s="1"/>
  <c r="N47" i="1"/>
  <c r="M47" i="1"/>
  <c r="H51" i="2" s="1"/>
  <c r="H47" i="1"/>
  <c r="G47" i="1"/>
  <c r="B51" i="2" s="1"/>
  <c r="AQ46" i="1"/>
  <c r="AK46" i="1"/>
  <c r="AF46" i="1"/>
  <c r="AE46" i="1"/>
  <c r="Z50" i="2" s="1"/>
  <c r="Z46" i="1"/>
  <c r="Y46" i="1"/>
  <c r="T50" i="2" s="1"/>
  <c r="T46" i="1"/>
  <c r="S46" i="1"/>
  <c r="N50" i="2" s="1"/>
  <c r="N46" i="1"/>
  <c r="M46" i="1"/>
  <c r="H50" i="2" s="1"/>
  <c r="H46" i="1"/>
  <c r="G46" i="1"/>
  <c r="B50" i="2" s="1"/>
  <c r="AQ45" i="1"/>
  <c r="AK45" i="1"/>
  <c r="AF45" i="1"/>
  <c r="AE45" i="1"/>
  <c r="Z49" i="2" s="1"/>
  <c r="Z45" i="1"/>
  <c r="Y45" i="1"/>
  <c r="T49" i="2" s="1"/>
  <c r="T45" i="1"/>
  <c r="S45" i="1"/>
  <c r="N49" i="2" s="1"/>
  <c r="N45" i="1"/>
  <c r="M45" i="1"/>
  <c r="H49" i="2" s="1"/>
  <c r="H45" i="1"/>
  <c r="G45" i="1"/>
  <c r="B49" i="2" s="1"/>
  <c r="AQ44" i="1"/>
  <c r="AK44" i="1"/>
  <c r="AF44" i="1"/>
  <c r="AE44" i="1"/>
  <c r="Z48" i="2" s="1"/>
  <c r="Z44" i="1"/>
  <c r="Y44" i="1"/>
  <c r="T48" i="2" s="1"/>
  <c r="T44" i="1"/>
  <c r="S44" i="1"/>
  <c r="N48" i="2" s="1"/>
  <c r="N44" i="1"/>
  <c r="M44" i="1"/>
  <c r="H48" i="2" s="1"/>
  <c r="I44" i="1"/>
  <c r="H44" i="1"/>
  <c r="G44" i="1"/>
  <c r="B48" i="2" s="1"/>
  <c r="AQ43" i="1"/>
  <c r="AK43" i="1"/>
  <c r="AF43" i="1"/>
  <c r="AE43" i="1"/>
  <c r="Z47" i="2" s="1"/>
  <c r="Z43" i="1"/>
  <c r="Y43" i="1"/>
  <c r="T47" i="2" s="1"/>
  <c r="T43" i="1"/>
  <c r="S43" i="1"/>
  <c r="N47" i="2" s="1"/>
  <c r="N43" i="1"/>
  <c r="M43" i="1"/>
  <c r="H47" i="2" s="1"/>
  <c r="H43" i="1"/>
  <c r="G43" i="1"/>
  <c r="B47" i="2" s="1"/>
  <c r="AQ42" i="1"/>
  <c r="AK42" i="1"/>
  <c r="AF42" i="1"/>
  <c r="AE42" i="1"/>
  <c r="Z46" i="2" s="1"/>
  <c r="Z42" i="1"/>
  <c r="Y42" i="1"/>
  <c r="T46" i="2" s="1"/>
  <c r="T42" i="1"/>
  <c r="S42" i="1"/>
  <c r="N46" i="2" s="1"/>
  <c r="N42" i="1"/>
  <c r="M42" i="1"/>
  <c r="H46" i="2" s="1"/>
  <c r="H42" i="1"/>
  <c r="G42" i="1"/>
  <c r="B46" i="2" s="1"/>
  <c r="AQ41" i="1"/>
  <c r="AK41" i="1"/>
  <c r="AF41" i="1"/>
  <c r="AE41" i="1"/>
  <c r="Z45" i="2" s="1"/>
  <c r="Z41" i="1"/>
  <c r="Y41" i="1"/>
  <c r="T45" i="2" s="1"/>
  <c r="T41" i="1"/>
  <c r="S41" i="1"/>
  <c r="N45" i="2" s="1"/>
  <c r="N41" i="1"/>
  <c r="M41" i="1"/>
  <c r="H45" i="2" s="1"/>
  <c r="I41" i="1"/>
  <c r="H41" i="1"/>
  <c r="G41" i="1"/>
  <c r="B45" i="2" s="1"/>
  <c r="AQ40" i="1"/>
  <c r="AK40" i="1"/>
  <c r="AF40" i="1"/>
  <c r="AE40" i="1"/>
  <c r="Z44" i="2" s="1"/>
  <c r="Z40" i="1"/>
  <c r="Y40" i="1"/>
  <c r="T44" i="2" s="1"/>
  <c r="T40" i="1"/>
  <c r="S40" i="1"/>
  <c r="N44" i="2" s="1"/>
  <c r="N40" i="1"/>
  <c r="M40" i="1"/>
  <c r="H44" i="2" s="1"/>
  <c r="H40" i="1"/>
  <c r="G40" i="1"/>
  <c r="B44" i="2" s="1"/>
  <c r="AQ39" i="1"/>
  <c r="AK39" i="1"/>
  <c r="AF39" i="1"/>
  <c r="AE39" i="1"/>
  <c r="Z43" i="2" s="1"/>
  <c r="Z39" i="1"/>
  <c r="Y39" i="1"/>
  <c r="T43" i="2" s="1"/>
  <c r="T39" i="1"/>
  <c r="S39" i="1"/>
  <c r="N43" i="2" s="1"/>
  <c r="N39" i="1"/>
  <c r="M39" i="1"/>
  <c r="H43" i="2" s="1"/>
  <c r="H39" i="1"/>
  <c r="G39" i="1"/>
  <c r="B43" i="2" s="1"/>
  <c r="AQ38" i="1"/>
  <c r="AK38" i="1"/>
  <c r="AF38" i="1"/>
  <c r="AE38" i="1"/>
  <c r="Z42" i="2" s="1"/>
  <c r="Z38" i="1"/>
  <c r="Y38" i="1"/>
  <c r="T42" i="2" s="1"/>
  <c r="T38" i="1"/>
  <c r="S38" i="1"/>
  <c r="N42" i="2" s="1"/>
  <c r="N38" i="1"/>
  <c r="M38" i="1"/>
  <c r="H42" i="2" s="1"/>
  <c r="H38" i="1"/>
  <c r="G38" i="1"/>
  <c r="B42" i="2" s="1"/>
  <c r="AQ37" i="1"/>
  <c r="AK37" i="1"/>
  <c r="AF37" i="1"/>
  <c r="AE37" i="1"/>
  <c r="Z41" i="2" s="1"/>
  <c r="Z37" i="1"/>
  <c r="Y37" i="1"/>
  <c r="T41" i="2" s="1"/>
  <c r="T37" i="1"/>
  <c r="S37" i="1"/>
  <c r="N41" i="2" s="1"/>
  <c r="N37" i="1"/>
  <c r="M37" i="1"/>
  <c r="H41" i="2" s="1"/>
  <c r="H37" i="1"/>
  <c r="G37" i="1"/>
  <c r="B41" i="2" s="1"/>
  <c r="AQ36" i="1"/>
  <c r="AK36" i="1"/>
  <c r="AF36" i="1"/>
  <c r="AE36" i="1"/>
  <c r="Z40" i="2" s="1"/>
  <c r="Z36" i="1"/>
  <c r="Y36" i="1"/>
  <c r="T40" i="2" s="1"/>
  <c r="T36" i="1"/>
  <c r="S36" i="1"/>
  <c r="N40" i="2" s="1"/>
  <c r="N36" i="1"/>
  <c r="M36" i="1"/>
  <c r="H40" i="2" s="1"/>
  <c r="I36" i="1"/>
  <c r="H36" i="1"/>
  <c r="G36" i="1"/>
  <c r="B40" i="2" s="1"/>
  <c r="AQ35" i="1"/>
  <c r="AK35" i="1"/>
  <c r="AF35" i="1"/>
  <c r="AE35" i="1"/>
  <c r="Z39" i="2" s="1"/>
  <c r="Z35" i="1"/>
  <c r="Y35" i="1"/>
  <c r="T39" i="2" s="1"/>
  <c r="T35" i="1"/>
  <c r="S35" i="1"/>
  <c r="N39" i="2" s="1"/>
  <c r="N35" i="1"/>
  <c r="M35" i="1"/>
  <c r="H39" i="2" s="1"/>
  <c r="H35" i="1"/>
  <c r="G35" i="1"/>
  <c r="B39" i="2" s="1"/>
  <c r="AQ34" i="1"/>
  <c r="AK34" i="1"/>
  <c r="AF34" i="1"/>
  <c r="AE34" i="1"/>
  <c r="Z38" i="2" s="1"/>
  <c r="Z34" i="1"/>
  <c r="Y34" i="1"/>
  <c r="T38" i="2" s="1"/>
  <c r="T34" i="1"/>
  <c r="S34" i="1"/>
  <c r="N38" i="2" s="1"/>
  <c r="N34" i="1"/>
  <c r="M34" i="1"/>
  <c r="H38" i="2" s="1"/>
  <c r="H34" i="1"/>
  <c r="G34" i="1"/>
  <c r="B38" i="2" s="1"/>
  <c r="AQ33" i="1"/>
  <c r="AK33" i="1"/>
  <c r="AF33" i="1"/>
  <c r="AE33" i="1"/>
  <c r="Z37" i="2" s="1"/>
  <c r="Z33" i="1"/>
  <c r="Y33" i="1"/>
  <c r="T37" i="2" s="1"/>
  <c r="T33" i="1"/>
  <c r="S33" i="1"/>
  <c r="N37" i="2" s="1"/>
  <c r="N33" i="1"/>
  <c r="M33" i="1"/>
  <c r="H37" i="2" s="1"/>
  <c r="I33" i="1"/>
  <c r="H33" i="1"/>
  <c r="G33" i="1"/>
  <c r="B37" i="2" s="1"/>
  <c r="AQ32" i="1"/>
  <c r="AK32" i="1"/>
  <c r="AF32" i="1"/>
  <c r="AE32" i="1"/>
  <c r="Z36" i="2" s="1"/>
  <c r="Z32" i="1"/>
  <c r="Y32" i="1"/>
  <c r="T36" i="2" s="1"/>
  <c r="T32" i="1"/>
  <c r="S32" i="1"/>
  <c r="N36" i="2" s="1"/>
  <c r="N32" i="1"/>
  <c r="M32" i="1"/>
  <c r="H36" i="2" s="1"/>
  <c r="H32" i="1"/>
  <c r="G32" i="1"/>
  <c r="B36" i="2" s="1"/>
  <c r="AQ31" i="1"/>
  <c r="AK31" i="1"/>
  <c r="AF31" i="1"/>
  <c r="AE31" i="1"/>
  <c r="Z35" i="2" s="1"/>
  <c r="Z31" i="1"/>
  <c r="Y31" i="1"/>
  <c r="T35" i="2" s="1"/>
  <c r="T31" i="1"/>
  <c r="S31" i="1"/>
  <c r="N35" i="2" s="1"/>
  <c r="N31" i="1"/>
  <c r="M31" i="1"/>
  <c r="H35" i="2" s="1"/>
  <c r="H31" i="1"/>
  <c r="G31" i="1"/>
  <c r="B35" i="2" s="1"/>
  <c r="AQ30" i="1"/>
  <c r="AK30" i="1"/>
  <c r="AF30" i="1"/>
  <c r="AE30" i="1"/>
  <c r="Z34" i="2" s="1"/>
  <c r="Z30" i="1"/>
  <c r="Y30" i="1"/>
  <c r="T34" i="2" s="1"/>
  <c r="T30" i="1"/>
  <c r="S30" i="1"/>
  <c r="N34" i="2" s="1"/>
  <c r="N30" i="1"/>
  <c r="M30" i="1"/>
  <c r="H34" i="2" s="1"/>
  <c r="H30" i="1"/>
  <c r="G30" i="1"/>
  <c r="B34" i="2" s="1"/>
  <c r="AQ29" i="1"/>
  <c r="AK29" i="1"/>
  <c r="AF29" i="1"/>
  <c r="AE29" i="1"/>
  <c r="Z33" i="2" s="1"/>
  <c r="Z29" i="1"/>
  <c r="Y29" i="1"/>
  <c r="T33" i="2" s="1"/>
  <c r="T29" i="1"/>
  <c r="S29" i="1"/>
  <c r="N33" i="2" s="1"/>
  <c r="N29" i="1"/>
  <c r="M29" i="1"/>
  <c r="H33" i="2" s="1"/>
  <c r="H29" i="1"/>
  <c r="G29" i="1"/>
  <c r="B33" i="2" s="1"/>
  <c r="AQ28" i="1"/>
  <c r="AK28" i="1"/>
  <c r="AF28" i="1"/>
  <c r="AE28" i="1"/>
  <c r="Z32" i="2" s="1"/>
  <c r="Z28" i="1"/>
  <c r="Y28" i="1"/>
  <c r="T32" i="2" s="1"/>
  <c r="T28" i="1"/>
  <c r="S28" i="1"/>
  <c r="N32" i="2" s="1"/>
  <c r="N28" i="1"/>
  <c r="M28" i="1"/>
  <c r="H32" i="2" s="1"/>
  <c r="I28" i="1"/>
  <c r="H28" i="1"/>
  <c r="G28" i="1"/>
  <c r="B32" i="2" s="1"/>
  <c r="AQ27" i="1"/>
  <c r="AK27" i="1"/>
  <c r="AF27" i="1"/>
  <c r="AE27" i="1"/>
  <c r="Z31" i="2" s="1"/>
  <c r="Z27" i="1"/>
  <c r="Y27" i="1"/>
  <c r="T31" i="2" s="1"/>
  <c r="T27" i="1"/>
  <c r="S27" i="1"/>
  <c r="N31" i="2" s="1"/>
  <c r="N27" i="1"/>
  <c r="M27" i="1"/>
  <c r="H31" i="2" s="1"/>
  <c r="H27" i="1"/>
  <c r="G27" i="1"/>
  <c r="B31" i="2" s="1"/>
  <c r="AQ26" i="1"/>
  <c r="AK26" i="1"/>
  <c r="AF26" i="1"/>
  <c r="AE26" i="1"/>
  <c r="Z30" i="2" s="1"/>
  <c r="Z26" i="1"/>
  <c r="Y26" i="1"/>
  <c r="T30" i="2" s="1"/>
  <c r="T26" i="1"/>
  <c r="S26" i="1"/>
  <c r="N30" i="2" s="1"/>
  <c r="N26" i="1"/>
  <c r="M26" i="1"/>
  <c r="H30" i="2" s="1"/>
  <c r="H26" i="1"/>
  <c r="G26" i="1"/>
  <c r="B30" i="2" s="1"/>
  <c r="AQ25" i="1"/>
  <c r="AK25" i="1"/>
  <c r="AF25" i="1"/>
  <c r="AE25" i="1"/>
  <c r="Z29" i="2" s="1"/>
  <c r="Z25" i="1"/>
  <c r="Y25" i="1"/>
  <c r="T29" i="2" s="1"/>
  <c r="T25" i="1"/>
  <c r="S25" i="1"/>
  <c r="N29" i="2" s="1"/>
  <c r="N25" i="1"/>
  <c r="M25" i="1"/>
  <c r="H29" i="2" s="1"/>
  <c r="I25" i="1"/>
  <c r="H25" i="1"/>
  <c r="G25" i="1"/>
  <c r="B29" i="2" s="1"/>
  <c r="AQ24" i="1"/>
  <c r="AK24" i="1"/>
  <c r="AF24" i="1"/>
  <c r="AE24" i="1"/>
  <c r="Z28" i="2" s="1"/>
  <c r="Z24" i="1"/>
  <c r="Y24" i="1"/>
  <c r="T28" i="2" s="1"/>
  <c r="T24" i="1"/>
  <c r="S24" i="1"/>
  <c r="N28" i="2" s="1"/>
  <c r="N24" i="1"/>
  <c r="M24" i="1"/>
  <c r="H28" i="2" s="1"/>
  <c r="H24" i="1"/>
  <c r="G24" i="1"/>
  <c r="B28" i="2" s="1"/>
  <c r="AQ23" i="1"/>
  <c r="AK23" i="1"/>
  <c r="AF23" i="1"/>
  <c r="AE23" i="1"/>
  <c r="Z27" i="2" s="1"/>
  <c r="Z23" i="1"/>
  <c r="Y23" i="1"/>
  <c r="T27" i="2" s="1"/>
  <c r="T23" i="1"/>
  <c r="S23" i="1"/>
  <c r="N27" i="2" s="1"/>
  <c r="N23" i="1"/>
  <c r="M23" i="1"/>
  <c r="H27" i="2" s="1"/>
  <c r="H23" i="1"/>
  <c r="G23" i="1"/>
  <c r="B27" i="2" s="1"/>
  <c r="AQ22" i="1"/>
  <c r="AK22" i="1"/>
  <c r="AF22" i="1"/>
  <c r="AE22" i="1"/>
  <c r="Z26" i="2" s="1"/>
  <c r="Z22" i="1"/>
  <c r="Y22" i="1"/>
  <c r="T26" i="2" s="1"/>
  <c r="T22" i="1"/>
  <c r="S22" i="1"/>
  <c r="N26" i="2" s="1"/>
  <c r="N22" i="1"/>
  <c r="M22" i="1"/>
  <c r="H26" i="2" s="1"/>
  <c r="H22" i="1"/>
  <c r="G22" i="1"/>
  <c r="B26" i="2" s="1"/>
  <c r="AQ21" i="1"/>
  <c r="AK21" i="1"/>
  <c r="AF21" i="1"/>
  <c r="AE21" i="1"/>
  <c r="Z25" i="2" s="1"/>
  <c r="Z21" i="1"/>
  <c r="Y21" i="1"/>
  <c r="T25" i="2" s="1"/>
  <c r="T21" i="1"/>
  <c r="S21" i="1"/>
  <c r="N25" i="2" s="1"/>
  <c r="N21" i="1"/>
  <c r="M21" i="1"/>
  <c r="H25" i="2" s="1"/>
  <c r="H21" i="1"/>
  <c r="G21" i="1"/>
  <c r="B25" i="2" s="1"/>
  <c r="AQ20" i="1"/>
  <c r="AK20" i="1"/>
  <c r="AF20" i="1"/>
  <c r="AE20" i="1"/>
  <c r="Z24" i="2" s="1"/>
  <c r="Z20" i="1"/>
  <c r="Y20" i="1"/>
  <c r="T24" i="2" s="1"/>
  <c r="T20" i="1"/>
  <c r="S20" i="1"/>
  <c r="N24" i="2" s="1"/>
  <c r="N20" i="1"/>
  <c r="M20" i="1"/>
  <c r="H24" i="2" s="1"/>
  <c r="I20" i="1"/>
  <c r="H20" i="1"/>
  <c r="G20" i="1"/>
  <c r="B24" i="2" s="1"/>
  <c r="AQ19" i="1"/>
  <c r="AK19" i="1"/>
  <c r="AF19" i="1"/>
  <c r="AE19" i="1"/>
  <c r="Z23" i="2" s="1"/>
  <c r="Z19" i="1"/>
  <c r="Y19" i="1"/>
  <c r="T23" i="2" s="1"/>
  <c r="T19" i="1"/>
  <c r="S19" i="1"/>
  <c r="N23" i="2" s="1"/>
  <c r="N19" i="1"/>
  <c r="M19" i="1"/>
  <c r="H23" i="2" s="1"/>
  <c r="H19" i="1"/>
  <c r="G19" i="1"/>
  <c r="B23" i="2" s="1"/>
  <c r="AQ18" i="1"/>
  <c r="AK18" i="1"/>
  <c r="AF18" i="1"/>
  <c r="AE18" i="1"/>
  <c r="Z22" i="2" s="1"/>
  <c r="Z18" i="1"/>
  <c r="Y18" i="1"/>
  <c r="T22" i="2" s="1"/>
  <c r="T18" i="1"/>
  <c r="S18" i="1"/>
  <c r="N22" i="2" s="1"/>
  <c r="N18" i="1"/>
  <c r="M18" i="1"/>
  <c r="H22" i="2" s="1"/>
  <c r="H18" i="1"/>
  <c r="G18" i="1"/>
  <c r="B22" i="2" s="1"/>
  <c r="AQ17" i="1"/>
  <c r="AK17" i="1"/>
  <c r="AF17" i="1"/>
  <c r="AE17" i="1"/>
  <c r="Z21" i="2" s="1"/>
  <c r="Z17" i="1"/>
  <c r="Y17" i="1"/>
  <c r="T21" i="2" s="1"/>
  <c r="T17" i="1"/>
  <c r="S17" i="1"/>
  <c r="N21" i="2" s="1"/>
  <c r="N17" i="1"/>
  <c r="M17" i="1"/>
  <c r="H21" i="2" s="1"/>
  <c r="I17" i="1"/>
  <c r="H17" i="1"/>
  <c r="G17" i="1"/>
  <c r="B21" i="2" s="1"/>
  <c r="AQ16" i="1"/>
  <c r="AK16" i="1"/>
  <c r="AF16" i="1"/>
  <c r="AE16" i="1"/>
  <c r="Z20" i="2" s="1"/>
  <c r="Z16" i="1"/>
  <c r="Y16" i="1"/>
  <c r="T20" i="2" s="1"/>
  <c r="T16" i="1"/>
  <c r="S16" i="1"/>
  <c r="N20" i="2" s="1"/>
  <c r="N16" i="1"/>
  <c r="M16" i="1"/>
  <c r="H20" i="2" s="1"/>
  <c r="H16" i="1"/>
  <c r="G16" i="1"/>
  <c r="B20" i="2" s="1"/>
  <c r="AQ15" i="1"/>
  <c r="AK15" i="1"/>
  <c r="AF15" i="1"/>
  <c r="AE15" i="1"/>
  <c r="Z19" i="2" s="1"/>
  <c r="Z15" i="1"/>
  <c r="Y15" i="1"/>
  <c r="T19" i="2" s="1"/>
  <c r="T15" i="1"/>
  <c r="S15" i="1"/>
  <c r="N19" i="2" s="1"/>
  <c r="N15" i="1"/>
  <c r="M15" i="1"/>
  <c r="H19" i="2" s="1"/>
  <c r="H15" i="1"/>
  <c r="G15" i="1"/>
  <c r="B19" i="2" s="1"/>
  <c r="AQ14" i="1"/>
  <c r="AK14" i="1"/>
  <c r="AF14" i="1"/>
  <c r="AE14" i="1"/>
  <c r="Z18" i="2" s="1"/>
  <c r="Z14" i="1"/>
  <c r="Y14" i="1"/>
  <c r="T18" i="2" s="1"/>
  <c r="T14" i="1"/>
  <c r="S14" i="1"/>
  <c r="N18" i="2" s="1"/>
  <c r="N14" i="1"/>
  <c r="M14" i="1"/>
  <c r="H18" i="2" s="1"/>
  <c r="H14" i="1"/>
  <c r="G14" i="1"/>
  <c r="B18" i="2" s="1"/>
  <c r="AQ13" i="1"/>
  <c r="AK13" i="1"/>
  <c r="AF13" i="1"/>
  <c r="AE13" i="1"/>
  <c r="Z17" i="2" s="1"/>
  <c r="Z13" i="1"/>
  <c r="Y13" i="1"/>
  <c r="T17" i="2" s="1"/>
  <c r="T13" i="1"/>
  <c r="S13" i="1"/>
  <c r="N17" i="2" s="1"/>
  <c r="N13" i="1"/>
  <c r="M13" i="1"/>
  <c r="H17" i="2" s="1"/>
  <c r="H13" i="1"/>
  <c r="G13" i="1"/>
  <c r="B17" i="2" s="1"/>
  <c r="AQ12" i="1"/>
  <c r="AK12" i="1"/>
  <c r="AF12" i="1"/>
  <c r="AE12" i="1"/>
  <c r="Z16" i="2" s="1"/>
  <c r="Z12" i="1"/>
  <c r="Y12" i="1"/>
  <c r="T16" i="2" s="1"/>
  <c r="T12" i="1"/>
  <c r="S12" i="1"/>
  <c r="N16" i="2" s="1"/>
  <c r="N12" i="1"/>
  <c r="M12" i="1"/>
  <c r="H16" i="2" s="1"/>
  <c r="I12" i="1"/>
  <c r="H12" i="1"/>
  <c r="G12" i="1"/>
  <c r="B16" i="2" s="1"/>
  <c r="AQ11" i="1"/>
  <c r="AK11" i="1"/>
  <c r="AF11" i="1"/>
  <c r="AE11" i="1"/>
  <c r="Z15" i="2" s="1"/>
  <c r="Z11" i="1"/>
  <c r="Y11" i="1"/>
  <c r="T15" i="2" s="1"/>
  <c r="T11" i="1"/>
  <c r="S11" i="1"/>
  <c r="N15" i="2" s="1"/>
  <c r="N11" i="1"/>
  <c r="M11" i="1"/>
  <c r="H15" i="2" s="1"/>
  <c r="H11" i="1"/>
  <c r="G11" i="1"/>
  <c r="B15" i="2" s="1"/>
  <c r="AQ10" i="1"/>
  <c r="AK10" i="1"/>
  <c r="AF10" i="1"/>
  <c r="AE10" i="1"/>
  <c r="Z14" i="2" s="1"/>
  <c r="Z10" i="1"/>
  <c r="Y10" i="1"/>
  <c r="T14" i="2" s="1"/>
  <c r="T10" i="1"/>
  <c r="S10" i="1"/>
  <c r="N14" i="2" s="1"/>
  <c r="N10" i="1"/>
  <c r="M10" i="1"/>
  <c r="H14" i="2" s="1"/>
  <c r="H10" i="1"/>
  <c r="G10" i="1"/>
  <c r="B14" i="2" s="1"/>
  <c r="AQ9" i="1"/>
  <c r="AK9" i="1"/>
  <c r="AF9" i="1"/>
  <c r="AE9" i="1"/>
  <c r="Z13" i="2" s="1"/>
  <c r="Z9" i="1"/>
  <c r="Y9" i="1"/>
  <c r="T13" i="2" s="1"/>
  <c r="T9" i="1"/>
  <c r="S9" i="1"/>
  <c r="N13" i="2" s="1"/>
  <c r="N9" i="1"/>
  <c r="M9" i="1"/>
  <c r="H13" i="2" s="1"/>
  <c r="I9" i="1"/>
  <c r="H9" i="1"/>
  <c r="G9" i="1"/>
  <c r="B13" i="2" s="1"/>
  <c r="AQ8" i="1"/>
  <c r="AK8" i="1"/>
  <c r="AF8" i="1"/>
  <c r="AE8" i="1"/>
  <c r="Z12" i="2" s="1"/>
  <c r="Z8" i="1"/>
  <c r="Y8" i="1"/>
  <c r="T12" i="2" s="1"/>
  <c r="T8" i="1"/>
  <c r="S8" i="1"/>
  <c r="N12" i="2" s="1"/>
  <c r="N8" i="1"/>
  <c r="M8" i="1"/>
  <c r="H12" i="2" s="1"/>
  <c r="H8" i="1"/>
  <c r="G8" i="1"/>
  <c r="B12" i="2" s="1"/>
  <c r="AQ7" i="1"/>
  <c r="AK7" i="1"/>
  <c r="AF7" i="1"/>
  <c r="AE7" i="1"/>
  <c r="Z11" i="2" s="1"/>
  <c r="Z7" i="1"/>
  <c r="Y7" i="1"/>
  <c r="T11" i="2" s="1"/>
  <c r="T7" i="1"/>
  <c r="S7" i="1"/>
  <c r="N11" i="2" s="1"/>
  <c r="N7" i="1"/>
  <c r="M7" i="1"/>
  <c r="H11" i="2" s="1"/>
  <c r="H7" i="1"/>
  <c r="G7" i="1"/>
  <c r="B11" i="2" s="1"/>
  <c r="AQ6" i="1"/>
  <c r="AK6" i="1"/>
  <c r="AF6" i="1"/>
  <c r="AE6" i="1"/>
  <c r="Z10" i="2" s="1"/>
  <c r="Z6" i="1"/>
  <c r="Y6" i="1"/>
  <c r="T10" i="2" s="1"/>
  <c r="T6" i="1"/>
  <c r="S6" i="1"/>
  <c r="N10" i="2" s="1"/>
  <c r="N6" i="1"/>
  <c r="M6" i="1"/>
  <c r="H10" i="2" s="1"/>
  <c r="H6" i="1"/>
  <c r="G6" i="1"/>
  <c r="B10" i="2" s="1"/>
  <c r="AQ5" i="1"/>
  <c r="AK5" i="1"/>
  <c r="AF5" i="1"/>
  <c r="AE5" i="1"/>
  <c r="Z9" i="2" s="1"/>
  <c r="Z5" i="1"/>
  <c r="Y5" i="1"/>
  <c r="T9" i="2" s="1"/>
  <c r="T5" i="1"/>
  <c r="S5" i="1"/>
  <c r="N9" i="2" s="1"/>
  <c r="N5" i="1"/>
  <c r="M5" i="1"/>
  <c r="H9" i="2" s="1"/>
  <c r="H5" i="1"/>
  <c r="G5" i="1"/>
  <c r="B9" i="2" s="1"/>
  <c r="AQ4" i="1"/>
  <c r="AK4" i="1"/>
  <c r="AF4" i="1"/>
  <c r="AE4" i="1"/>
  <c r="Z8" i="2" s="1"/>
  <c r="Z4" i="1"/>
  <c r="Y4" i="1"/>
  <c r="T8" i="2" s="1"/>
  <c r="T4" i="1"/>
  <c r="S4" i="1"/>
  <c r="N8" i="2" s="1"/>
  <c r="N4" i="1"/>
  <c r="M4" i="1"/>
  <c r="H8" i="2" s="1"/>
  <c r="I4" i="1"/>
  <c r="H4" i="1"/>
  <c r="G4" i="1"/>
  <c r="B8" i="2" s="1"/>
  <c r="AQ3" i="1"/>
  <c r="AK3" i="1"/>
  <c r="AF3" i="1"/>
  <c r="AE3" i="1"/>
  <c r="Z7" i="2" s="1"/>
  <c r="Z3" i="1"/>
  <c r="Y3" i="1"/>
  <c r="T7" i="2" s="1"/>
  <c r="T3" i="1"/>
  <c r="S3" i="1"/>
  <c r="N7" i="2" s="1"/>
  <c r="N3" i="1"/>
  <c r="M3" i="1"/>
  <c r="H7" i="2" s="1"/>
  <c r="H3" i="1"/>
  <c r="G3" i="1"/>
  <c r="B7" i="2" s="1"/>
  <c r="R87" i="2" l="1"/>
  <c r="O87" i="2"/>
  <c r="AD93" i="2"/>
  <c r="AA93" i="2"/>
  <c r="AA101" i="2"/>
  <c r="AD101" i="2"/>
  <c r="AD90" i="2"/>
  <c r="AE90" i="2" s="1"/>
  <c r="AA90" i="2"/>
  <c r="AD98" i="2"/>
  <c r="AA98" i="2"/>
  <c r="AA106" i="2"/>
  <c r="AD106" i="2"/>
  <c r="AE106" i="2" s="1"/>
  <c r="AD87" i="2"/>
  <c r="AA87" i="2"/>
  <c r="AD95" i="2"/>
  <c r="AA95" i="2"/>
  <c r="AA103" i="2"/>
  <c r="AD103" i="2"/>
  <c r="AD92" i="2"/>
  <c r="AA92" i="2"/>
  <c r="AA100" i="2"/>
  <c r="AD100" i="2"/>
  <c r="AA108" i="2"/>
  <c r="AD108" i="2"/>
  <c r="AD89" i="2"/>
  <c r="AA89" i="2"/>
  <c r="AD97" i="2"/>
  <c r="AA97" i="2"/>
  <c r="AA105" i="2"/>
  <c r="AD105" i="2"/>
  <c r="AD94" i="2"/>
  <c r="AE94" i="2" s="1"/>
  <c r="AA94" i="2"/>
  <c r="AA102" i="2"/>
  <c r="AD102" i="2"/>
  <c r="AE102" i="2" s="1"/>
  <c r="AR145" i="2"/>
  <c r="AR137" i="2"/>
  <c r="AR129" i="2"/>
  <c r="AR121" i="2"/>
  <c r="AR113" i="2"/>
  <c r="AR105" i="2"/>
  <c r="AR97" i="2"/>
  <c r="AR89" i="2"/>
  <c r="AR81" i="2"/>
  <c r="AR73" i="2"/>
  <c r="AR65" i="2"/>
  <c r="AR57" i="2"/>
  <c r="AR49" i="2"/>
  <c r="AR41" i="2"/>
  <c r="AR33" i="2"/>
  <c r="AR25" i="2"/>
  <c r="AR17" i="2"/>
  <c r="AR9" i="2"/>
  <c r="AR144" i="2"/>
  <c r="AR136" i="2"/>
  <c r="AR128" i="2"/>
  <c r="AR120" i="2"/>
  <c r="AR112" i="2"/>
  <c r="AR104" i="2"/>
  <c r="AR96" i="2"/>
  <c r="AR88" i="2"/>
  <c r="AR80" i="2"/>
  <c r="AR72" i="2"/>
  <c r="AR64" i="2"/>
  <c r="AR56" i="2"/>
  <c r="AR48" i="2"/>
  <c r="AR40" i="2"/>
  <c r="AR32" i="2"/>
  <c r="AR24" i="2"/>
  <c r="AR16" i="2"/>
  <c r="AR8" i="2"/>
  <c r="AR143" i="2"/>
  <c r="AR135" i="2"/>
  <c r="AR127" i="2"/>
  <c r="AR119" i="2"/>
  <c r="AR111" i="2"/>
  <c r="AR103" i="2"/>
  <c r="AR95" i="2"/>
  <c r="AR87" i="2"/>
  <c r="AR79" i="2"/>
  <c r="AR71" i="2"/>
  <c r="AR63" i="2"/>
  <c r="AR55" i="2"/>
  <c r="AR47" i="2"/>
  <c r="AR39" i="2"/>
  <c r="AR31" i="2"/>
  <c r="AR23" i="2"/>
  <c r="AR15" i="2"/>
  <c r="AR7" i="2"/>
  <c r="AR140" i="2"/>
  <c r="AR132" i="2"/>
  <c r="AR124" i="2"/>
  <c r="AR116" i="2"/>
  <c r="AR108" i="2"/>
  <c r="AR100" i="2"/>
  <c r="AR92" i="2"/>
  <c r="AR84" i="2"/>
  <c r="AR76" i="2"/>
  <c r="AR68" i="2"/>
  <c r="AR60" i="2"/>
  <c r="AR52" i="2"/>
  <c r="AR44" i="2"/>
  <c r="AR36" i="2"/>
  <c r="AR28" i="2"/>
  <c r="AR20" i="2"/>
  <c r="AR12" i="2"/>
  <c r="AR139" i="2"/>
  <c r="AR131" i="2"/>
  <c r="AR142" i="2"/>
  <c r="AR123" i="2"/>
  <c r="AR107" i="2"/>
  <c r="AR91" i="2"/>
  <c r="AR75" i="2"/>
  <c r="AR59" i="2"/>
  <c r="AR43" i="2"/>
  <c r="AR27" i="2"/>
  <c r="AR11" i="2"/>
  <c r="AR141" i="2"/>
  <c r="AR122" i="2"/>
  <c r="AR106" i="2"/>
  <c r="AR90" i="2"/>
  <c r="AR74" i="2"/>
  <c r="AR58" i="2"/>
  <c r="AR42" i="2"/>
  <c r="AR26" i="2"/>
  <c r="AR10" i="2"/>
  <c r="AR138" i="2"/>
  <c r="AR118" i="2"/>
  <c r="AR102" i="2"/>
  <c r="AR86" i="2"/>
  <c r="AR70" i="2"/>
  <c r="AR54" i="2"/>
  <c r="AR38" i="2"/>
  <c r="AR22" i="2"/>
  <c r="AR134" i="2"/>
  <c r="AR117" i="2"/>
  <c r="AR101" i="2"/>
  <c r="AR85" i="2"/>
  <c r="AR69" i="2"/>
  <c r="AR53" i="2"/>
  <c r="AR37" i="2"/>
  <c r="AR21" i="2"/>
  <c r="AR133" i="2"/>
  <c r="AR115" i="2"/>
  <c r="AR99" i="2"/>
  <c r="AR83" i="2"/>
  <c r="AR67" i="2"/>
  <c r="AR51" i="2"/>
  <c r="AR35" i="2"/>
  <c r="AR19" i="2"/>
  <c r="AR130" i="2"/>
  <c r="AR114" i="2"/>
  <c r="AR98" i="2"/>
  <c r="AR82" i="2"/>
  <c r="AR66" i="2"/>
  <c r="AR50" i="2"/>
  <c r="AR34" i="2"/>
  <c r="AR18" i="2"/>
  <c r="AR126" i="2"/>
  <c r="AR110" i="2"/>
  <c r="AR94" i="2"/>
  <c r="AR78" i="2"/>
  <c r="AR62" i="2"/>
  <c r="AR46" i="2"/>
  <c r="AR30" i="2"/>
  <c r="AR14" i="2"/>
  <c r="AR146" i="2"/>
  <c r="AR125" i="2"/>
  <c r="AR109" i="2"/>
  <c r="AR93" i="2"/>
  <c r="AR77" i="2"/>
  <c r="AR61" i="2"/>
  <c r="AR45" i="2"/>
  <c r="AR29" i="2"/>
  <c r="AR13" i="2"/>
  <c r="AD91" i="2"/>
  <c r="AE91" i="2" s="1"/>
  <c r="AA91" i="2"/>
  <c r="AD99" i="2"/>
  <c r="AE99" i="2" s="1"/>
  <c r="AA99" i="2"/>
  <c r="AA107" i="2"/>
  <c r="AD107" i="2"/>
  <c r="AE107" i="2" s="1"/>
  <c r="O109" i="2"/>
  <c r="R109" i="2"/>
  <c r="AD88" i="2"/>
  <c r="AE88" i="2" s="1"/>
  <c r="AA88" i="2"/>
  <c r="AD96" i="2"/>
  <c r="AE96" i="2" s="1"/>
  <c r="AA96" i="2"/>
  <c r="AA104" i="2"/>
  <c r="AD104" i="2"/>
  <c r="AE104" i="2" s="1"/>
  <c r="X7" i="2"/>
  <c r="L11" i="2"/>
  <c r="I11" i="2"/>
  <c r="R17" i="2"/>
  <c r="O17" i="2"/>
  <c r="L27" i="2"/>
  <c r="I27" i="2"/>
  <c r="X39" i="2"/>
  <c r="U39" i="2"/>
  <c r="R49" i="2"/>
  <c r="O49" i="2"/>
  <c r="X63" i="2"/>
  <c r="U63" i="2"/>
  <c r="L75" i="2"/>
  <c r="I75" i="2"/>
  <c r="X79" i="2"/>
  <c r="U79" i="2"/>
  <c r="L8" i="2"/>
  <c r="I8" i="2"/>
  <c r="F7" i="2"/>
  <c r="AD7" i="2"/>
  <c r="X9" i="2"/>
  <c r="U9" i="2"/>
  <c r="I6" i="1"/>
  <c r="R11" i="2"/>
  <c r="O11" i="2"/>
  <c r="F12" i="2"/>
  <c r="C12" i="2"/>
  <c r="L13" i="2"/>
  <c r="I13" i="2"/>
  <c r="AD15" i="2"/>
  <c r="AA15" i="2"/>
  <c r="X17" i="2"/>
  <c r="U17" i="2"/>
  <c r="I14" i="1"/>
  <c r="R19" i="2"/>
  <c r="O19" i="2"/>
  <c r="F20" i="2"/>
  <c r="C20" i="2"/>
  <c r="L21" i="2"/>
  <c r="I21" i="2"/>
  <c r="AD23" i="2"/>
  <c r="AA23" i="2"/>
  <c r="X25" i="2"/>
  <c r="U25" i="2"/>
  <c r="I22" i="1"/>
  <c r="R27" i="2"/>
  <c r="O27" i="2"/>
  <c r="F28" i="2"/>
  <c r="C28" i="2"/>
  <c r="L29" i="2"/>
  <c r="I29" i="2"/>
  <c r="AD31" i="2"/>
  <c r="AA31" i="2"/>
  <c r="X33" i="2"/>
  <c r="U33" i="2"/>
  <c r="I30" i="1"/>
  <c r="R35" i="2"/>
  <c r="O35" i="2"/>
  <c r="F36" i="2"/>
  <c r="C36" i="2"/>
  <c r="L37" i="2"/>
  <c r="I37" i="2"/>
  <c r="AD39" i="2"/>
  <c r="AA39" i="2"/>
  <c r="X41" i="2"/>
  <c r="U41" i="2"/>
  <c r="I38" i="1"/>
  <c r="R43" i="2"/>
  <c r="O43" i="2"/>
  <c r="F44" i="2"/>
  <c r="C44" i="2"/>
  <c r="L45" i="2"/>
  <c r="I45" i="2"/>
  <c r="AD47" i="2"/>
  <c r="AA47" i="2"/>
  <c r="X49" i="2"/>
  <c r="U49" i="2"/>
  <c r="I46" i="1"/>
  <c r="R51" i="2"/>
  <c r="O51" i="2"/>
  <c r="F52" i="2"/>
  <c r="C52" i="2"/>
  <c r="L53" i="2"/>
  <c r="I53" i="2"/>
  <c r="AD55" i="2"/>
  <c r="AA55" i="2"/>
  <c r="X57" i="2"/>
  <c r="U57" i="2"/>
  <c r="I54" i="1"/>
  <c r="R59" i="2"/>
  <c r="O59" i="2"/>
  <c r="F60" i="2"/>
  <c r="C60" i="2"/>
  <c r="L61" i="2"/>
  <c r="I61" i="2"/>
  <c r="AD63" i="2"/>
  <c r="AA63" i="2"/>
  <c r="X65" i="2"/>
  <c r="U65" i="2"/>
  <c r="I62" i="1"/>
  <c r="R67" i="2"/>
  <c r="O67" i="2"/>
  <c r="F68" i="2"/>
  <c r="C68" i="2"/>
  <c r="L69" i="2"/>
  <c r="I69" i="2"/>
  <c r="AA71" i="2"/>
  <c r="AD71" i="2"/>
  <c r="X73" i="2"/>
  <c r="U73" i="2"/>
  <c r="I70" i="1"/>
  <c r="R75" i="2"/>
  <c r="O75" i="2"/>
  <c r="F76" i="2"/>
  <c r="C76" i="2"/>
  <c r="L77" i="2"/>
  <c r="I77" i="2"/>
  <c r="AD79" i="2"/>
  <c r="AA79" i="2"/>
  <c r="X81" i="2"/>
  <c r="U81" i="2"/>
  <c r="I78" i="1"/>
  <c r="R83" i="2"/>
  <c r="O83" i="2"/>
  <c r="F84" i="2"/>
  <c r="C84" i="2"/>
  <c r="I85" i="2"/>
  <c r="L85" i="2"/>
  <c r="G83" i="1"/>
  <c r="T83" i="1"/>
  <c r="G84" i="1"/>
  <c r="G85" i="1"/>
  <c r="G86" i="1"/>
  <c r="G87" i="1"/>
  <c r="G88" i="1"/>
  <c r="G89" i="1"/>
  <c r="G90" i="1"/>
  <c r="G91" i="1"/>
  <c r="G92" i="1"/>
  <c r="G93" i="1"/>
  <c r="G94" i="1"/>
  <c r="G95" i="1"/>
  <c r="G96" i="1"/>
  <c r="G97" i="1"/>
  <c r="G98" i="1"/>
  <c r="G99" i="1"/>
  <c r="G100" i="1"/>
  <c r="G101" i="1"/>
  <c r="G102" i="1"/>
  <c r="G103" i="1"/>
  <c r="G104" i="1"/>
  <c r="Z105" i="1"/>
  <c r="Z121" i="1"/>
  <c r="Y121" i="1"/>
  <c r="T125" i="2" s="1"/>
  <c r="AD126" i="2"/>
  <c r="AA126" i="2"/>
  <c r="B128" i="2"/>
  <c r="I124" i="1"/>
  <c r="R131" i="2"/>
  <c r="O131" i="2"/>
  <c r="Z129" i="1"/>
  <c r="Y129" i="1"/>
  <c r="T133" i="2" s="1"/>
  <c r="AA134" i="2"/>
  <c r="AD134" i="2"/>
  <c r="F74" i="2"/>
  <c r="C74" i="2"/>
  <c r="R8" i="2"/>
  <c r="O8" i="2"/>
  <c r="X14" i="2"/>
  <c r="U14" i="2"/>
  <c r="R16" i="2"/>
  <c r="O16" i="2"/>
  <c r="F17" i="2"/>
  <c r="C17" i="2"/>
  <c r="L18" i="2"/>
  <c r="I18" i="2"/>
  <c r="AD20" i="2"/>
  <c r="AA20" i="2"/>
  <c r="X22" i="2"/>
  <c r="U22" i="2"/>
  <c r="I19" i="1"/>
  <c r="R24" i="2"/>
  <c r="O24" i="2"/>
  <c r="F25" i="2"/>
  <c r="C25" i="2"/>
  <c r="L26" i="2"/>
  <c r="I26" i="2"/>
  <c r="AD28" i="2"/>
  <c r="AA28" i="2"/>
  <c r="X30" i="2"/>
  <c r="U30" i="2"/>
  <c r="I27" i="1"/>
  <c r="R32" i="2"/>
  <c r="O32" i="2"/>
  <c r="F33" i="2"/>
  <c r="C33" i="2"/>
  <c r="L34" i="2"/>
  <c r="I34" i="2"/>
  <c r="AD36" i="2"/>
  <c r="AA36" i="2"/>
  <c r="X38" i="2"/>
  <c r="U38" i="2"/>
  <c r="I35" i="1"/>
  <c r="R40" i="2"/>
  <c r="O40" i="2"/>
  <c r="F41" i="2"/>
  <c r="C41" i="2"/>
  <c r="L42" i="2"/>
  <c r="I42" i="2"/>
  <c r="AD44" i="2"/>
  <c r="AA44" i="2"/>
  <c r="X46" i="2"/>
  <c r="U46" i="2"/>
  <c r="I43" i="1"/>
  <c r="R48" i="2"/>
  <c r="O48" i="2"/>
  <c r="F49" i="2"/>
  <c r="C49" i="2"/>
  <c r="L50" i="2"/>
  <c r="I50" i="2"/>
  <c r="AD52" i="2"/>
  <c r="AA52" i="2"/>
  <c r="X54" i="2"/>
  <c r="U54" i="2"/>
  <c r="I51" i="1"/>
  <c r="R56" i="2"/>
  <c r="O56" i="2"/>
  <c r="F57" i="2"/>
  <c r="C57" i="2"/>
  <c r="L58" i="2"/>
  <c r="I58" i="2"/>
  <c r="AD60" i="2"/>
  <c r="AA60" i="2"/>
  <c r="X62" i="2"/>
  <c r="U62" i="2"/>
  <c r="I59" i="1"/>
  <c r="R64" i="2"/>
  <c r="O64" i="2"/>
  <c r="F65" i="2"/>
  <c r="C65" i="2"/>
  <c r="L66" i="2"/>
  <c r="I66" i="2"/>
  <c r="AD68" i="2"/>
  <c r="AA68" i="2"/>
  <c r="U70" i="2"/>
  <c r="X70" i="2"/>
  <c r="I67" i="1"/>
  <c r="R72" i="2"/>
  <c r="O72" i="2"/>
  <c r="F73" i="2"/>
  <c r="C73" i="2"/>
  <c r="L74" i="2"/>
  <c r="I74" i="2"/>
  <c r="AD76" i="2"/>
  <c r="AA76" i="2"/>
  <c r="X78" i="2"/>
  <c r="U78" i="2"/>
  <c r="I75" i="1"/>
  <c r="R80" i="2"/>
  <c r="O80" i="2"/>
  <c r="F81" i="2"/>
  <c r="C81" i="2"/>
  <c r="L82" i="2"/>
  <c r="I82" i="2"/>
  <c r="AD84" i="2"/>
  <c r="AA84" i="2"/>
  <c r="U86" i="2"/>
  <c r="X86" i="2"/>
  <c r="B111" i="2"/>
  <c r="X111" i="2"/>
  <c r="U111" i="2"/>
  <c r="L112" i="2"/>
  <c r="AD112" i="2"/>
  <c r="X113" i="2"/>
  <c r="U113" i="2"/>
  <c r="X114" i="2"/>
  <c r="Y114" i="2" s="1"/>
  <c r="U114" i="2"/>
  <c r="X115" i="2"/>
  <c r="Y115" i="2" s="1"/>
  <c r="U115" i="2"/>
  <c r="X116" i="2"/>
  <c r="Y116" i="2" s="1"/>
  <c r="U116" i="2"/>
  <c r="X117" i="2"/>
  <c r="U117" i="2"/>
  <c r="X118" i="2"/>
  <c r="Y118" i="2" s="1"/>
  <c r="U118" i="2"/>
  <c r="X119" i="2"/>
  <c r="Y119" i="2" s="1"/>
  <c r="U119" i="2"/>
  <c r="X120" i="2"/>
  <c r="Y120" i="2" s="1"/>
  <c r="U120" i="2"/>
  <c r="X121" i="2"/>
  <c r="U121" i="2"/>
  <c r="X122" i="2"/>
  <c r="Y122" i="2" s="1"/>
  <c r="U122" i="2"/>
  <c r="X123" i="2"/>
  <c r="Y123" i="2" s="1"/>
  <c r="U123" i="2"/>
  <c r="Z120" i="1"/>
  <c r="Y120" i="1"/>
  <c r="T124" i="2" s="1"/>
  <c r="AD125" i="2"/>
  <c r="AA125" i="2"/>
  <c r="B127" i="2"/>
  <c r="I123" i="1"/>
  <c r="R130" i="2"/>
  <c r="O130" i="2"/>
  <c r="T127" i="1"/>
  <c r="Z128" i="1"/>
  <c r="Y128" i="1"/>
  <c r="T132" i="2" s="1"/>
  <c r="AD133" i="2"/>
  <c r="AA133" i="2"/>
  <c r="B135" i="2"/>
  <c r="I131" i="1"/>
  <c r="AD138" i="2"/>
  <c r="AA138" i="2"/>
  <c r="AD142" i="2"/>
  <c r="AA142" i="2"/>
  <c r="AD146" i="2"/>
  <c r="AA146" i="2"/>
  <c r="R9" i="2"/>
  <c r="S9" i="2" s="1"/>
  <c r="O9" i="2"/>
  <c r="AD29" i="2"/>
  <c r="AE29" i="2" s="1"/>
  <c r="AA29" i="2"/>
  <c r="F34" i="2"/>
  <c r="G34" i="2" s="1"/>
  <c r="C34" i="2"/>
  <c r="F42" i="2"/>
  <c r="G42" i="2" s="1"/>
  <c r="C42" i="2"/>
  <c r="AD45" i="2"/>
  <c r="AE45" i="2" s="1"/>
  <c r="AA45" i="2"/>
  <c r="L51" i="2"/>
  <c r="M51" i="2" s="1"/>
  <c r="I51" i="2"/>
  <c r="R57" i="2"/>
  <c r="S57" i="2" s="1"/>
  <c r="O57" i="2"/>
  <c r="AD61" i="2"/>
  <c r="AE61" i="2" s="1"/>
  <c r="AA61" i="2"/>
  <c r="AD77" i="2"/>
  <c r="AE77" i="2" s="1"/>
  <c r="AA77" i="2"/>
  <c r="R81" i="2"/>
  <c r="S81" i="2" s="1"/>
  <c r="O81" i="2"/>
  <c r="L83" i="2"/>
  <c r="M83" i="2" s="1"/>
  <c r="I83" i="2"/>
  <c r="AA85" i="2"/>
  <c r="AD85" i="2"/>
  <c r="AE85" i="2" s="1"/>
  <c r="AD10" i="2"/>
  <c r="AE10" i="2" s="1"/>
  <c r="AA10" i="2"/>
  <c r="L10" i="2"/>
  <c r="I10" i="2"/>
  <c r="AF7" i="2" a="1"/>
  <c r="AD9" i="2"/>
  <c r="AA9" i="2"/>
  <c r="X11" i="2"/>
  <c r="U11" i="2"/>
  <c r="I8" i="1"/>
  <c r="R13" i="2"/>
  <c r="O13" i="2"/>
  <c r="F14" i="2"/>
  <c r="C14" i="2"/>
  <c r="L15" i="2"/>
  <c r="I15" i="2"/>
  <c r="AD17" i="2"/>
  <c r="AA17" i="2"/>
  <c r="X19" i="2"/>
  <c r="U19" i="2"/>
  <c r="I16" i="1"/>
  <c r="R21" i="2"/>
  <c r="O21" i="2"/>
  <c r="F22" i="2"/>
  <c r="C22" i="2"/>
  <c r="L23" i="2"/>
  <c r="I23" i="2"/>
  <c r="AD25" i="2"/>
  <c r="AA25" i="2"/>
  <c r="X27" i="2"/>
  <c r="U27" i="2"/>
  <c r="I24" i="1"/>
  <c r="R29" i="2"/>
  <c r="O29" i="2"/>
  <c r="F30" i="2"/>
  <c r="C30" i="2"/>
  <c r="L31" i="2"/>
  <c r="I31" i="2"/>
  <c r="AD33" i="2"/>
  <c r="AA33" i="2"/>
  <c r="X35" i="2"/>
  <c r="U35" i="2"/>
  <c r="I32" i="1"/>
  <c r="R37" i="2"/>
  <c r="O37" i="2"/>
  <c r="F38" i="2"/>
  <c r="C38" i="2"/>
  <c r="L39" i="2"/>
  <c r="I39" i="2"/>
  <c r="AD41" i="2"/>
  <c r="AA41" i="2"/>
  <c r="X43" i="2"/>
  <c r="U43" i="2"/>
  <c r="I40" i="1"/>
  <c r="R45" i="2"/>
  <c r="O45" i="2"/>
  <c r="C46" i="2"/>
  <c r="F46" i="2"/>
  <c r="L47" i="2"/>
  <c r="I47" i="2"/>
  <c r="AD49" i="2"/>
  <c r="AA49" i="2"/>
  <c r="X51" i="2"/>
  <c r="U51" i="2"/>
  <c r="I48" i="1"/>
  <c r="R53" i="2"/>
  <c r="O53" i="2"/>
  <c r="F54" i="2"/>
  <c r="C54" i="2"/>
  <c r="L55" i="2"/>
  <c r="I55" i="2"/>
  <c r="AD57" i="2"/>
  <c r="AA57" i="2"/>
  <c r="X59" i="2"/>
  <c r="U59" i="2"/>
  <c r="I56" i="1"/>
  <c r="R61" i="2"/>
  <c r="O61" i="2"/>
  <c r="F62" i="2"/>
  <c r="C62" i="2"/>
  <c r="L63" i="2"/>
  <c r="I63" i="2"/>
  <c r="AD65" i="2"/>
  <c r="AA65" i="2"/>
  <c r="X67" i="2"/>
  <c r="U67" i="2"/>
  <c r="I64" i="1"/>
  <c r="R69" i="2"/>
  <c r="O69" i="2"/>
  <c r="C70" i="2"/>
  <c r="F70" i="2"/>
  <c r="L71" i="2"/>
  <c r="I71" i="2"/>
  <c r="AD73" i="2"/>
  <c r="AA73" i="2"/>
  <c r="X75" i="2"/>
  <c r="U75" i="2"/>
  <c r="I72" i="1"/>
  <c r="R77" i="2"/>
  <c r="O77" i="2"/>
  <c r="F78" i="2"/>
  <c r="C78" i="2"/>
  <c r="L79" i="2"/>
  <c r="I79" i="2"/>
  <c r="AD81" i="2"/>
  <c r="AA81" i="2"/>
  <c r="X83" i="2"/>
  <c r="U83" i="2"/>
  <c r="I80" i="1"/>
  <c r="R85" i="2"/>
  <c r="O85" i="2"/>
  <c r="F86" i="2"/>
  <c r="C86" i="2"/>
  <c r="Y83" i="1"/>
  <c r="T87" i="2" s="1"/>
  <c r="T5" i="2" s="1"/>
  <c r="Y84" i="1"/>
  <c r="T88" i="2" s="1"/>
  <c r="Y85" i="1"/>
  <c r="T89" i="2" s="1"/>
  <c r="Y86" i="1"/>
  <c r="T90" i="2" s="1"/>
  <c r="Y87" i="1"/>
  <c r="T91" i="2" s="1"/>
  <c r="Y88" i="1"/>
  <c r="T92" i="2" s="1"/>
  <c r="Y89" i="1"/>
  <c r="T93" i="2" s="1"/>
  <c r="Y90" i="1"/>
  <c r="T94" i="2" s="1"/>
  <c r="Y91" i="1"/>
  <c r="T95" i="2" s="1"/>
  <c r="Y92" i="1"/>
  <c r="T96" i="2" s="1"/>
  <c r="Y93" i="1"/>
  <c r="T97" i="2" s="1"/>
  <c r="Y94" i="1"/>
  <c r="T98" i="2" s="1"/>
  <c r="Y95" i="1"/>
  <c r="T99" i="2" s="1"/>
  <c r="Y96" i="1"/>
  <c r="T100" i="2" s="1"/>
  <c r="Y97" i="1"/>
  <c r="T101" i="2" s="1"/>
  <c r="Y98" i="1"/>
  <c r="T102" i="2" s="1"/>
  <c r="Y99" i="1"/>
  <c r="T103" i="2" s="1"/>
  <c r="Y100" i="1"/>
  <c r="T104" i="2" s="1"/>
  <c r="Y101" i="1"/>
  <c r="T105" i="2" s="1"/>
  <c r="Y102" i="1"/>
  <c r="T106" i="2" s="1"/>
  <c r="Y103" i="1"/>
  <c r="T107" i="2" s="1"/>
  <c r="Y104" i="1"/>
  <c r="T108" i="2" s="1"/>
  <c r="M105" i="1"/>
  <c r="H109" i="2" s="1"/>
  <c r="AE105" i="1"/>
  <c r="Z109" i="2" s="1"/>
  <c r="AB7" i="2" s="1"/>
  <c r="S106" i="1"/>
  <c r="N110" i="2" s="1"/>
  <c r="Z107" i="1"/>
  <c r="Z109" i="1"/>
  <c r="Z110" i="1"/>
  <c r="Z111" i="1"/>
  <c r="Z112" i="1"/>
  <c r="Z113" i="1"/>
  <c r="Z114" i="1"/>
  <c r="Z115" i="1"/>
  <c r="Z116" i="1"/>
  <c r="Z117" i="1"/>
  <c r="Z118" i="1"/>
  <c r="Z119" i="1"/>
  <c r="AD124" i="2"/>
  <c r="AA124" i="2"/>
  <c r="B126" i="2"/>
  <c r="I122" i="1"/>
  <c r="R129" i="2"/>
  <c r="O129" i="2"/>
  <c r="T126" i="1"/>
  <c r="Z127" i="1"/>
  <c r="Y127" i="1"/>
  <c r="T131" i="2" s="1"/>
  <c r="AD132" i="2"/>
  <c r="AA132" i="2"/>
  <c r="B134" i="2"/>
  <c r="I130" i="1"/>
  <c r="F18" i="2"/>
  <c r="G18" i="2" s="1"/>
  <c r="C18" i="2"/>
  <c r="F26" i="2"/>
  <c r="G26" i="2" s="1"/>
  <c r="C26" i="2"/>
  <c r="R33" i="2"/>
  <c r="S33" i="2" s="1"/>
  <c r="O33" i="2"/>
  <c r="AD37" i="2"/>
  <c r="AE37" i="2" s="1"/>
  <c r="AA37" i="2"/>
  <c r="L43" i="2"/>
  <c r="M43" i="2" s="1"/>
  <c r="I43" i="2"/>
  <c r="AD53" i="2"/>
  <c r="AE53" i="2" s="1"/>
  <c r="AA53" i="2"/>
  <c r="R65" i="2"/>
  <c r="S65" i="2" s="1"/>
  <c r="O65" i="2"/>
  <c r="AD69" i="2"/>
  <c r="AE69" i="2" s="1"/>
  <c r="AA69" i="2"/>
  <c r="R73" i="2"/>
  <c r="S73" i="2" s="1"/>
  <c r="O73" i="2"/>
  <c r="AD12" i="2"/>
  <c r="AA12" i="2"/>
  <c r="R10" i="2"/>
  <c r="S10" i="2" s="1"/>
  <c r="O10" i="2"/>
  <c r="L12" i="2"/>
  <c r="M12" i="2" s="1"/>
  <c r="I12" i="2"/>
  <c r="X16" i="2"/>
  <c r="U16" i="2"/>
  <c r="I13" i="1"/>
  <c r="R18" i="2"/>
  <c r="S18" i="2" s="1"/>
  <c r="O18" i="2"/>
  <c r="F19" i="2"/>
  <c r="G19" i="2" s="1"/>
  <c r="C19" i="2"/>
  <c r="L20" i="2"/>
  <c r="I20" i="2"/>
  <c r="AD22" i="2"/>
  <c r="AA22" i="2"/>
  <c r="X24" i="2"/>
  <c r="U24" i="2"/>
  <c r="I21" i="1"/>
  <c r="R26" i="2"/>
  <c r="O26" i="2"/>
  <c r="F27" i="2"/>
  <c r="G27" i="2" s="1"/>
  <c r="C27" i="2"/>
  <c r="L28" i="2"/>
  <c r="M28" i="2" s="1"/>
  <c r="I28" i="2"/>
  <c r="AD30" i="2"/>
  <c r="AE30" i="2" s="1"/>
  <c r="AA30" i="2"/>
  <c r="X32" i="2"/>
  <c r="U32" i="2"/>
  <c r="I29" i="1"/>
  <c r="R34" i="2"/>
  <c r="S34" i="2" s="1"/>
  <c r="O34" i="2"/>
  <c r="F35" i="2"/>
  <c r="G35" i="2" s="1"/>
  <c r="C35" i="2"/>
  <c r="L36" i="2"/>
  <c r="I36" i="2"/>
  <c r="AD38" i="2"/>
  <c r="AE38" i="2" s="1"/>
  <c r="AA38" i="2"/>
  <c r="X40" i="2"/>
  <c r="Y40" i="2" s="1"/>
  <c r="U40" i="2"/>
  <c r="I37" i="1"/>
  <c r="R42" i="2"/>
  <c r="O42" i="2"/>
  <c r="F43" i="2"/>
  <c r="G43" i="2" s="1"/>
  <c r="C43" i="2"/>
  <c r="L44" i="2"/>
  <c r="M44" i="2" s="1"/>
  <c r="I44" i="2"/>
  <c r="AD46" i="2"/>
  <c r="AE46" i="2" s="1"/>
  <c r="AA46" i="2"/>
  <c r="X48" i="2"/>
  <c r="U48" i="2"/>
  <c r="I45" i="1"/>
  <c r="R50" i="2"/>
  <c r="S50" i="2" s="1"/>
  <c r="O50" i="2"/>
  <c r="F51" i="2"/>
  <c r="C51" i="2"/>
  <c r="L52" i="2"/>
  <c r="M52" i="2" s="1"/>
  <c r="I52" i="2"/>
  <c r="AD54" i="2"/>
  <c r="AE54" i="2" s="1"/>
  <c r="AA54" i="2"/>
  <c r="X56" i="2"/>
  <c r="U56" i="2"/>
  <c r="I53" i="1"/>
  <c r="R58" i="2"/>
  <c r="S58" i="2" s="1"/>
  <c r="O58" i="2"/>
  <c r="F59" i="2"/>
  <c r="C59" i="2"/>
  <c r="L60" i="2"/>
  <c r="I60" i="2"/>
  <c r="AD62" i="2"/>
  <c r="AE62" i="2" s="1"/>
  <c r="AA62" i="2"/>
  <c r="X64" i="2"/>
  <c r="Y64" i="2" s="1"/>
  <c r="U64" i="2"/>
  <c r="I61" i="1"/>
  <c r="R66" i="2"/>
  <c r="S66" i="2" s="1"/>
  <c r="O66" i="2"/>
  <c r="F67" i="2"/>
  <c r="C67" i="2"/>
  <c r="L68" i="2"/>
  <c r="I68" i="2"/>
  <c r="AA70" i="2"/>
  <c r="AD70" i="2"/>
  <c r="AE70" i="2" s="1"/>
  <c r="X72" i="2"/>
  <c r="U72" i="2"/>
  <c r="I69" i="1"/>
  <c r="R74" i="2"/>
  <c r="S74" i="2" s="1"/>
  <c r="O74" i="2"/>
  <c r="F75" i="2"/>
  <c r="G75" i="2" s="1"/>
  <c r="C75" i="2"/>
  <c r="L76" i="2"/>
  <c r="M76" i="2" s="1"/>
  <c r="I76" i="2"/>
  <c r="AD78" i="2"/>
  <c r="AE78" i="2" s="1"/>
  <c r="AA78" i="2"/>
  <c r="X80" i="2"/>
  <c r="Y80" i="2" s="1"/>
  <c r="U80" i="2"/>
  <c r="I77" i="1"/>
  <c r="R82" i="2"/>
  <c r="S82" i="2" s="1"/>
  <c r="O82" i="2"/>
  <c r="F83" i="2"/>
  <c r="C83" i="2"/>
  <c r="I84" i="2"/>
  <c r="L84" i="2"/>
  <c r="M84" i="2" s="1"/>
  <c r="AD86" i="2"/>
  <c r="AE86" i="2" s="1"/>
  <c r="AA86" i="2"/>
  <c r="B113" i="2"/>
  <c r="I109" i="1"/>
  <c r="AA113" i="2"/>
  <c r="AD113" i="2"/>
  <c r="AE113" i="2" s="1"/>
  <c r="AA114" i="2"/>
  <c r="AD114" i="2"/>
  <c r="AE114" i="2" s="1"/>
  <c r="AA115" i="2"/>
  <c r="AD115" i="2"/>
  <c r="AA116" i="2"/>
  <c r="AD116" i="2"/>
  <c r="AE116" i="2" s="1"/>
  <c r="AA117" i="2"/>
  <c r="AD117" i="2"/>
  <c r="AA118" i="2"/>
  <c r="AD118" i="2"/>
  <c r="AE118" i="2" s="1"/>
  <c r="AA119" i="2"/>
  <c r="AD119" i="2"/>
  <c r="AA120" i="2"/>
  <c r="AD120" i="2"/>
  <c r="AE120" i="2" s="1"/>
  <c r="AD121" i="2"/>
  <c r="AE121" i="2" s="1"/>
  <c r="AA121" i="2"/>
  <c r="AD122" i="2"/>
  <c r="AA122" i="2"/>
  <c r="AD123" i="2"/>
  <c r="AE123" i="2" s="1"/>
  <c r="AA123" i="2"/>
  <c r="B125" i="2"/>
  <c r="I121" i="1"/>
  <c r="R128" i="2"/>
  <c r="O128" i="2"/>
  <c r="Z126" i="1"/>
  <c r="Y126" i="1"/>
  <c r="T130" i="2" s="1"/>
  <c r="AD131" i="2"/>
  <c r="AA131" i="2"/>
  <c r="B133" i="2"/>
  <c r="I129" i="1"/>
  <c r="T132" i="1"/>
  <c r="S132" i="1"/>
  <c r="N136" i="2" s="1"/>
  <c r="AD137" i="2"/>
  <c r="AA137" i="2"/>
  <c r="AD141" i="2"/>
  <c r="AE141" i="2" s="1"/>
  <c r="AA141" i="2"/>
  <c r="AD145" i="2"/>
  <c r="AA145" i="2"/>
  <c r="AL7" i="2" a="1"/>
  <c r="I5" i="1"/>
  <c r="R7" i="2"/>
  <c r="F8" i="2"/>
  <c r="G8" i="2" s="1"/>
  <c r="C8" i="2"/>
  <c r="L9" i="2"/>
  <c r="M9" i="2" s="1"/>
  <c r="I9" i="2"/>
  <c r="AD11" i="2"/>
  <c r="AE11" i="2" s="1"/>
  <c r="AA11" i="2"/>
  <c r="X13" i="2"/>
  <c r="U13" i="2"/>
  <c r="I10" i="1"/>
  <c r="R15" i="2"/>
  <c r="O15" i="2"/>
  <c r="F16" i="2"/>
  <c r="C16" i="2"/>
  <c r="L17" i="2"/>
  <c r="I17" i="2"/>
  <c r="AD19" i="2"/>
  <c r="AA19" i="2"/>
  <c r="X21" i="2"/>
  <c r="U21" i="2"/>
  <c r="I18" i="1"/>
  <c r="R23" i="2"/>
  <c r="O23" i="2"/>
  <c r="F24" i="2"/>
  <c r="C24" i="2"/>
  <c r="L25" i="2"/>
  <c r="I25" i="2"/>
  <c r="AD27" i="2"/>
  <c r="AA27" i="2"/>
  <c r="X29" i="2"/>
  <c r="U29" i="2"/>
  <c r="I26" i="1"/>
  <c r="R31" i="2"/>
  <c r="O31" i="2"/>
  <c r="F32" i="2"/>
  <c r="C32" i="2"/>
  <c r="L33" i="2"/>
  <c r="I33" i="2"/>
  <c r="AD35" i="2"/>
  <c r="AA35" i="2"/>
  <c r="X37" i="2"/>
  <c r="U37" i="2"/>
  <c r="I34" i="1"/>
  <c r="R39" i="2"/>
  <c r="O39" i="2"/>
  <c r="F40" i="2"/>
  <c r="C40" i="2"/>
  <c r="L41" i="2"/>
  <c r="I41" i="2"/>
  <c r="AD43" i="2"/>
  <c r="AA43" i="2"/>
  <c r="X45" i="2"/>
  <c r="U45" i="2"/>
  <c r="I42" i="1"/>
  <c r="R47" i="2"/>
  <c r="O47" i="2"/>
  <c r="C48" i="2"/>
  <c r="F48" i="2"/>
  <c r="L49" i="2"/>
  <c r="I49" i="2"/>
  <c r="AD51" i="2"/>
  <c r="AA51" i="2"/>
  <c r="X53" i="2"/>
  <c r="U53" i="2"/>
  <c r="I50" i="1"/>
  <c r="R55" i="2"/>
  <c r="O55" i="2"/>
  <c r="F56" i="2"/>
  <c r="C56" i="2"/>
  <c r="L57" i="2"/>
  <c r="I57" i="2"/>
  <c r="AD59" i="2"/>
  <c r="AA59" i="2"/>
  <c r="X61" i="2"/>
  <c r="U61" i="2"/>
  <c r="I58" i="1"/>
  <c r="R63" i="2"/>
  <c r="O63" i="2"/>
  <c r="F64" i="2"/>
  <c r="C64" i="2"/>
  <c r="L65" i="2"/>
  <c r="I65" i="2"/>
  <c r="AD67" i="2"/>
  <c r="AA67" i="2"/>
  <c r="X69" i="2"/>
  <c r="U69" i="2"/>
  <c r="I66" i="1"/>
  <c r="O71" i="2"/>
  <c r="R71" i="2"/>
  <c r="C72" i="2"/>
  <c r="F72" i="2"/>
  <c r="L73" i="2"/>
  <c r="I73" i="2"/>
  <c r="AD75" i="2"/>
  <c r="AA75" i="2"/>
  <c r="X77" i="2"/>
  <c r="U77" i="2"/>
  <c r="I74" i="1"/>
  <c r="R79" i="2"/>
  <c r="O79" i="2"/>
  <c r="F80" i="2"/>
  <c r="C80" i="2"/>
  <c r="L81" i="2"/>
  <c r="I81" i="2"/>
  <c r="AD83" i="2"/>
  <c r="AA83" i="2"/>
  <c r="U85" i="2"/>
  <c r="X85" i="2"/>
  <c r="I82" i="1"/>
  <c r="M83" i="1"/>
  <c r="H87" i="2" s="1"/>
  <c r="M84" i="1"/>
  <c r="H88" i="2" s="1"/>
  <c r="M85" i="1"/>
  <c r="H89" i="2" s="1"/>
  <c r="M86" i="1"/>
  <c r="H90" i="2" s="1"/>
  <c r="H5" i="2" s="1"/>
  <c r="M87" i="1"/>
  <c r="H91" i="2" s="1"/>
  <c r="M88" i="1"/>
  <c r="H92" i="2" s="1"/>
  <c r="M89" i="1"/>
  <c r="H93" i="2" s="1"/>
  <c r="M90" i="1"/>
  <c r="H94" i="2" s="1"/>
  <c r="M91" i="1"/>
  <c r="H95" i="2" s="1"/>
  <c r="M92" i="1"/>
  <c r="H96" i="2" s="1"/>
  <c r="M93" i="1"/>
  <c r="H97" i="2" s="1"/>
  <c r="M94" i="1"/>
  <c r="H98" i="2" s="1"/>
  <c r="M95" i="1"/>
  <c r="H99" i="2" s="1"/>
  <c r="M96" i="1"/>
  <c r="H100" i="2" s="1"/>
  <c r="M97" i="1"/>
  <c r="H101" i="2" s="1"/>
  <c r="M98" i="1"/>
  <c r="H102" i="2" s="1"/>
  <c r="M99" i="1"/>
  <c r="H103" i="2" s="1"/>
  <c r="M100" i="1"/>
  <c r="H104" i="2" s="1"/>
  <c r="M101" i="1"/>
  <c r="H105" i="2" s="1"/>
  <c r="M102" i="1"/>
  <c r="H106" i="2" s="1"/>
  <c r="M103" i="1"/>
  <c r="H107" i="2" s="1"/>
  <c r="M104" i="1"/>
  <c r="H108" i="2" s="1"/>
  <c r="G106" i="1"/>
  <c r="X110" i="2"/>
  <c r="U110" i="2"/>
  <c r="M107" i="1"/>
  <c r="H111" i="2" s="1"/>
  <c r="AE107" i="1"/>
  <c r="Z111" i="2" s="1"/>
  <c r="S108" i="1"/>
  <c r="N112" i="2" s="1"/>
  <c r="B114" i="2"/>
  <c r="I110" i="1"/>
  <c r="B115" i="2"/>
  <c r="I111" i="1"/>
  <c r="B116" i="2"/>
  <c r="I112" i="1"/>
  <c r="B117" i="2"/>
  <c r="I113" i="1"/>
  <c r="B118" i="2"/>
  <c r="I114" i="1"/>
  <c r="B119" i="2"/>
  <c r="I115" i="1"/>
  <c r="B120" i="2"/>
  <c r="I116" i="1"/>
  <c r="B121" i="2"/>
  <c r="I117" i="1"/>
  <c r="B122" i="2"/>
  <c r="I118" i="1"/>
  <c r="B123" i="2"/>
  <c r="I119" i="1"/>
  <c r="B124" i="2"/>
  <c r="I120" i="1"/>
  <c r="R127" i="2"/>
  <c r="O127" i="2"/>
  <c r="T124" i="1"/>
  <c r="Z125" i="1"/>
  <c r="Y125" i="1"/>
  <c r="T129" i="2" s="1"/>
  <c r="AD130" i="2"/>
  <c r="AE130" i="2" s="1"/>
  <c r="AA130" i="2"/>
  <c r="B132" i="2"/>
  <c r="I128" i="1"/>
  <c r="R135" i="2"/>
  <c r="S135" i="2" s="1"/>
  <c r="O135" i="2"/>
  <c r="F58" i="2"/>
  <c r="G58" i="2" s="1"/>
  <c r="C58" i="2"/>
  <c r="L67" i="2"/>
  <c r="M67" i="2" s="1"/>
  <c r="I67" i="2"/>
  <c r="F9" i="2"/>
  <c r="G9" i="2" s="1"/>
  <c r="C9" i="2"/>
  <c r="I11" i="1"/>
  <c r="L7" i="2"/>
  <c r="X8" i="2"/>
  <c r="Y8" i="2" s="1"/>
  <c r="U8" i="2"/>
  <c r="F11" i="2"/>
  <c r="C11" i="2"/>
  <c r="AD14" i="2"/>
  <c r="AE14" i="2" s="1"/>
  <c r="AA14" i="2"/>
  <c r="AD8" i="2"/>
  <c r="AE8" i="2" s="1"/>
  <c r="AA8" i="2"/>
  <c r="X10" i="2"/>
  <c r="Y10" i="2" s="1"/>
  <c r="U10" i="2"/>
  <c r="I7" i="1"/>
  <c r="R12" i="2"/>
  <c r="S12" i="2" s="1"/>
  <c r="O12" i="2"/>
  <c r="F13" i="2"/>
  <c r="G13" i="2" s="1"/>
  <c r="C13" i="2"/>
  <c r="L14" i="2"/>
  <c r="M14" i="2" s="1"/>
  <c r="I14" i="2"/>
  <c r="AD16" i="2"/>
  <c r="AE16" i="2" s="1"/>
  <c r="AA16" i="2"/>
  <c r="X18" i="2"/>
  <c r="Y18" i="2" s="1"/>
  <c r="U18" i="2"/>
  <c r="I15" i="1"/>
  <c r="R20" i="2"/>
  <c r="S20" i="2" s="1"/>
  <c r="O20" i="2"/>
  <c r="F21" i="2"/>
  <c r="G21" i="2" s="1"/>
  <c r="C21" i="2"/>
  <c r="L22" i="2"/>
  <c r="M22" i="2" s="1"/>
  <c r="I22" i="2"/>
  <c r="AD24" i="2"/>
  <c r="AE24" i="2" s="1"/>
  <c r="AA24" i="2"/>
  <c r="X26" i="2"/>
  <c r="Y26" i="2" s="1"/>
  <c r="U26" i="2"/>
  <c r="I23" i="1"/>
  <c r="R28" i="2"/>
  <c r="S28" i="2" s="1"/>
  <c r="O28" i="2"/>
  <c r="F29" i="2"/>
  <c r="G29" i="2" s="1"/>
  <c r="C29" i="2"/>
  <c r="L30" i="2"/>
  <c r="M30" i="2" s="1"/>
  <c r="I30" i="2"/>
  <c r="AD32" i="2"/>
  <c r="AE32" i="2" s="1"/>
  <c r="AA32" i="2"/>
  <c r="X34" i="2"/>
  <c r="Y34" i="2" s="1"/>
  <c r="U34" i="2"/>
  <c r="I31" i="1"/>
  <c r="R36" i="2"/>
  <c r="S36" i="2" s="1"/>
  <c r="O36" i="2"/>
  <c r="F37" i="2"/>
  <c r="G37" i="2" s="1"/>
  <c r="C37" i="2"/>
  <c r="L38" i="2"/>
  <c r="M38" i="2" s="1"/>
  <c r="I38" i="2"/>
  <c r="AD40" i="2"/>
  <c r="AE40" i="2" s="1"/>
  <c r="AA40" i="2"/>
  <c r="X42" i="2"/>
  <c r="Y42" i="2" s="1"/>
  <c r="U42" i="2"/>
  <c r="I39" i="1"/>
  <c r="R44" i="2"/>
  <c r="S44" i="2" s="1"/>
  <c r="O44" i="2"/>
  <c r="F45" i="2"/>
  <c r="G45" i="2" s="1"/>
  <c r="C45" i="2"/>
  <c r="L46" i="2"/>
  <c r="M46" i="2" s="1"/>
  <c r="I46" i="2"/>
  <c r="AD48" i="2"/>
  <c r="AE48" i="2" s="1"/>
  <c r="AA48" i="2"/>
  <c r="X50" i="2"/>
  <c r="Y50" i="2" s="1"/>
  <c r="U50" i="2"/>
  <c r="I47" i="1"/>
  <c r="R52" i="2"/>
  <c r="S52" i="2" s="1"/>
  <c r="O52" i="2"/>
  <c r="F53" i="2"/>
  <c r="G53" i="2" s="1"/>
  <c r="C53" i="2"/>
  <c r="L54" i="2"/>
  <c r="M54" i="2" s="1"/>
  <c r="I54" i="2"/>
  <c r="AD56" i="2"/>
  <c r="AE56" i="2" s="1"/>
  <c r="AA56" i="2"/>
  <c r="X58" i="2"/>
  <c r="Y58" i="2" s="1"/>
  <c r="U58" i="2"/>
  <c r="I55" i="1"/>
  <c r="R60" i="2"/>
  <c r="S60" i="2" s="1"/>
  <c r="O60" i="2"/>
  <c r="F61" i="2"/>
  <c r="G61" i="2" s="1"/>
  <c r="C61" i="2"/>
  <c r="L62" i="2"/>
  <c r="M62" i="2" s="1"/>
  <c r="I62" i="2"/>
  <c r="AD64" i="2"/>
  <c r="AE64" i="2" s="1"/>
  <c r="AA64" i="2"/>
  <c r="X66" i="2"/>
  <c r="Y66" i="2" s="1"/>
  <c r="U66" i="2"/>
  <c r="I63" i="1"/>
  <c r="R68" i="2"/>
  <c r="S68" i="2" s="1"/>
  <c r="O68" i="2"/>
  <c r="F69" i="2"/>
  <c r="G69" i="2" s="1"/>
  <c r="C69" i="2"/>
  <c r="L70" i="2"/>
  <c r="M70" i="2" s="1"/>
  <c r="I70" i="2"/>
  <c r="AD72" i="2"/>
  <c r="AE72" i="2" s="1"/>
  <c r="AA72" i="2"/>
  <c r="X74" i="2"/>
  <c r="Y74" i="2" s="1"/>
  <c r="U74" i="2"/>
  <c r="I71" i="1"/>
  <c r="R76" i="2"/>
  <c r="S76" i="2" s="1"/>
  <c r="O76" i="2"/>
  <c r="F77" i="2"/>
  <c r="G77" i="2" s="1"/>
  <c r="C77" i="2"/>
  <c r="L78" i="2"/>
  <c r="M78" i="2" s="1"/>
  <c r="I78" i="2"/>
  <c r="AD80" i="2"/>
  <c r="AE80" i="2" s="1"/>
  <c r="AA80" i="2"/>
  <c r="X82" i="2"/>
  <c r="Y82" i="2" s="1"/>
  <c r="U82" i="2"/>
  <c r="I79" i="1"/>
  <c r="R84" i="2"/>
  <c r="S84" i="2" s="1"/>
  <c r="O84" i="2"/>
  <c r="F85" i="2"/>
  <c r="G85" i="2" s="1"/>
  <c r="C85" i="2"/>
  <c r="I86" i="2"/>
  <c r="L86" i="2"/>
  <c r="M86" i="2" s="1"/>
  <c r="Z106" i="1"/>
  <c r="R126" i="2"/>
  <c r="O126" i="2"/>
  <c r="Z124" i="1"/>
  <c r="Y124" i="1"/>
  <c r="T128" i="2" s="1"/>
  <c r="AD129" i="2"/>
  <c r="AA129" i="2"/>
  <c r="B131" i="2"/>
  <c r="I127" i="1"/>
  <c r="R134" i="2"/>
  <c r="O134" i="2"/>
  <c r="AD136" i="2"/>
  <c r="AA136" i="2"/>
  <c r="AD140" i="2"/>
  <c r="AA140" i="2"/>
  <c r="AD144" i="2"/>
  <c r="AA144" i="2"/>
  <c r="AX7" i="2" a="1"/>
  <c r="B112" i="2"/>
  <c r="I108" i="1"/>
  <c r="X112" i="2"/>
  <c r="Y112" i="2" s="1"/>
  <c r="U112" i="2"/>
  <c r="L113" i="2"/>
  <c r="M113" i="2" s="1"/>
  <c r="I113" i="2"/>
  <c r="N110" i="1"/>
  <c r="M110" i="1"/>
  <c r="H114" i="2" s="1"/>
  <c r="N111" i="1"/>
  <c r="M111" i="1"/>
  <c r="H115" i="2" s="1"/>
  <c r="N112" i="1"/>
  <c r="M112" i="1"/>
  <c r="H116" i="2" s="1"/>
  <c r="N113" i="1"/>
  <c r="M113" i="1"/>
  <c r="H117" i="2" s="1"/>
  <c r="N114" i="1"/>
  <c r="M114" i="1"/>
  <c r="H118" i="2" s="1"/>
  <c r="N115" i="1"/>
  <c r="M115" i="1"/>
  <c r="H119" i="2" s="1"/>
  <c r="N116" i="1"/>
  <c r="M116" i="1"/>
  <c r="H120" i="2" s="1"/>
  <c r="N117" i="1"/>
  <c r="M117" i="1"/>
  <c r="H121" i="2" s="1"/>
  <c r="N118" i="1"/>
  <c r="M118" i="1"/>
  <c r="H122" i="2" s="1"/>
  <c r="N119" i="1"/>
  <c r="M119" i="1"/>
  <c r="H123" i="2" s="1"/>
  <c r="R125" i="2"/>
  <c r="O125" i="2"/>
  <c r="T122" i="1"/>
  <c r="Z123" i="1"/>
  <c r="Y123" i="1"/>
  <c r="T127" i="2" s="1"/>
  <c r="AD128" i="2"/>
  <c r="AA128" i="2"/>
  <c r="B130" i="2"/>
  <c r="I126" i="1"/>
  <c r="R133" i="2"/>
  <c r="O133" i="2"/>
  <c r="T130" i="1"/>
  <c r="F10" i="2"/>
  <c r="G10" i="2" s="1"/>
  <c r="C10" i="2"/>
  <c r="AD13" i="2"/>
  <c r="AE13" i="2" s="1"/>
  <c r="AA13" i="2"/>
  <c r="X15" i="2"/>
  <c r="Y15" i="2" s="1"/>
  <c r="U15" i="2"/>
  <c r="L19" i="2"/>
  <c r="M19" i="2" s="1"/>
  <c r="I19" i="2"/>
  <c r="AD21" i="2"/>
  <c r="AE21" i="2" s="1"/>
  <c r="AA21" i="2"/>
  <c r="X23" i="2"/>
  <c r="Y23" i="2" s="1"/>
  <c r="U23" i="2"/>
  <c r="R25" i="2"/>
  <c r="S25" i="2" s="1"/>
  <c r="O25" i="2"/>
  <c r="X31" i="2"/>
  <c r="Y31" i="2" s="1"/>
  <c r="U31" i="2"/>
  <c r="L35" i="2"/>
  <c r="M35" i="2" s="1"/>
  <c r="I35" i="2"/>
  <c r="R41" i="2"/>
  <c r="S41" i="2" s="1"/>
  <c r="O41" i="2"/>
  <c r="X47" i="2"/>
  <c r="Y47" i="2" s="1"/>
  <c r="U47" i="2"/>
  <c r="F50" i="2"/>
  <c r="G50" i="2" s="1"/>
  <c r="C50" i="2"/>
  <c r="X55" i="2"/>
  <c r="Y55" i="2" s="1"/>
  <c r="U55" i="2"/>
  <c r="L59" i="2"/>
  <c r="M59" i="2" s="1"/>
  <c r="I59" i="2"/>
  <c r="F66" i="2"/>
  <c r="G66" i="2" s="1"/>
  <c r="C66" i="2"/>
  <c r="X71" i="2"/>
  <c r="Y71" i="2" s="1"/>
  <c r="U71" i="2"/>
  <c r="F82" i="2"/>
  <c r="G82" i="2" s="1"/>
  <c r="C82" i="2"/>
  <c r="X12" i="2"/>
  <c r="Y12" i="2" s="1"/>
  <c r="U12" i="2"/>
  <c r="R14" i="2"/>
  <c r="S14" i="2" s="1"/>
  <c r="O14" i="2"/>
  <c r="F15" i="2"/>
  <c r="G15" i="2" s="1"/>
  <c r="C15" i="2"/>
  <c r="L16" i="2"/>
  <c r="M16" i="2" s="1"/>
  <c r="I16" i="2"/>
  <c r="AD18" i="2"/>
  <c r="AE18" i="2" s="1"/>
  <c r="AA18" i="2"/>
  <c r="X20" i="2"/>
  <c r="Y20" i="2" s="1"/>
  <c r="U20" i="2"/>
  <c r="R22" i="2"/>
  <c r="S22" i="2" s="1"/>
  <c r="O22" i="2"/>
  <c r="F23" i="2"/>
  <c r="G23" i="2" s="1"/>
  <c r="C23" i="2"/>
  <c r="L24" i="2"/>
  <c r="M24" i="2" s="1"/>
  <c r="I24" i="2"/>
  <c r="AD26" i="2"/>
  <c r="AE26" i="2" s="1"/>
  <c r="AA26" i="2"/>
  <c r="X28" i="2"/>
  <c r="Y28" i="2" s="1"/>
  <c r="U28" i="2"/>
  <c r="R30" i="2"/>
  <c r="S30" i="2" s="1"/>
  <c r="O30" i="2"/>
  <c r="F31" i="2"/>
  <c r="G31" i="2" s="1"/>
  <c r="C31" i="2"/>
  <c r="L32" i="2"/>
  <c r="M32" i="2" s="1"/>
  <c r="I32" i="2"/>
  <c r="AD34" i="2"/>
  <c r="AE34" i="2" s="1"/>
  <c r="AA34" i="2"/>
  <c r="X36" i="2"/>
  <c r="Y36" i="2" s="1"/>
  <c r="U36" i="2"/>
  <c r="R38" i="2"/>
  <c r="S38" i="2" s="1"/>
  <c r="O38" i="2"/>
  <c r="F39" i="2"/>
  <c r="G39" i="2" s="1"/>
  <c r="C39" i="2"/>
  <c r="L40" i="2"/>
  <c r="M40" i="2" s="1"/>
  <c r="I40" i="2"/>
  <c r="AD42" i="2"/>
  <c r="AE42" i="2" s="1"/>
  <c r="AA42" i="2"/>
  <c r="X44" i="2"/>
  <c r="Y44" i="2" s="1"/>
  <c r="U44" i="2"/>
  <c r="R46" i="2"/>
  <c r="S46" i="2" s="1"/>
  <c r="O46" i="2"/>
  <c r="F47" i="2"/>
  <c r="G47" i="2" s="1"/>
  <c r="C47" i="2"/>
  <c r="L48" i="2"/>
  <c r="M48" i="2" s="1"/>
  <c r="I48" i="2"/>
  <c r="AD50" i="2"/>
  <c r="AE50" i="2" s="1"/>
  <c r="AA50" i="2"/>
  <c r="X52" i="2"/>
  <c r="Y52" i="2" s="1"/>
  <c r="U52" i="2"/>
  <c r="R54" i="2"/>
  <c r="S54" i="2" s="1"/>
  <c r="O54" i="2"/>
  <c r="F55" i="2"/>
  <c r="G55" i="2" s="1"/>
  <c r="C55" i="2"/>
  <c r="L56" i="2"/>
  <c r="M56" i="2" s="1"/>
  <c r="I56" i="2"/>
  <c r="AD58" i="2"/>
  <c r="AE58" i="2" s="1"/>
  <c r="AA58" i="2"/>
  <c r="X60" i="2"/>
  <c r="Y60" i="2" s="1"/>
  <c r="U60" i="2"/>
  <c r="R62" i="2"/>
  <c r="S62" i="2" s="1"/>
  <c r="O62" i="2"/>
  <c r="F63" i="2"/>
  <c r="G63" i="2" s="1"/>
  <c r="C63" i="2"/>
  <c r="L64" i="2"/>
  <c r="M64" i="2" s="1"/>
  <c r="I64" i="2"/>
  <c r="AD66" i="2"/>
  <c r="AE66" i="2" s="1"/>
  <c r="AA66" i="2"/>
  <c r="X68" i="2"/>
  <c r="Y68" i="2" s="1"/>
  <c r="U68" i="2"/>
  <c r="O70" i="2"/>
  <c r="R70" i="2"/>
  <c r="S70" i="2" s="1"/>
  <c r="C71" i="2"/>
  <c r="F71" i="2"/>
  <c r="G71" i="2" s="1"/>
  <c r="L72" i="2"/>
  <c r="M72" i="2" s="1"/>
  <c r="I72" i="2"/>
  <c r="AD74" i="2"/>
  <c r="AE74" i="2" s="1"/>
  <c r="AA74" i="2"/>
  <c r="X76" i="2"/>
  <c r="Y76" i="2" s="1"/>
  <c r="U76" i="2"/>
  <c r="R78" i="2"/>
  <c r="S78" i="2" s="1"/>
  <c r="O78" i="2"/>
  <c r="F79" i="2"/>
  <c r="G79" i="2" s="1"/>
  <c r="C79" i="2"/>
  <c r="L80" i="2"/>
  <c r="M80" i="2" s="1"/>
  <c r="I80" i="2"/>
  <c r="AD82" i="2"/>
  <c r="AE82" i="2" s="1"/>
  <c r="AA82" i="2"/>
  <c r="U84" i="2"/>
  <c r="X84" i="2"/>
  <c r="Y84" i="2" s="1"/>
  <c r="R86" i="2"/>
  <c r="S86" i="2" s="1"/>
  <c r="O86" i="2"/>
  <c r="R88" i="2"/>
  <c r="S88" i="2" s="1"/>
  <c r="O88" i="2"/>
  <c r="R89" i="2"/>
  <c r="O89" i="2"/>
  <c r="R90" i="2"/>
  <c r="S90" i="2" s="1"/>
  <c r="O90" i="2"/>
  <c r="R91" i="2"/>
  <c r="O91" i="2"/>
  <c r="R92" i="2"/>
  <c r="S92" i="2" s="1"/>
  <c r="O92" i="2"/>
  <c r="R93" i="2"/>
  <c r="O93" i="2"/>
  <c r="R94" i="2"/>
  <c r="S94" i="2" s="1"/>
  <c r="O94" i="2"/>
  <c r="R95" i="2"/>
  <c r="O95" i="2"/>
  <c r="R96" i="2"/>
  <c r="S96" i="2" s="1"/>
  <c r="O96" i="2"/>
  <c r="R97" i="2"/>
  <c r="O97" i="2"/>
  <c r="R98" i="2"/>
  <c r="S98" i="2" s="1"/>
  <c r="O98" i="2"/>
  <c r="R99" i="2"/>
  <c r="O99" i="2"/>
  <c r="R100" i="2"/>
  <c r="S100" i="2" s="1"/>
  <c r="O100" i="2"/>
  <c r="O101" i="2"/>
  <c r="R101" i="2"/>
  <c r="O102" i="2"/>
  <c r="R102" i="2"/>
  <c r="O103" i="2"/>
  <c r="R103" i="2"/>
  <c r="S103" i="2" s="1"/>
  <c r="O104" i="2"/>
  <c r="R104" i="2"/>
  <c r="S104" i="2" s="1"/>
  <c r="O105" i="2"/>
  <c r="R105" i="2"/>
  <c r="O106" i="2"/>
  <c r="R106" i="2"/>
  <c r="O107" i="2"/>
  <c r="R107" i="2"/>
  <c r="S107" i="2" s="1"/>
  <c r="O108" i="2"/>
  <c r="R108" i="2"/>
  <c r="S108" i="2" s="1"/>
  <c r="B109" i="2"/>
  <c r="I105" i="1"/>
  <c r="X109" i="2"/>
  <c r="U109" i="2"/>
  <c r="L110" i="2"/>
  <c r="I110" i="2"/>
  <c r="AA110" i="2"/>
  <c r="AD110" i="2"/>
  <c r="O111" i="2"/>
  <c r="R111" i="2"/>
  <c r="O113" i="2"/>
  <c r="R113" i="2"/>
  <c r="O114" i="2"/>
  <c r="R114" i="2"/>
  <c r="S114" i="2" s="1"/>
  <c r="O115" i="2"/>
  <c r="R115" i="2"/>
  <c r="S115" i="2" s="1"/>
  <c r="O116" i="2"/>
  <c r="R116" i="2"/>
  <c r="O117" i="2"/>
  <c r="R117" i="2"/>
  <c r="O118" i="2"/>
  <c r="R118" i="2"/>
  <c r="S118" i="2" s="1"/>
  <c r="O119" i="2"/>
  <c r="R119" i="2"/>
  <c r="S119" i="2" s="1"/>
  <c r="O120" i="2"/>
  <c r="R120" i="2"/>
  <c r="R121" i="2"/>
  <c r="S121" i="2" s="1"/>
  <c r="O121" i="2"/>
  <c r="R122" i="2"/>
  <c r="O122" i="2"/>
  <c r="R123" i="2"/>
  <c r="S123" i="2" s="1"/>
  <c r="O123" i="2"/>
  <c r="R124" i="2"/>
  <c r="O124" i="2"/>
  <c r="Z122" i="1"/>
  <c r="Y122" i="1"/>
  <c r="T126" i="2" s="1"/>
  <c r="AD127" i="2"/>
  <c r="AE127" i="2" s="1"/>
  <c r="AA127" i="2"/>
  <c r="B129" i="2"/>
  <c r="I125" i="1"/>
  <c r="R132" i="2"/>
  <c r="S132" i="2" s="1"/>
  <c r="O132" i="2"/>
  <c r="Z130" i="1"/>
  <c r="Y130" i="1"/>
  <c r="T134" i="2" s="1"/>
  <c r="AD135" i="2"/>
  <c r="AE135" i="2" s="1"/>
  <c r="AA135" i="2"/>
  <c r="AD139" i="2"/>
  <c r="AE139" i="2" s="1"/>
  <c r="AA139" i="2"/>
  <c r="AD143" i="2"/>
  <c r="AE143" i="2" s="1"/>
  <c r="AA143" i="2"/>
  <c r="Y131" i="1"/>
  <c r="T135" i="2" s="1"/>
  <c r="I132" i="1"/>
  <c r="Y132" i="1"/>
  <c r="T136" i="2" s="1"/>
  <c r="I133" i="1"/>
  <c r="Y133" i="1"/>
  <c r="T137" i="2" s="1"/>
  <c r="I134" i="1"/>
  <c r="Y134" i="1"/>
  <c r="T138" i="2" s="1"/>
  <c r="I135" i="1"/>
  <c r="Y135" i="1"/>
  <c r="T139" i="2" s="1"/>
  <c r="I136" i="1"/>
  <c r="Y136" i="1"/>
  <c r="T140" i="2" s="1"/>
  <c r="I137" i="1"/>
  <c r="Y137" i="1"/>
  <c r="T141" i="2" s="1"/>
  <c r="I138" i="1"/>
  <c r="Y138" i="1"/>
  <c r="T142" i="2" s="1"/>
  <c r="I139" i="1"/>
  <c r="Y139" i="1"/>
  <c r="T143" i="2" s="1"/>
  <c r="I140" i="1"/>
  <c r="Y140" i="1"/>
  <c r="T144" i="2" s="1"/>
  <c r="I141" i="1"/>
  <c r="Y141" i="1"/>
  <c r="T145" i="2" s="1"/>
  <c r="I142" i="1"/>
  <c r="Y142" i="1"/>
  <c r="T146" i="2" s="1"/>
  <c r="M120" i="1"/>
  <c r="H124" i="2" s="1"/>
  <c r="M121" i="1"/>
  <c r="H125" i="2" s="1"/>
  <c r="M122" i="1"/>
  <c r="H126" i="2" s="1"/>
  <c r="M123" i="1"/>
  <c r="H127" i="2" s="1"/>
  <c r="M124" i="1"/>
  <c r="H128" i="2" s="1"/>
  <c r="M125" i="1"/>
  <c r="H129" i="2" s="1"/>
  <c r="M126" i="1"/>
  <c r="H130" i="2" s="1"/>
  <c r="M127" i="1"/>
  <c r="H131" i="2" s="1"/>
  <c r="M128" i="1"/>
  <c r="H132" i="2" s="1"/>
  <c r="M129" i="1"/>
  <c r="H133" i="2" s="1"/>
  <c r="M130" i="1"/>
  <c r="H134" i="2" s="1"/>
  <c r="M131" i="1"/>
  <c r="H135" i="2" s="1"/>
  <c r="M132" i="1"/>
  <c r="H136" i="2" s="1"/>
  <c r="M133" i="1"/>
  <c r="H137" i="2" s="1"/>
  <c r="M134" i="1"/>
  <c r="H138" i="2" s="1"/>
  <c r="M135" i="1"/>
  <c r="H139" i="2" s="1"/>
  <c r="M136" i="1"/>
  <c r="H140" i="2" s="1"/>
  <c r="M137" i="1"/>
  <c r="H141" i="2" s="1"/>
  <c r="M138" i="1"/>
  <c r="H142" i="2" s="1"/>
  <c r="M139" i="1"/>
  <c r="H143" i="2" s="1"/>
  <c r="M140" i="1"/>
  <c r="H144" i="2" s="1"/>
  <c r="M141" i="1"/>
  <c r="H145" i="2" s="1"/>
  <c r="M142" i="1"/>
  <c r="H146" i="2" s="1"/>
  <c r="I148" i="1"/>
  <c r="S133" i="1"/>
  <c r="N137" i="2" s="1"/>
  <c r="S134" i="1"/>
  <c r="N138" i="2" s="1"/>
  <c r="S135" i="1"/>
  <c r="N139" i="2" s="1"/>
  <c r="S136" i="1"/>
  <c r="N140" i="2" s="1"/>
  <c r="S137" i="1"/>
  <c r="N141" i="2" s="1"/>
  <c r="S138" i="1"/>
  <c r="N142" i="2" s="1"/>
  <c r="S139" i="1"/>
  <c r="N143" i="2" s="1"/>
  <c r="S140" i="1"/>
  <c r="N144" i="2" s="1"/>
  <c r="S141" i="1"/>
  <c r="N145" i="2" s="1"/>
  <c r="S142" i="1"/>
  <c r="N146" i="2" s="1"/>
  <c r="F136" i="2"/>
  <c r="C136" i="2"/>
  <c r="F137" i="2"/>
  <c r="G137" i="2" s="1"/>
  <c r="C137" i="2"/>
  <c r="F138" i="2"/>
  <c r="G138" i="2" s="1"/>
  <c r="C138" i="2"/>
  <c r="F139" i="2"/>
  <c r="C139" i="2"/>
  <c r="F140" i="2"/>
  <c r="C140" i="2"/>
  <c r="F141" i="2"/>
  <c r="G141" i="2" s="1"/>
  <c r="C141" i="2"/>
  <c r="F142" i="2"/>
  <c r="G142" i="2" s="1"/>
  <c r="C142" i="2"/>
  <c r="F143" i="2"/>
  <c r="C143" i="2"/>
  <c r="F144" i="2"/>
  <c r="C144" i="2"/>
  <c r="F145" i="2"/>
  <c r="G145" i="2" s="1"/>
  <c r="C145" i="2"/>
  <c r="F146" i="2"/>
  <c r="G146" i="2" s="1"/>
  <c r="C146" i="2"/>
  <c r="E10" i="3"/>
  <c r="E9" i="3"/>
  <c r="E5" i="3"/>
  <c r="E8" i="3"/>
  <c r="E3" i="3"/>
  <c r="E4" i="3"/>
  <c r="R143" i="2" l="1"/>
  <c r="O143" i="2"/>
  <c r="L146" i="2"/>
  <c r="I146" i="2"/>
  <c r="L138" i="2"/>
  <c r="I138" i="2"/>
  <c r="L130" i="2"/>
  <c r="I130" i="2"/>
  <c r="AE128" i="2"/>
  <c r="L122" i="2"/>
  <c r="I122" i="2"/>
  <c r="L118" i="2"/>
  <c r="I118" i="2"/>
  <c r="L114" i="2"/>
  <c r="M114" i="2" s="1"/>
  <c r="I114" i="2"/>
  <c r="AX145" i="2"/>
  <c r="AX137" i="2"/>
  <c r="AX129" i="2"/>
  <c r="AX121" i="2"/>
  <c r="AX113" i="2"/>
  <c r="AX105" i="2"/>
  <c r="AX97" i="2"/>
  <c r="AX89" i="2"/>
  <c r="AX81" i="2"/>
  <c r="AX73" i="2"/>
  <c r="AX65" i="2"/>
  <c r="AX57" i="2"/>
  <c r="AX49" i="2"/>
  <c r="AX41" i="2"/>
  <c r="AX33" i="2"/>
  <c r="AX25" i="2"/>
  <c r="AX17" i="2"/>
  <c r="AX9" i="2"/>
  <c r="AX144" i="2"/>
  <c r="AX136" i="2"/>
  <c r="AX128" i="2"/>
  <c r="AX120" i="2"/>
  <c r="AX112" i="2"/>
  <c r="AX104" i="2"/>
  <c r="AX96" i="2"/>
  <c r="AX88" i="2"/>
  <c r="AX80" i="2"/>
  <c r="AX72" i="2"/>
  <c r="AX64" i="2"/>
  <c r="AX56" i="2"/>
  <c r="AX48" i="2"/>
  <c r="AX40" i="2"/>
  <c r="AX32" i="2"/>
  <c r="AX24" i="2"/>
  <c r="AX16" i="2"/>
  <c r="AX8" i="2"/>
  <c r="AX143" i="2"/>
  <c r="AX135" i="2"/>
  <c r="AX127" i="2"/>
  <c r="AX119" i="2"/>
  <c r="AX111" i="2"/>
  <c r="AX103" i="2"/>
  <c r="AX95" i="2"/>
  <c r="AX87" i="2"/>
  <c r="AX79" i="2"/>
  <c r="AX71" i="2"/>
  <c r="AX63" i="2"/>
  <c r="AX55" i="2"/>
  <c r="AX47" i="2"/>
  <c r="AX39" i="2"/>
  <c r="AX31" i="2"/>
  <c r="AX23" i="2"/>
  <c r="AX15" i="2"/>
  <c r="AX7" i="2"/>
  <c r="AX141" i="2"/>
  <c r="AX133" i="2"/>
  <c r="AX125" i="2"/>
  <c r="AX117" i="2"/>
  <c r="AX109" i="2"/>
  <c r="AX101" i="2"/>
  <c r="AX93" i="2"/>
  <c r="AX85" i="2"/>
  <c r="AX77" i="2"/>
  <c r="AX69" i="2"/>
  <c r="AX61" i="2"/>
  <c r="AX53" i="2"/>
  <c r="AX45" i="2"/>
  <c r="AX37" i="2"/>
  <c r="AX140" i="2"/>
  <c r="AX132" i="2"/>
  <c r="AX124" i="2"/>
  <c r="AX116" i="2"/>
  <c r="AX108" i="2"/>
  <c r="AX100" i="2"/>
  <c r="AX92" i="2"/>
  <c r="AX84" i="2"/>
  <c r="AX76" i="2"/>
  <c r="AX68" i="2"/>
  <c r="AX60" i="2"/>
  <c r="AX52" i="2"/>
  <c r="AX44" i="2"/>
  <c r="AX36" i="2"/>
  <c r="AX28" i="2"/>
  <c r="AX20" i="2"/>
  <c r="AX12" i="2"/>
  <c r="AX139" i="2"/>
  <c r="AX131" i="2"/>
  <c r="AX123" i="2"/>
  <c r="AX115" i="2"/>
  <c r="AX107" i="2"/>
  <c r="AX99" i="2"/>
  <c r="AX91" i="2"/>
  <c r="AX83" i="2"/>
  <c r="AX75" i="2"/>
  <c r="AX67" i="2"/>
  <c r="AX59" i="2"/>
  <c r="AX51" i="2"/>
  <c r="AX43" i="2"/>
  <c r="AX35" i="2"/>
  <c r="AX27" i="2"/>
  <c r="AX19" i="2"/>
  <c r="AX11" i="2"/>
  <c r="AX142" i="2"/>
  <c r="AX110" i="2"/>
  <c r="AX78" i="2"/>
  <c r="AX46" i="2"/>
  <c r="AX21" i="2"/>
  <c r="AX138" i="2"/>
  <c r="AX106" i="2"/>
  <c r="AX74" i="2"/>
  <c r="AX42" i="2"/>
  <c r="AX18" i="2"/>
  <c r="AX134" i="2"/>
  <c r="AX102" i="2"/>
  <c r="AX70" i="2"/>
  <c r="AX38" i="2"/>
  <c r="AX14" i="2"/>
  <c r="AX130" i="2"/>
  <c r="AX98" i="2"/>
  <c r="AX66" i="2"/>
  <c r="AX34" i="2"/>
  <c r="AX13" i="2"/>
  <c r="AX126" i="2"/>
  <c r="AX94" i="2"/>
  <c r="AX62" i="2"/>
  <c r="AX30" i="2"/>
  <c r="AX10" i="2"/>
  <c r="AX122" i="2"/>
  <c r="AX90" i="2"/>
  <c r="AX58" i="2"/>
  <c r="AX29" i="2"/>
  <c r="AX118" i="2"/>
  <c r="AX86" i="2"/>
  <c r="AX54" i="2"/>
  <c r="AX26" i="2"/>
  <c r="AX146" i="2"/>
  <c r="AX114" i="2"/>
  <c r="AX82" i="2"/>
  <c r="AX50" i="2"/>
  <c r="AX22" i="2"/>
  <c r="S134" i="2"/>
  <c r="S126" i="2"/>
  <c r="F122" i="2"/>
  <c r="C122" i="2"/>
  <c r="C118" i="2"/>
  <c r="F118" i="2"/>
  <c r="C114" i="2"/>
  <c r="F114" i="2"/>
  <c r="L107" i="2"/>
  <c r="I107" i="2"/>
  <c r="I99" i="2"/>
  <c r="L99" i="2"/>
  <c r="I91" i="2"/>
  <c r="L91" i="2"/>
  <c r="Y61" i="2"/>
  <c r="S55" i="2"/>
  <c r="G48" i="2"/>
  <c r="AE43" i="2"/>
  <c r="M25" i="2"/>
  <c r="AE119" i="2"/>
  <c r="AE115" i="2"/>
  <c r="AE12" i="2"/>
  <c r="X107" i="2"/>
  <c r="U107" i="2"/>
  <c r="U99" i="2"/>
  <c r="X99" i="2"/>
  <c r="U91" i="2"/>
  <c r="X91" i="2"/>
  <c r="S85" i="2"/>
  <c r="AE73" i="2"/>
  <c r="M55" i="2"/>
  <c r="G38" i="2"/>
  <c r="Y27" i="2"/>
  <c r="S21" i="2"/>
  <c r="AE9" i="2"/>
  <c r="X132" i="2"/>
  <c r="U132" i="2"/>
  <c r="AE125" i="2"/>
  <c r="Y121" i="2"/>
  <c r="Y117" i="2"/>
  <c r="Y113" i="2"/>
  <c r="F111" i="2"/>
  <c r="G81" i="2"/>
  <c r="S64" i="2"/>
  <c r="AE52" i="2"/>
  <c r="M34" i="2"/>
  <c r="G17" i="2"/>
  <c r="G74" i="2"/>
  <c r="F128" i="2"/>
  <c r="C128" i="2"/>
  <c r="B106" i="2"/>
  <c r="I102" i="1"/>
  <c r="B98" i="2"/>
  <c r="I94" i="1"/>
  <c r="B90" i="2"/>
  <c r="I86" i="1"/>
  <c r="G84" i="2"/>
  <c r="Y73" i="2"/>
  <c r="S67" i="2"/>
  <c r="AE55" i="2"/>
  <c r="M37" i="2"/>
  <c r="G20" i="2"/>
  <c r="Y9" i="2"/>
  <c r="M8" i="2"/>
  <c r="S49" i="2"/>
  <c r="M11" i="2"/>
  <c r="AV109" i="2"/>
  <c r="AS109" i="2"/>
  <c r="AV94" i="2"/>
  <c r="AS94" i="2"/>
  <c r="AV98" i="2"/>
  <c r="AS98" i="2"/>
  <c r="AV99" i="2"/>
  <c r="AS99" i="2"/>
  <c r="AV101" i="2"/>
  <c r="AS101" i="2"/>
  <c r="AV102" i="2"/>
  <c r="AW102" i="2" s="1"/>
  <c r="AS102" i="2"/>
  <c r="AV90" i="2"/>
  <c r="AS90" i="2"/>
  <c r="AV75" i="2"/>
  <c r="AS75" i="2"/>
  <c r="AV20" i="2"/>
  <c r="AS20" i="2"/>
  <c r="AS84" i="2"/>
  <c r="AV84" i="2"/>
  <c r="AV7" i="2"/>
  <c r="AT7" i="2"/>
  <c r="AR5" i="2"/>
  <c r="AV71" i="2"/>
  <c r="AS71" i="2"/>
  <c r="AS135" i="2"/>
  <c r="AV135" i="2"/>
  <c r="AV56" i="2"/>
  <c r="AS56" i="2"/>
  <c r="AV120" i="2"/>
  <c r="AS120" i="2"/>
  <c r="AS41" i="2"/>
  <c r="AV41" i="2"/>
  <c r="AV105" i="2"/>
  <c r="AS105" i="2"/>
  <c r="AE108" i="2"/>
  <c r="L129" i="2"/>
  <c r="I129" i="2"/>
  <c r="X127" i="2"/>
  <c r="U127" i="2"/>
  <c r="O112" i="2"/>
  <c r="R112" i="2"/>
  <c r="S112" i="2" s="1"/>
  <c r="L106" i="2"/>
  <c r="I106" i="2"/>
  <c r="I98" i="2"/>
  <c r="L98" i="2"/>
  <c r="I90" i="2"/>
  <c r="L90" i="2"/>
  <c r="AE83" i="2"/>
  <c r="S71" i="2"/>
  <c r="M65" i="2"/>
  <c r="Y37" i="2"/>
  <c r="S31" i="2"/>
  <c r="AE19" i="2"/>
  <c r="P7" i="2"/>
  <c r="AE131" i="2"/>
  <c r="M68" i="2"/>
  <c r="G51" i="2"/>
  <c r="AE22" i="2"/>
  <c r="X106" i="2"/>
  <c r="U106" i="2"/>
  <c r="U98" i="2"/>
  <c r="X98" i="2"/>
  <c r="U90" i="2"/>
  <c r="X90" i="2"/>
  <c r="G78" i="2"/>
  <c r="Y67" i="2"/>
  <c r="S61" i="2"/>
  <c r="AE49" i="2"/>
  <c r="M31" i="2"/>
  <c r="G14" i="2"/>
  <c r="AF143" i="2"/>
  <c r="AF141" i="2"/>
  <c r="AF133" i="2"/>
  <c r="AF125" i="2"/>
  <c r="AF117" i="2"/>
  <c r="AF109" i="2"/>
  <c r="AF101" i="2"/>
  <c r="AF93" i="2"/>
  <c r="AF85" i="2"/>
  <c r="AF77" i="2"/>
  <c r="AF69" i="2"/>
  <c r="AF61" i="2"/>
  <c r="AF53" i="2"/>
  <c r="AF45" i="2"/>
  <c r="AF37" i="2"/>
  <c r="AF29" i="2"/>
  <c r="AF21" i="2"/>
  <c r="AF13" i="2"/>
  <c r="AF140" i="2"/>
  <c r="AF132" i="2"/>
  <c r="AF124" i="2"/>
  <c r="AF116" i="2"/>
  <c r="AF108" i="2"/>
  <c r="AF100" i="2"/>
  <c r="AF92" i="2"/>
  <c r="AF84" i="2"/>
  <c r="AF76" i="2"/>
  <c r="AF68" i="2"/>
  <c r="AF60" i="2"/>
  <c r="AF52" i="2"/>
  <c r="AF44" i="2"/>
  <c r="AF36" i="2"/>
  <c r="AF28" i="2"/>
  <c r="AF20" i="2"/>
  <c r="AF12" i="2"/>
  <c r="AF139" i="2"/>
  <c r="AF131" i="2"/>
  <c r="AF123" i="2"/>
  <c r="AF115" i="2"/>
  <c r="AF107" i="2"/>
  <c r="AF99" i="2"/>
  <c r="AF91" i="2"/>
  <c r="AF83" i="2"/>
  <c r="AF75" i="2"/>
  <c r="AF67" i="2"/>
  <c r="AF59" i="2"/>
  <c r="AF51" i="2"/>
  <c r="AF43" i="2"/>
  <c r="AF35" i="2"/>
  <c r="AF27" i="2"/>
  <c r="AF19" i="2"/>
  <c r="AF11" i="2"/>
  <c r="AF138" i="2"/>
  <c r="AF130" i="2"/>
  <c r="AF122" i="2"/>
  <c r="AF114" i="2"/>
  <c r="AF106" i="2"/>
  <c r="AF98" i="2"/>
  <c r="AF90" i="2"/>
  <c r="AF82" i="2"/>
  <c r="AF74" i="2"/>
  <c r="AF66" i="2"/>
  <c r="AF58" i="2"/>
  <c r="AF50" i="2"/>
  <c r="AF42" i="2"/>
  <c r="AF34" i="2"/>
  <c r="AF26" i="2"/>
  <c r="AF18" i="2"/>
  <c r="AF10" i="2"/>
  <c r="AF146" i="2"/>
  <c r="AF137" i="2"/>
  <c r="AF129" i="2"/>
  <c r="AF121" i="2"/>
  <c r="AF113" i="2"/>
  <c r="AF105" i="2"/>
  <c r="AF97" i="2"/>
  <c r="AF89" i="2"/>
  <c r="AF81" i="2"/>
  <c r="AF73" i="2"/>
  <c r="AF65" i="2"/>
  <c r="AF57" i="2"/>
  <c r="AF49" i="2"/>
  <c r="AF41" i="2"/>
  <c r="AF33" i="2"/>
  <c r="AF25" i="2"/>
  <c r="AF17" i="2"/>
  <c r="AF9" i="2"/>
  <c r="AF145" i="2"/>
  <c r="AF136" i="2"/>
  <c r="AF128" i="2"/>
  <c r="AF120" i="2"/>
  <c r="AF112" i="2"/>
  <c r="AF104" i="2"/>
  <c r="AF96" i="2"/>
  <c r="AF88" i="2"/>
  <c r="AF80" i="2"/>
  <c r="AF72" i="2"/>
  <c r="AF64" i="2"/>
  <c r="AF56" i="2"/>
  <c r="AF48" i="2"/>
  <c r="AF40" i="2"/>
  <c r="AF32" i="2"/>
  <c r="AF24" i="2"/>
  <c r="AF16" i="2"/>
  <c r="AF8" i="2"/>
  <c r="AF144" i="2"/>
  <c r="AF135" i="2"/>
  <c r="AF127" i="2"/>
  <c r="AF119" i="2"/>
  <c r="AF111" i="2"/>
  <c r="AF103" i="2"/>
  <c r="AF95" i="2"/>
  <c r="AF87" i="2"/>
  <c r="AF79" i="2"/>
  <c r="AF71" i="2"/>
  <c r="AF63" i="2"/>
  <c r="AF55" i="2"/>
  <c r="AF47" i="2"/>
  <c r="AF39" i="2"/>
  <c r="AF31" i="2"/>
  <c r="AF23" i="2"/>
  <c r="AF15" i="2"/>
  <c r="AF7" i="2"/>
  <c r="AF142" i="2"/>
  <c r="AF134" i="2"/>
  <c r="AF126" i="2"/>
  <c r="AF118" i="2"/>
  <c r="AF110" i="2"/>
  <c r="AF102" i="2"/>
  <c r="AF94" i="2"/>
  <c r="AF86" i="2"/>
  <c r="AF78" i="2"/>
  <c r="AF70" i="2"/>
  <c r="AF62" i="2"/>
  <c r="AF54" i="2"/>
  <c r="AF46" i="2"/>
  <c r="AF38" i="2"/>
  <c r="AF30" i="2"/>
  <c r="AF22" i="2"/>
  <c r="AF14" i="2"/>
  <c r="AE142" i="2"/>
  <c r="X124" i="2"/>
  <c r="Y124" i="2" s="1"/>
  <c r="U124" i="2"/>
  <c r="Y86" i="2"/>
  <c r="M74" i="2"/>
  <c r="G57" i="2"/>
  <c r="Y46" i="2"/>
  <c r="S40" i="2"/>
  <c r="AE28" i="2"/>
  <c r="AE134" i="2"/>
  <c r="B105" i="2"/>
  <c r="I101" i="1"/>
  <c r="B97" i="2"/>
  <c r="I93" i="1"/>
  <c r="B89" i="2"/>
  <c r="I85" i="1"/>
  <c r="M77" i="2"/>
  <c r="AE71" i="2"/>
  <c r="G60" i="2"/>
  <c r="Y49" i="2"/>
  <c r="S43" i="2"/>
  <c r="AE31" i="2"/>
  <c r="M13" i="2"/>
  <c r="Z5" i="2"/>
  <c r="V7" i="2"/>
  <c r="AV125" i="2"/>
  <c r="AS125" i="2"/>
  <c r="AV110" i="2"/>
  <c r="AW110" i="2" s="1"/>
  <c r="AS110" i="2"/>
  <c r="AV114" i="2"/>
  <c r="AS114" i="2"/>
  <c r="AV115" i="2"/>
  <c r="AW115" i="2" s="1"/>
  <c r="AS115" i="2"/>
  <c r="AV117" i="2"/>
  <c r="AS117" i="2"/>
  <c r="AV118" i="2"/>
  <c r="AS118" i="2"/>
  <c r="AV106" i="2"/>
  <c r="AW106" i="2" s="1"/>
  <c r="AS106" i="2"/>
  <c r="AV91" i="2"/>
  <c r="AW91" i="2" s="1"/>
  <c r="AS91" i="2"/>
  <c r="AV28" i="2"/>
  <c r="AS28" i="2"/>
  <c r="AV92" i="2"/>
  <c r="AS92" i="2"/>
  <c r="AV15" i="2"/>
  <c r="AS15" i="2"/>
  <c r="AV79" i="2"/>
  <c r="AS79" i="2"/>
  <c r="AS143" i="2"/>
  <c r="AV143" i="2"/>
  <c r="AV64" i="2"/>
  <c r="AS64" i="2"/>
  <c r="AV128" i="2"/>
  <c r="AS128" i="2"/>
  <c r="AV49" i="2"/>
  <c r="AS49" i="2"/>
  <c r="AV113" i="2"/>
  <c r="AS113" i="2"/>
  <c r="AE95" i="2"/>
  <c r="L145" i="2"/>
  <c r="I145" i="2"/>
  <c r="X141" i="2"/>
  <c r="U141" i="2"/>
  <c r="R141" i="2"/>
  <c r="O141" i="2"/>
  <c r="L144" i="2"/>
  <c r="I144" i="2"/>
  <c r="L136" i="2"/>
  <c r="I136" i="2"/>
  <c r="L128" i="2"/>
  <c r="I128" i="2"/>
  <c r="L121" i="2"/>
  <c r="I121" i="2"/>
  <c r="L117" i="2"/>
  <c r="I117" i="2"/>
  <c r="AE144" i="2"/>
  <c r="F131" i="2"/>
  <c r="C131" i="2"/>
  <c r="S127" i="2"/>
  <c r="F121" i="2"/>
  <c r="C121" i="2"/>
  <c r="C117" i="2"/>
  <c r="F117" i="2"/>
  <c r="AA111" i="2"/>
  <c r="AD111" i="2"/>
  <c r="AE111" i="2" s="1"/>
  <c r="L105" i="2"/>
  <c r="I105" i="2"/>
  <c r="I97" i="2"/>
  <c r="L97" i="2"/>
  <c r="I89" i="2"/>
  <c r="L89" i="2"/>
  <c r="Y77" i="2"/>
  <c r="AE59" i="2"/>
  <c r="M41" i="2"/>
  <c r="G24" i="2"/>
  <c r="Y13" i="2"/>
  <c r="X130" i="2"/>
  <c r="U130" i="2"/>
  <c r="Y16" i="2"/>
  <c r="X105" i="2"/>
  <c r="U105" i="2"/>
  <c r="U97" i="2"/>
  <c r="X97" i="2"/>
  <c r="U89" i="2"/>
  <c r="X89" i="2"/>
  <c r="M71" i="2"/>
  <c r="G54" i="2"/>
  <c r="Y43" i="2"/>
  <c r="S37" i="2"/>
  <c r="AE25" i="2"/>
  <c r="AA112" i="2"/>
  <c r="S80" i="2"/>
  <c r="AE68" i="2"/>
  <c r="M50" i="2"/>
  <c r="G33" i="2"/>
  <c r="Y22" i="2"/>
  <c r="S16" i="2"/>
  <c r="AE126" i="2"/>
  <c r="B104" i="2"/>
  <c r="I100" i="1"/>
  <c r="B96" i="2"/>
  <c r="I92" i="1"/>
  <c r="B88" i="2"/>
  <c r="I84" i="1"/>
  <c r="S83" i="2"/>
  <c r="M53" i="2"/>
  <c r="G36" i="2"/>
  <c r="Y25" i="2"/>
  <c r="S19" i="2"/>
  <c r="Y79" i="2"/>
  <c r="Y39" i="2"/>
  <c r="S109" i="2"/>
  <c r="AV13" i="2"/>
  <c r="AS13" i="2"/>
  <c r="AS146" i="2"/>
  <c r="AV146" i="2"/>
  <c r="AV126" i="2"/>
  <c r="AW126" i="2" s="1"/>
  <c r="AS126" i="2"/>
  <c r="AV130" i="2"/>
  <c r="AS130" i="2"/>
  <c r="AV133" i="2"/>
  <c r="AS133" i="2"/>
  <c r="AS134" i="2"/>
  <c r="AV134" i="2"/>
  <c r="AW134" i="2" s="1"/>
  <c r="AS138" i="2"/>
  <c r="AV138" i="2"/>
  <c r="AV122" i="2"/>
  <c r="AS122" i="2"/>
  <c r="AV107" i="2"/>
  <c r="AW107" i="2" s="1"/>
  <c r="AS107" i="2"/>
  <c r="AS36" i="2"/>
  <c r="AV36" i="2"/>
  <c r="AV100" i="2"/>
  <c r="AW100" i="2" s="1"/>
  <c r="AS100" i="2"/>
  <c r="AV23" i="2"/>
  <c r="AS23" i="2"/>
  <c r="AV87" i="2"/>
  <c r="AS87" i="2"/>
  <c r="AV8" i="2"/>
  <c r="AW8" i="2" s="1"/>
  <c r="AS8" i="2"/>
  <c r="AV72" i="2"/>
  <c r="AW72" i="2" s="1"/>
  <c r="AS72" i="2"/>
  <c r="AS136" i="2"/>
  <c r="AV136" i="2"/>
  <c r="AW136" i="2" s="1"/>
  <c r="AV57" i="2"/>
  <c r="AW57" i="2" s="1"/>
  <c r="AS57" i="2"/>
  <c r="AV121" i="2"/>
  <c r="AW121" i="2" s="1"/>
  <c r="AS121" i="2"/>
  <c r="AE105" i="2"/>
  <c r="AE100" i="2"/>
  <c r="AE101" i="2"/>
  <c r="R142" i="2"/>
  <c r="S142" i="2" s="1"/>
  <c r="O142" i="2"/>
  <c r="L137" i="2"/>
  <c r="M137" i="2" s="1"/>
  <c r="I137" i="2"/>
  <c r="X137" i="2"/>
  <c r="U137" i="2"/>
  <c r="F129" i="2"/>
  <c r="G129" i="2" s="1"/>
  <c r="C129" i="2"/>
  <c r="R140" i="2"/>
  <c r="O140" i="2"/>
  <c r="L143" i="2"/>
  <c r="I143" i="2"/>
  <c r="L135" i="2"/>
  <c r="I135" i="2"/>
  <c r="L127" i="2"/>
  <c r="I127" i="2"/>
  <c r="X144" i="2"/>
  <c r="U144" i="2"/>
  <c r="U140" i="2"/>
  <c r="X140" i="2"/>
  <c r="X136" i="2"/>
  <c r="U136" i="2"/>
  <c r="S122" i="2"/>
  <c r="S99" i="2"/>
  <c r="S95" i="2"/>
  <c r="S91" i="2"/>
  <c r="G11" i="2"/>
  <c r="G5" i="2" s="1"/>
  <c r="F132" i="2"/>
  <c r="G132" i="2" s="1"/>
  <c r="C132" i="2"/>
  <c r="L111" i="2"/>
  <c r="M111" i="2" s="1"/>
  <c r="I111" i="2"/>
  <c r="I104" i="2"/>
  <c r="L104" i="2"/>
  <c r="I96" i="2"/>
  <c r="L96" i="2"/>
  <c r="I88" i="2"/>
  <c r="L88" i="2"/>
  <c r="M81" i="2"/>
  <c r="G64" i="2"/>
  <c r="Y53" i="2"/>
  <c r="S47" i="2"/>
  <c r="AE35" i="2"/>
  <c r="M17" i="2"/>
  <c r="N5" i="2"/>
  <c r="AE137" i="2"/>
  <c r="AE122" i="2"/>
  <c r="G67" i="2"/>
  <c r="Y56" i="2"/>
  <c r="M20" i="2"/>
  <c r="S129" i="2"/>
  <c r="X104" i="2"/>
  <c r="U104" i="2"/>
  <c r="U96" i="2"/>
  <c r="X96" i="2"/>
  <c r="U88" i="2"/>
  <c r="X88" i="2"/>
  <c r="Y83" i="2"/>
  <c r="S77" i="2"/>
  <c r="G70" i="2"/>
  <c r="AE65" i="2"/>
  <c r="M47" i="2"/>
  <c r="G30" i="2"/>
  <c r="Y19" i="2"/>
  <c r="S13" i="2"/>
  <c r="M10" i="2"/>
  <c r="AE138" i="2"/>
  <c r="I112" i="2"/>
  <c r="G73" i="2"/>
  <c r="Y62" i="2"/>
  <c r="S56" i="2"/>
  <c r="AE44" i="2"/>
  <c r="M26" i="2"/>
  <c r="X133" i="2"/>
  <c r="Y133" i="2" s="1"/>
  <c r="U133" i="2"/>
  <c r="X125" i="2"/>
  <c r="Y125" i="2" s="1"/>
  <c r="U125" i="2"/>
  <c r="B103" i="2"/>
  <c r="I99" i="1"/>
  <c r="B95" i="2"/>
  <c r="I91" i="1"/>
  <c r="G76" i="2"/>
  <c r="Y65" i="2"/>
  <c r="S59" i="2"/>
  <c r="AE47" i="2"/>
  <c r="M29" i="2"/>
  <c r="G12" i="2"/>
  <c r="AV29" i="2"/>
  <c r="AW29" i="2" s="1"/>
  <c r="AS29" i="2"/>
  <c r="AV14" i="2"/>
  <c r="AW14" i="2" s="1"/>
  <c r="AS14" i="2"/>
  <c r="AV18" i="2"/>
  <c r="AS18" i="2"/>
  <c r="AV19" i="2"/>
  <c r="AW19" i="2" s="1"/>
  <c r="AS19" i="2"/>
  <c r="AV21" i="2"/>
  <c r="AW21" i="2" s="1"/>
  <c r="AS21" i="2"/>
  <c r="AV22" i="2"/>
  <c r="AW22" i="2" s="1"/>
  <c r="AS22" i="2"/>
  <c r="AV10" i="2"/>
  <c r="AS10" i="2"/>
  <c r="AS141" i="2"/>
  <c r="AV141" i="2"/>
  <c r="AV123" i="2"/>
  <c r="AW123" i="2" s="1"/>
  <c r="AS123" i="2"/>
  <c r="AV44" i="2"/>
  <c r="AS44" i="2"/>
  <c r="AV108" i="2"/>
  <c r="AW108" i="2" s="1"/>
  <c r="AS108" i="2"/>
  <c r="AV31" i="2"/>
  <c r="AW31" i="2" s="1"/>
  <c r="AS31" i="2"/>
  <c r="AV95" i="2"/>
  <c r="AW95" i="2" s="1"/>
  <c r="AS95" i="2"/>
  <c r="AV16" i="2"/>
  <c r="AW16" i="2" s="1"/>
  <c r="AS16" i="2"/>
  <c r="AV80" i="2"/>
  <c r="AW80" i="2" s="1"/>
  <c r="AS80" i="2"/>
  <c r="AS144" i="2"/>
  <c r="AV144" i="2"/>
  <c r="AW144" i="2" s="1"/>
  <c r="AV65" i="2"/>
  <c r="AW65" i="2" s="1"/>
  <c r="AS65" i="2"/>
  <c r="AV129" i="2"/>
  <c r="AW129" i="2" s="1"/>
  <c r="AS129" i="2"/>
  <c r="AE87" i="2"/>
  <c r="X145" i="2"/>
  <c r="Y145" i="2" s="1"/>
  <c r="U145" i="2"/>
  <c r="G144" i="2"/>
  <c r="G140" i="2"/>
  <c r="R139" i="2"/>
  <c r="O139" i="2"/>
  <c r="L142" i="2"/>
  <c r="I142" i="2"/>
  <c r="L134" i="2"/>
  <c r="I134" i="2"/>
  <c r="L126" i="2"/>
  <c r="I126" i="2"/>
  <c r="X134" i="2"/>
  <c r="Y134" i="2" s="1"/>
  <c r="U134" i="2"/>
  <c r="X126" i="2"/>
  <c r="Y126" i="2" s="1"/>
  <c r="U126" i="2"/>
  <c r="S117" i="2"/>
  <c r="S113" i="2"/>
  <c r="S106" i="2"/>
  <c r="S102" i="2"/>
  <c r="S133" i="2"/>
  <c r="L120" i="2"/>
  <c r="I120" i="2"/>
  <c r="L116" i="2"/>
  <c r="I116" i="2"/>
  <c r="AE140" i="2"/>
  <c r="AE129" i="2"/>
  <c r="F124" i="2"/>
  <c r="C124" i="2"/>
  <c r="C120" i="2"/>
  <c r="F120" i="2"/>
  <c r="C116" i="2"/>
  <c r="F116" i="2"/>
  <c r="L103" i="2"/>
  <c r="I103" i="2"/>
  <c r="I95" i="2"/>
  <c r="L95" i="2"/>
  <c r="I87" i="2"/>
  <c r="L87" i="2"/>
  <c r="M87" i="2" s="1"/>
  <c r="AE75" i="2"/>
  <c r="M57" i="2"/>
  <c r="G40" i="2"/>
  <c r="Y29" i="2"/>
  <c r="S23" i="2"/>
  <c r="R136" i="2"/>
  <c r="S136" i="2" s="1"/>
  <c r="O136" i="2"/>
  <c r="AE117" i="2"/>
  <c r="M60" i="2"/>
  <c r="Y32" i="2"/>
  <c r="S26" i="2"/>
  <c r="F134" i="2"/>
  <c r="C134" i="2"/>
  <c r="O110" i="2"/>
  <c r="R110" i="2"/>
  <c r="S110" i="2" s="1"/>
  <c r="X103" i="2"/>
  <c r="U103" i="2"/>
  <c r="U95" i="2"/>
  <c r="X95" i="2"/>
  <c r="U87" i="2"/>
  <c r="U5" i="2" s="1"/>
  <c r="X87" i="2"/>
  <c r="Y87" i="2" s="1"/>
  <c r="Y59" i="2"/>
  <c r="S53" i="2"/>
  <c r="G46" i="2"/>
  <c r="AE41" i="2"/>
  <c r="M23" i="2"/>
  <c r="S130" i="2"/>
  <c r="M112" i="2"/>
  <c r="AE84" i="2"/>
  <c r="M66" i="2"/>
  <c r="G49" i="2"/>
  <c r="Y38" i="2"/>
  <c r="S32" i="2"/>
  <c r="AE20" i="2"/>
  <c r="Y14" i="2"/>
  <c r="B102" i="2"/>
  <c r="I98" i="1"/>
  <c r="B94" i="2"/>
  <c r="I90" i="1"/>
  <c r="B87" i="2"/>
  <c r="I83" i="1"/>
  <c r="M69" i="2"/>
  <c r="G52" i="2"/>
  <c r="Y41" i="2"/>
  <c r="S35" i="2"/>
  <c r="AE23" i="2"/>
  <c r="M75" i="2"/>
  <c r="M27" i="2"/>
  <c r="AV45" i="2"/>
  <c r="AW45" i="2" s="1"/>
  <c r="AS45" i="2"/>
  <c r="AV30" i="2"/>
  <c r="AW30" i="2" s="1"/>
  <c r="AS30" i="2"/>
  <c r="AV34" i="2"/>
  <c r="AS34" i="2"/>
  <c r="AS35" i="2"/>
  <c r="AV35" i="2"/>
  <c r="AW35" i="2" s="1"/>
  <c r="AS37" i="2"/>
  <c r="AV37" i="2"/>
  <c r="AW37" i="2" s="1"/>
  <c r="AS38" i="2"/>
  <c r="AV38" i="2"/>
  <c r="AV26" i="2"/>
  <c r="AS26" i="2"/>
  <c r="AV11" i="2"/>
  <c r="AW11" i="2" s="1"/>
  <c r="AS11" i="2"/>
  <c r="AS142" i="2"/>
  <c r="AV142" i="2"/>
  <c r="AW142" i="2" s="1"/>
  <c r="AV52" i="2"/>
  <c r="AS52" i="2"/>
  <c r="AV116" i="2"/>
  <c r="AW116" i="2" s="1"/>
  <c r="AS116" i="2"/>
  <c r="AS39" i="2"/>
  <c r="AV39" i="2"/>
  <c r="AW39" i="2" s="1"/>
  <c r="AV103" i="2"/>
  <c r="AW103" i="2" s="1"/>
  <c r="AS103" i="2"/>
  <c r="AV24" i="2"/>
  <c r="AW24" i="2" s="1"/>
  <c r="AS24" i="2"/>
  <c r="AV88" i="2"/>
  <c r="AW88" i="2" s="1"/>
  <c r="AS88" i="2"/>
  <c r="AV9" i="2"/>
  <c r="AW9" i="2" s="1"/>
  <c r="AS9" i="2"/>
  <c r="AV73" i="2"/>
  <c r="AW73" i="2" s="1"/>
  <c r="AS73" i="2"/>
  <c r="AS137" i="2"/>
  <c r="AV137" i="2"/>
  <c r="AW137" i="2" s="1"/>
  <c r="I141" i="2"/>
  <c r="L141" i="2"/>
  <c r="X143" i="2"/>
  <c r="U143" i="2"/>
  <c r="S125" i="2"/>
  <c r="X128" i="2"/>
  <c r="Y128" i="2" s="1"/>
  <c r="U128" i="2"/>
  <c r="Y110" i="2"/>
  <c r="L102" i="2"/>
  <c r="I102" i="2"/>
  <c r="I94" i="2"/>
  <c r="L94" i="2"/>
  <c r="G80" i="2"/>
  <c r="Y69" i="2"/>
  <c r="S63" i="2"/>
  <c r="AE51" i="2"/>
  <c r="M33" i="2"/>
  <c r="G16" i="2"/>
  <c r="AL145" i="2"/>
  <c r="AL137" i="2"/>
  <c r="AL129" i="2"/>
  <c r="AL121" i="2"/>
  <c r="AL113" i="2"/>
  <c r="AL105" i="2"/>
  <c r="AL97" i="2"/>
  <c r="AL144" i="2"/>
  <c r="AL136" i="2"/>
  <c r="AL128" i="2"/>
  <c r="AL120" i="2"/>
  <c r="AL112" i="2"/>
  <c r="AL104" i="2"/>
  <c r="AL96" i="2"/>
  <c r="AL88" i="2"/>
  <c r="AL80" i="2"/>
  <c r="AL143" i="2"/>
  <c r="AL135" i="2"/>
  <c r="AL127" i="2"/>
  <c r="AL119" i="2"/>
  <c r="AL111" i="2"/>
  <c r="AL103" i="2"/>
  <c r="AL95" i="2"/>
  <c r="AL87" i="2"/>
  <c r="AL79" i="2"/>
  <c r="AL71" i="2"/>
  <c r="AL63" i="2"/>
  <c r="AL55" i="2"/>
  <c r="AL47" i="2"/>
  <c r="AL39" i="2"/>
  <c r="AL31" i="2"/>
  <c r="AL23" i="2"/>
  <c r="AL15" i="2"/>
  <c r="AL7" i="2"/>
  <c r="AL140" i="2"/>
  <c r="AL132" i="2"/>
  <c r="AL124" i="2"/>
  <c r="AL116" i="2"/>
  <c r="AL108" i="2"/>
  <c r="AL100" i="2"/>
  <c r="AL92" i="2"/>
  <c r="AL139" i="2"/>
  <c r="AL123" i="2"/>
  <c r="AL107" i="2"/>
  <c r="AL91" i="2"/>
  <c r="AL81" i="2"/>
  <c r="AL70" i="2"/>
  <c r="AL61" i="2"/>
  <c r="AL52" i="2"/>
  <c r="AL43" i="2"/>
  <c r="AL34" i="2"/>
  <c r="AL25" i="2"/>
  <c r="AL16" i="2"/>
  <c r="AL138" i="2"/>
  <c r="AL122" i="2"/>
  <c r="AL106" i="2"/>
  <c r="AL90" i="2"/>
  <c r="AL78" i="2"/>
  <c r="AL69" i="2"/>
  <c r="AL60" i="2"/>
  <c r="AL51" i="2"/>
  <c r="AL42" i="2"/>
  <c r="AL33" i="2"/>
  <c r="AL24" i="2"/>
  <c r="AL14" i="2"/>
  <c r="AL134" i="2"/>
  <c r="AL118" i="2"/>
  <c r="AL102" i="2"/>
  <c r="AL89" i="2"/>
  <c r="AL77" i="2"/>
  <c r="AL68" i="2"/>
  <c r="AL59" i="2"/>
  <c r="AL50" i="2"/>
  <c r="AL41" i="2"/>
  <c r="AL32" i="2"/>
  <c r="AL22" i="2"/>
  <c r="AL13" i="2"/>
  <c r="AL133" i="2"/>
  <c r="AL117" i="2"/>
  <c r="AL101" i="2"/>
  <c r="AL86" i="2"/>
  <c r="AL76" i="2"/>
  <c r="AL67" i="2"/>
  <c r="AL58" i="2"/>
  <c r="AL49" i="2"/>
  <c r="AL40" i="2"/>
  <c r="AL30" i="2"/>
  <c r="AL21" i="2"/>
  <c r="AL12" i="2"/>
  <c r="AL131" i="2"/>
  <c r="AL115" i="2"/>
  <c r="AL99" i="2"/>
  <c r="AL85" i="2"/>
  <c r="AL75" i="2"/>
  <c r="AL66" i="2"/>
  <c r="AL57" i="2"/>
  <c r="AL48" i="2"/>
  <c r="AL38" i="2"/>
  <c r="AL29" i="2"/>
  <c r="AL20" i="2"/>
  <c r="AL11" i="2"/>
  <c r="AL146" i="2"/>
  <c r="AL130" i="2"/>
  <c r="AL114" i="2"/>
  <c r="AL98" i="2"/>
  <c r="AL84" i="2"/>
  <c r="AL74" i="2"/>
  <c r="AL65" i="2"/>
  <c r="AL56" i="2"/>
  <c r="AL46" i="2"/>
  <c r="AL37" i="2"/>
  <c r="AL28" i="2"/>
  <c r="AL19" i="2"/>
  <c r="AL10" i="2"/>
  <c r="AL142" i="2"/>
  <c r="AL126" i="2"/>
  <c r="AL110" i="2"/>
  <c r="AL94" i="2"/>
  <c r="AL83" i="2"/>
  <c r="AL73" i="2"/>
  <c r="AL64" i="2"/>
  <c r="AL54" i="2"/>
  <c r="AL45" i="2"/>
  <c r="AL36" i="2"/>
  <c r="AL27" i="2"/>
  <c r="AL18" i="2"/>
  <c r="AL9" i="2"/>
  <c r="AL141" i="2"/>
  <c r="AL125" i="2"/>
  <c r="AL109" i="2"/>
  <c r="AL93" i="2"/>
  <c r="AL82" i="2"/>
  <c r="AL72" i="2"/>
  <c r="AL62" i="2"/>
  <c r="AL53" i="2"/>
  <c r="AL44" i="2"/>
  <c r="AL35" i="2"/>
  <c r="AL26" i="2"/>
  <c r="AL17" i="2"/>
  <c r="AL8" i="2"/>
  <c r="S128" i="2"/>
  <c r="G83" i="2"/>
  <c r="Y72" i="2"/>
  <c r="M36" i="2"/>
  <c r="F126" i="2"/>
  <c r="C126" i="2"/>
  <c r="AA109" i="2"/>
  <c r="AD109" i="2"/>
  <c r="AE109" i="2" s="1"/>
  <c r="X102" i="2"/>
  <c r="U102" i="2"/>
  <c r="U94" i="2"/>
  <c r="X94" i="2"/>
  <c r="AE81" i="2"/>
  <c r="M63" i="2"/>
  <c r="Y35" i="2"/>
  <c r="S29" i="2"/>
  <c r="AE17" i="2"/>
  <c r="F135" i="2"/>
  <c r="G135" i="2" s="1"/>
  <c r="C135" i="2"/>
  <c r="Y78" i="2"/>
  <c r="S72" i="2"/>
  <c r="AE60" i="2"/>
  <c r="M42" i="2"/>
  <c r="G25" i="2"/>
  <c r="C4" i="3"/>
  <c r="B101" i="2"/>
  <c r="I97" i="1"/>
  <c r="B93" i="2"/>
  <c r="I89" i="1"/>
  <c r="M85" i="2"/>
  <c r="Y81" i="2"/>
  <c r="S75" i="2"/>
  <c r="AE63" i="2"/>
  <c r="M45" i="2"/>
  <c r="G28" i="2"/>
  <c r="Y17" i="2"/>
  <c r="S11" i="2"/>
  <c r="AV61" i="2"/>
  <c r="AS61" i="2"/>
  <c r="AV46" i="2"/>
  <c r="AW46" i="2" s="1"/>
  <c r="AS46" i="2"/>
  <c r="AV50" i="2"/>
  <c r="AW50" i="2" s="1"/>
  <c r="AS50" i="2"/>
  <c r="AV51" i="2"/>
  <c r="AW51" i="2" s="1"/>
  <c r="AS51" i="2"/>
  <c r="AV53" i="2"/>
  <c r="AW53" i="2" s="1"/>
  <c r="AS53" i="2"/>
  <c r="AV54" i="2"/>
  <c r="AW54" i="2" s="1"/>
  <c r="AS54" i="2"/>
  <c r="AS42" i="2"/>
  <c r="AV42" i="2"/>
  <c r="AW42" i="2" s="1"/>
  <c r="AV27" i="2"/>
  <c r="AW27" i="2" s="1"/>
  <c r="AS27" i="2"/>
  <c r="AV131" i="2"/>
  <c r="AW131" i="2" s="1"/>
  <c r="AS131" i="2"/>
  <c r="AV60" i="2"/>
  <c r="AS60" i="2"/>
  <c r="AV124" i="2"/>
  <c r="AW124" i="2" s="1"/>
  <c r="AS124" i="2"/>
  <c r="AV47" i="2"/>
  <c r="AW47" i="2" s="1"/>
  <c r="AS47" i="2"/>
  <c r="AV111" i="2"/>
  <c r="AW111" i="2" s="1"/>
  <c r="AS111" i="2"/>
  <c r="AV32" i="2"/>
  <c r="AW32" i="2" s="1"/>
  <c r="AS32" i="2"/>
  <c r="AV96" i="2"/>
  <c r="AW96" i="2" s="1"/>
  <c r="AS96" i="2"/>
  <c r="AV17" i="2"/>
  <c r="AW17" i="2" s="1"/>
  <c r="AS17" i="2"/>
  <c r="AV81" i="2"/>
  <c r="AW81" i="2" s="1"/>
  <c r="AS81" i="2"/>
  <c r="AS145" i="2"/>
  <c r="AV145" i="2"/>
  <c r="AW145" i="2" s="1"/>
  <c r="AE97" i="2"/>
  <c r="AE92" i="2"/>
  <c r="AE93" i="2"/>
  <c r="G6" i="3"/>
  <c r="R146" i="2"/>
  <c r="O146" i="2"/>
  <c r="L133" i="2"/>
  <c r="I133" i="2"/>
  <c r="X139" i="2"/>
  <c r="U139" i="2"/>
  <c r="G143" i="2"/>
  <c r="G139" i="2"/>
  <c r="R145" i="2"/>
  <c r="O145" i="2"/>
  <c r="R137" i="2"/>
  <c r="S137" i="2" s="1"/>
  <c r="O137" i="2"/>
  <c r="O5" i="2" s="1"/>
  <c r="I140" i="2"/>
  <c r="L140" i="2"/>
  <c r="L132" i="2"/>
  <c r="I132" i="2"/>
  <c r="L124" i="2"/>
  <c r="I124" i="2"/>
  <c r="S120" i="2"/>
  <c r="S116" i="2"/>
  <c r="S111" i="2"/>
  <c r="S105" i="2"/>
  <c r="S101" i="2"/>
  <c r="F130" i="2"/>
  <c r="G130" i="2" s="1"/>
  <c r="C130" i="2"/>
  <c r="L123" i="2"/>
  <c r="M123" i="2" s="1"/>
  <c r="I123" i="2"/>
  <c r="L119" i="2"/>
  <c r="M119" i="2" s="1"/>
  <c r="I119" i="2"/>
  <c r="L115" i="2"/>
  <c r="M115" i="2" s="1"/>
  <c r="I115" i="2"/>
  <c r="AE136" i="2"/>
  <c r="C6" i="3"/>
  <c r="AA5" i="2"/>
  <c r="J7" i="2"/>
  <c r="X129" i="2"/>
  <c r="Y129" i="2" s="1"/>
  <c r="U129" i="2"/>
  <c r="F123" i="2"/>
  <c r="G123" i="2" s="1"/>
  <c r="C123" i="2"/>
  <c r="C119" i="2"/>
  <c r="F119" i="2"/>
  <c r="G119" i="2" s="1"/>
  <c r="C115" i="2"/>
  <c r="F115" i="2"/>
  <c r="G115" i="2" s="1"/>
  <c r="B110" i="2"/>
  <c r="C111" i="2" s="1"/>
  <c r="I106" i="1"/>
  <c r="L101" i="2"/>
  <c r="I101" i="2"/>
  <c r="I93" i="2"/>
  <c r="L93" i="2"/>
  <c r="Y85" i="2"/>
  <c r="M73" i="2"/>
  <c r="G56" i="2"/>
  <c r="Y45" i="2"/>
  <c r="S39" i="2"/>
  <c r="AE27" i="2"/>
  <c r="G59" i="2"/>
  <c r="Y48" i="2"/>
  <c r="S42" i="2"/>
  <c r="AE132" i="2"/>
  <c r="L109" i="2"/>
  <c r="I109" i="2"/>
  <c r="X101" i="2"/>
  <c r="U101" i="2"/>
  <c r="U93" i="2"/>
  <c r="X93" i="2"/>
  <c r="G86" i="2"/>
  <c r="Y75" i="2"/>
  <c r="S69" i="2"/>
  <c r="AE57" i="2"/>
  <c r="M39" i="2"/>
  <c r="G22" i="2"/>
  <c r="Y11" i="2"/>
  <c r="C5" i="3" s="1"/>
  <c r="F127" i="2"/>
  <c r="G127" i="2" s="1"/>
  <c r="C127" i="2"/>
  <c r="Y111" i="2"/>
  <c r="M82" i="2"/>
  <c r="G65" i="2"/>
  <c r="Y54" i="2"/>
  <c r="S48" i="2"/>
  <c r="AE36" i="2"/>
  <c r="M18" i="2"/>
  <c r="S8" i="2"/>
  <c r="S131" i="2"/>
  <c r="B108" i="2"/>
  <c r="I104" i="1"/>
  <c r="B100" i="2"/>
  <c r="I96" i="1"/>
  <c r="B92" i="2"/>
  <c r="I88" i="1"/>
  <c r="G68" i="2"/>
  <c r="Y57" i="2"/>
  <c r="S51" i="2"/>
  <c r="AE39" i="2"/>
  <c r="M21" i="2"/>
  <c r="Y63" i="2"/>
  <c r="S17" i="2"/>
  <c r="AV77" i="2"/>
  <c r="AS77" i="2"/>
  <c r="AV62" i="2"/>
  <c r="AW62" i="2" s="1"/>
  <c r="AS62" i="2"/>
  <c r="AV66" i="2"/>
  <c r="AW66" i="2" s="1"/>
  <c r="AS66" i="2"/>
  <c r="AV67" i="2"/>
  <c r="AW67" i="2" s="1"/>
  <c r="AS67" i="2"/>
  <c r="AV69" i="2"/>
  <c r="AS69" i="2"/>
  <c r="AV70" i="2"/>
  <c r="AW70" i="2" s="1"/>
  <c r="AS70" i="2"/>
  <c r="AV58" i="2"/>
  <c r="AW58" i="2" s="1"/>
  <c r="AS58" i="2"/>
  <c r="AS43" i="2"/>
  <c r="AV43" i="2"/>
  <c r="AW43" i="2" s="1"/>
  <c r="AS139" i="2"/>
  <c r="AV139" i="2"/>
  <c r="AW139" i="2" s="1"/>
  <c r="AV68" i="2"/>
  <c r="AW68" i="2" s="1"/>
  <c r="AS68" i="2"/>
  <c r="AV132" i="2"/>
  <c r="AW132" i="2" s="1"/>
  <c r="AS132" i="2"/>
  <c r="AV55" i="2"/>
  <c r="AW55" i="2" s="1"/>
  <c r="AS55" i="2"/>
  <c r="AV119" i="2"/>
  <c r="AW119" i="2" s="1"/>
  <c r="AS119" i="2"/>
  <c r="AS40" i="2"/>
  <c r="AV40" i="2"/>
  <c r="AW40" i="2" s="1"/>
  <c r="AV104" i="2"/>
  <c r="AW104" i="2" s="1"/>
  <c r="AS104" i="2"/>
  <c r="AV25" i="2"/>
  <c r="AW25" i="2" s="1"/>
  <c r="AS25" i="2"/>
  <c r="AV89" i="2"/>
  <c r="AW89" i="2" s="1"/>
  <c r="AS89" i="2"/>
  <c r="AE103" i="2"/>
  <c r="R138" i="2"/>
  <c r="S138" i="2" s="1"/>
  <c r="O138" i="2"/>
  <c r="L125" i="2"/>
  <c r="M125" i="2" s="1"/>
  <c r="I125" i="2"/>
  <c r="X135" i="2"/>
  <c r="Y135" i="2" s="1"/>
  <c r="U135" i="2"/>
  <c r="R144" i="2"/>
  <c r="S144" i="2" s="1"/>
  <c r="O144" i="2"/>
  <c r="L139" i="2"/>
  <c r="M139" i="2" s="1"/>
  <c r="I139" i="2"/>
  <c r="L131" i="2"/>
  <c r="M131" i="2" s="1"/>
  <c r="I131" i="2"/>
  <c r="X146" i="2"/>
  <c r="Y146" i="2" s="1"/>
  <c r="U146" i="2"/>
  <c r="X142" i="2"/>
  <c r="Y142" i="2" s="1"/>
  <c r="U142" i="2"/>
  <c r="X138" i="2"/>
  <c r="Y138" i="2" s="1"/>
  <c r="U138" i="2"/>
  <c r="S124" i="2"/>
  <c r="C109" i="2"/>
  <c r="F109" i="2"/>
  <c r="S97" i="2"/>
  <c r="S93" i="2"/>
  <c r="S89" i="2"/>
  <c r="C112" i="2"/>
  <c r="F112" i="2"/>
  <c r="G112" i="2" s="1"/>
  <c r="L108" i="2"/>
  <c r="M108" i="2" s="1"/>
  <c r="I108" i="2"/>
  <c r="I100" i="2"/>
  <c r="L100" i="2"/>
  <c r="M100" i="2" s="1"/>
  <c r="I92" i="2"/>
  <c r="L92" i="2"/>
  <c r="M92" i="2" s="1"/>
  <c r="S79" i="2"/>
  <c r="G72" i="2"/>
  <c r="AE67" i="2"/>
  <c r="M49" i="2"/>
  <c r="G32" i="2"/>
  <c r="Y21" i="2"/>
  <c r="S15" i="2"/>
  <c r="AE145" i="2"/>
  <c r="F133" i="2"/>
  <c r="G133" i="2" s="1"/>
  <c r="C133" i="2"/>
  <c r="F125" i="2"/>
  <c r="G125" i="2" s="1"/>
  <c r="C125" i="2"/>
  <c r="C113" i="2"/>
  <c r="F113" i="2"/>
  <c r="Y24" i="2"/>
  <c r="X131" i="2"/>
  <c r="Y131" i="2" s="1"/>
  <c r="U131" i="2"/>
  <c r="AE124" i="2"/>
  <c r="X108" i="2"/>
  <c r="Y108" i="2" s="1"/>
  <c r="U108" i="2"/>
  <c r="U100" i="2"/>
  <c r="X100" i="2"/>
  <c r="Y100" i="2" s="1"/>
  <c r="U92" i="2"/>
  <c r="X92" i="2"/>
  <c r="Y92" i="2" s="1"/>
  <c r="M79" i="2"/>
  <c r="G62" i="2"/>
  <c r="Y51" i="2"/>
  <c r="S45" i="2"/>
  <c r="AE33" i="2"/>
  <c r="M15" i="2"/>
  <c r="AE146" i="2"/>
  <c r="AE133" i="2"/>
  <c r="I107" i="1"/>
  <c r="AE76" i="2"/>
  <c r="Y70" i="2"/>
  <c r="M58" i="2"/>
  <c r="G41" i="2"/>
  <c r="Y30" i="2"/>
  <c r="S24" i="2"/>
  <c r="B107" i="2"/>
  <c r="I103" i="1"/>
  <c r="B99" i="2"/>
  <c r="I95" i="1"/>
  <c r="B91" i="2"/>
  <c r="I87" i="1"/>
  <c r="AE79" i="2"/>
  <c r="M61" i="2"/>
  <c r="G44" i="2"/>
  <c r="Y33" i="2"/>
  <c r="S27" i="2"/>
  <c r="AE15" i="2"/>
  <c r="I5" i="2"/>
  <c r="AV93" i="2"/>
  <c r="AW93" i="2" s="1"/>
  <c r="AS93" i="2"/>
  <c r="AV78" i="2"/>
  <c r="AW78" i="2" s="1"/>
  <c r="AS78" i="2"/>
  <c r="AV82" i="2"/>
  <c r="AW82" i="2" s="1"/>
  <c r="AS82" i="2"/>
  <c r="AV83" i="2"/>
  <c r="AS83" i="2"/>
  <c r="AS85" i="2"/>
  <c r="AV85" i="2"/>
  <c r="AW85" i="2" s="1"/>
  <c r="AV86" i="2"/>
  <c r="AW86" i="2" s="1"/>
  <c r="AS86" i="2"/>
  <c r="AV74" i="2"/>
  <c r="AW74" i="2" s="1"/>
  <c r="AS74" i="2"/>
  <c r="AV59" i="2"/>
  <c r="AW59" i="2" s="1"/>
  <c r="AS59" i="2"/>
  <c r="AV12" i="2"/>
  <c r="AW12" i="2" s="1"/>
  <c r="AS12" i="2"/>
  <c r="AV76" i="2"/>
  <c r="AW76" i="2" s="1"/>
  <c r="AS76" i="2"/>
  <c r="AS140" i="2"/>
  <c r="AV140" i="2"/>
  <c r="AW140" i="2" s="1"/>
  <c r="AV63" i="2"/>
  <c r="AW63" i="2" s="1"/>
  <c r="AS63" i="2"/>
  <c r="AV127" i="2"/>
  <c r="AW127" i="2" s="1"/>
  <c r="AS127" i="2"/>
  <c r="AV48" i="2"/>
  <c r="AW48" i="2" s="1"/>
  <c r="AS48" i="2"/>
  <c r="AV112" i="2"/>
  <c r="AW112" i="2" s="1"/>
  <c r="AS112" i="2"/>
  <c r="AV33" i="2"/>
  <c r="AW33" i="2" s="1"/>
  <c r="AS33" i="2"/>
  <c r="AV97" i="2"/>
  <c r="AW97" i="2" s="1"/>
  <c r="AS97" i="2"/>
  <c r="AE89" i="2"/>
  <c r="AE98" i="2"/>
  <c r="S87" i="2"/>
  <c r="F99" i="2" l="1"/>
  <c r="C99" i="2"/>
  <c r="F92" i="2"/>
  <c r="C92" i="2"/>
  <c r="AP26" i="2"/>
  <c r="AM26" i="2"/>
  <c r="AP109" i="2"/>
  <c r="AM109" i="2"/>
  <c r="AP54" i="2"/>
  <c r="AM54" i="2"/>
  <c r="AM10" i="2"/>
  <c r="AP10" i="2"/>
  <c r="AM84" i="2"/>
  <c r="AP84" i="2"/>
  <c r="AP38" i="2"/>
  <c r="AM38" i="2"/>
  <c r="AP131" i="2"/>
  <c r="AM131" i="2"/>
  <c r="AP76" i="2"/>
  <c r="AM76" i="2"/>
  <c r="AP41" i="2"/>
  <c r="AM41" i="2"/>
  <c r="AP134" i="2"/>
  <c r="AM134" i="2"/>
  <c r="AP78" i="2"/>
  <c r="AM78" i="2"/>
  <c r="AP43" i="2"/>
  <c r="AM43" i="2"/>
  <c r="AP139" i="2"/>
  <c r="AM139" i="2"/>
  <c r="AP7" i="2"/>
  <c r="AN7" i="2"/>
  <c r="AL5" i="2"/>
  <c r="AM71" i="2"/>
  <c r="AP71" i="2"/>
  <c r="AP135" i="2"/>
  <c r="AM135" i="2"/>
  <c r="AP128" i="2"/>
  <c r="AM128" i="2"/>
  <c r="AP137" i="2"/>
  <c r="AM137" i="2"/>
  <c r="M94" i="2"/>
  <c r="G116" i="2"/>
  <c r="AW141" i="2"/>
  <c r="Y96" i="2"/>
  <c r="M127" i="2"/>
  <c r="AW138" i="2"/>
  <c r="M117" i="2"/>
  <c r="M144" i="2"/>
  <c r="AW143" i="2"/>
  <c r="C105" i="2"/>
  <c r="F105" i="2"/>
  <c r="AE112" i="2"/>
  <c r="AG46" i="2"/>
  <c r="AJ46" i="2"/>
  <c r="AJ110" i="2"/>
  <c r="AG110" i="2"/>
  <c r="AJ31" i="2"/>
  <c r="AG31" i="2"/>
  <c r="AJ95" i="2"/>
  <c r="AG95" i="2"/>
  <c r="AJ16" i="2"/>
  <c r="AG16" i="2"/>
  <c r="AG80" i="2"/>
  <c r="AJ80" i="2"/>
  <c r="AJ145" i="2"/>
  <c r="AG145" i="2"/>
  <c r="AJ65" i="2"/>
  <c r="AG65" i="2"/>
  <c r="AJ129" i="2"/>
  <c r="AG129" i="2"/>
  <c r="AJ50" i="2"/>
  <c r="AG50" i="2"/>
  <c r="AJ114" i="2"/>
  <c r="AG114" i="2"/>
  <c r="AJ43" i="2"/>
  <c r="AG43" i="2"/>
  <c r="AJ107" i="2"/>
  <c r="AG107" i="2"/>
  <c r="AJ36" i="2"/>
  <c r="AG36" i="2"/>
  <c r="AJ100" i="2"/>
  <c r="AG100" i="2"/>
  <c r="AJ29" i="2"/>
  <c r="AG29" i="2"/>
  <c r="AJ93" i="2"/>
  <c r="AG93" i="2"/>
  <c r="Y98" i="2"/>
  <c r="Y127" i="2"/>
  <c r="AW75" i="2"/>
  <c r="AW99" i="2"/>
  <c r="G128" i="2"/>
  <c r="Y99" i="2"/>
  <c r="C2" i="3"/>
  <c r="M99" i="2"/>
  <c r="BB146" i="2"/>
  <c r="AY146" i="2"/>
  <c r="BB122" i="2"/>
  <c r="AY122" i="2"/>
  <c r="BB66" i="2"/>
  <c r="AY66" i="2"/>
  <c r="BB18" i="2"/>
  <c r="AY18" i="2"/>
  <c r="BB110" i="2"/>
  <c r="AY110" i="2"/>
  <c r="BB59" i="2"/>
  <c r="AY59" i="2"/>
  <c r="BB123" i="2"/>
  <c r="AY123" i="2"/>
  <c r="AY52" i="2"/>
  <c r="BB52" i="2"/>
  <c r="BB116" i="2"/>
  <c r="AY116" i="2"/>
  <c r="BB69" i="2"/>
  <c r="AY69" i="2"/>
  <c r="BB133" i="2"/>
  <c r="AY133" i="2"/>
  <c r="BB55" i="2"/>
  <c r="AY55" i="2"/>
  <c r="BB119" i="2"/>
  <c r="AY119" i="2"/>
  <c r="BB40" i="2"/>
  <c r="AY40" i="2"/>
  <c r="BB104" i="2"/>
  <c r="AY104" i="2"/>
  <c r="BB25" i="2"/>
  <c r="AY25" i="2"/>
  <c r="AY89" i="2"/>
  <c r="BB89" i="2"/>
  <c r="M132" i="2"/>
  <c r="F93" i="2"/>
  <c r="G93" i="2" s="1"/>
  <c r="C93" i="2"/>
  <c r="G126" i="2"/>
  <c r="AM35" i="2"/>
  <c r="AP35" i="2"/>
  <c r="AP125" i="2"/>
  <c r="AM125" i="2"/>
  <c r="AP64" i="2"/>
  <c r="AM64" i="2"/>
  <c r="AP19" i="2"/>
  <c r="AM19" i="2"/>
  <c r="AM98" i="2"/>
  <c r="AP98" i="2"/>
  <c r="AP48" i="2"/>
  <c r="AM48" i="2"/>
  <c r="AM12" i="2"/>
  <c r="AP12" i="2"/>
  <c r="AM86" i="2"/>
  <c r="AP86" i="2"/>
  <c r="AM50" i="2"/>
  <c r="AP50" i="2"/>
  <c r="AP14" i="2"/>
  <c r="AM14" i="2"/>
  <c r="AM90" i="2"/>
  <c r="AP90" i="2"/>
  <c r="AM52" i="2"/>
  <c r="AP52" i="2"/>
  <c r="AM92" i="2"/>
  <c r="AP92" i="2"/>
  <c r="AP15" i="2"/>
  <c r="AQ15" i="2" s="1"/>
  <c r="AM15" i="2"/>
  <c r="AP79" i="2"/>
  <c r="AQ79" i="2" s="1"/>
  <c r="AM79" i="2"/>
  <c r="AP143" i="2"/>
  <c r="AM143" i="2"/>
  <c r="AP136" i="2"/>
  <c r="AQ136" i="2" s="1"/>
  <c r="AM136" i="2"/>
  <c r="AP145" i="2"/>
  <c r="AM145" i="2"/>
  <c r="M134" i="2"/>
  <c r="C103" i="2"/>
  <c r="F103" i="2"/>
  <c r="M88" i="2"/>
  <c r="F96" i="2"/>
  <c r="C96" i="2"/>
  <c r="Y89" i="2"/>
  <c r="Y130" i="2"/>
  <c r="M97" i="2"/>
  <c r="AW113" i="2"/>
  <c r="AW28" i="2"/>
  <c r="AW117" i="2"/>
  <c r="AW125" i="2"/>
  <c r="AG54" i="2"/>
  <c r="AJ54" i="2"/>
  <c r="AJ118" i="2"/>
  <c r="AG118" i="2"/>
  <c r="AJ39" i="2"/>
  <c r="AG39" i="2"/>
  <c r="AJ103" i="2"/>
  <c r="AG103" i="2"/>
  <c r="AJ24" i="2"/>
  <c r="AG24" i="2"/>
  <c r="AJ88" i="2"/>
  <c r="AG88" i="2"/>
  <c r="AJ9" i="2"/>
  <c r="AG9" i="2"/>
  <c r="AG73" i="2"/>
  <c r="AJ73" i="2"/>
  <c r="AG137" i="2"/>
  <c r="AJ137" i="2"/>
  <c r="AG58" i="2"/>
  <c r="AJ58" i="2"/>
  <c r="AJ122" i="2"/>
  <c r="AG122" i="2"/>
  <c r="AJ51" i="2"/>
  <c r="AK51" i="2" s="1"/>
  <c r="AG51" i="2"/>
  <c r="AJ115" i="2"/>
  <c r="AK115" i="2" s="1"/>
  <c r="AG115" i="2"/>
  <c r="AG44" i="2"/>
  <c r="AJ44" i="2"/>
  <c r="AK44" i="2" s="1"/>
  <c r="AJ108" i="2"/>
  <c r="AG108" i="2"/>
  <c r="AJ37" i="2"/>
  <c r="AK37" i="2" s="1"/>
  <c r="AG37" i="2"/>
  <c r="AJ101" i="2"/>
  <c r="AK101" i="2" s="1"/>
  <c r="AG101" i="2"/>
  <c r="M98" i="2"/>
  <c r="AW120" i="2"/>
  <c r="C3" i="3"/>
  <c r="G122" i="2"/>
  <c r="BB26" i="2"/>
  <c r="BC26" i="2" s="1"/>
  <c r="AY26" i="2"/>
  <c r="BB10" i="2"/>
  <c r="AY10" i="2"/>
  <c r="AY98" i="2"/>
  <c r="BB98" i="2"/>
  <c r="BB42" i="2"/>
  <c r="AY42" i="2"/>
  <c r="BB142" i="2"/>
  <c r="BC142" i="2" s="1"/>
  <c r="AY142" i="2"/>
  <c r="BB67" i="2"/>
  <c r="BC67" i="2" s="1"/>
  <c r="AY67" i="2"/>
  <c r="BB131" i="2"/>
  <c r="AY131" i="2"/>
  <c r="BB60" i="2"/>
  <c r="BC60" i="2" s="1"/>
  <c r="AY60" i="2"/>
  <c r="BB124" i="2"/>
  <c r="BC124" i="2" s="1"/>
  <c r="AY124" i="2"/>
  <c r="BB77" i="2"/>
  <c r="AY77" i="2"/>
  <c r="BB141" i="2"/>
  <c r="AY141" i="2"/>
  <c r="BB63" i="2"/>
  <c r="AY63" i="2"/>
  <c r="BB127" i="2"/>
  <c r="AY127" i="2"/>
  <c r="AY48" i="2"/>
  <c r="BB48" i="2"/>
  <c r="BB112" i="2"/>
  <c r="AY112" i="2"/>
  <c r="BB33" i="2"/>
  <c r="AY33" i="2"/>
  <c r="AY97" i="2"/>
  <c r="BB97" i="2"/>
  <c r="M130" i="2"/>
  <c r="C107" i="2"/>
  <c r="F107" i="2"/>
  <c r="F100" i="2"/>
  <c r="G100" i="2" s="1"/>
  <c r="C100" i="2"/>
  <c r="Y101" i="2"/>
  <c r="M101" i="2"/>
  <c r="M140" i="2"/>
  <c r="Y94" i="2"/>
  <c r="AP44" i="2"/>
  <c r="AQ44" i="2" s="1"/>
  <c r="AM44" i="2"/>
  <c r="AP141" i="2"/>
  <c r="AM141" i="2"/>
  <c r="AP73" i="2"/>
  <c r="AM73" i="2"/>
  <c r="AP28" i="2"/>
  <c r="AM28" i="2"/>
  <c r="AP114" i="2"/>
  <c r="AM114" i="2"/>
  <c r="AP57" i="2"/>
  <c r="AM57" i="2"/>
  <c r="AP21" i="2"/>
  <c r="AM21" i="2"/>
  <c r="AM101" i="2"/>
  <c r="AP101" i="2"/>
  <c r="AQ101" i="2" s="1"/>
  <c r="AP59" i="2"/>
  <c r="AM59" i="2"/>
  <c r="AP24" i="2"/>
  <c r="AM24" i="2"/>
  <c r="AM106" i="2"/>
  <c r="AP106" i="2"/>
  <c r="AP61" i="2"/>
  <c r="AM61" i="2"/>
  <c r="AP100" i="2"/>
  <c r="AM100" i="2"/>
  <c r="AP23" i="2"/>
  <c r="AM23" i="2"/>
  <c r="AM87" i="2"/>
  <c r="AP87" i="2"/>
  <c r="AQ87" i="2" s="1"/>
  <c r="AP80" i="2"/>
  <c r="AQ80" i="2" s="1"/>
  <c r="AM80" i="2"/>
  <c r="AP144" i="2"/>
  <c r="AQ144" i="2" s="1"/>
  <c r="AM144" i="2"/>
  <c r="F87" i="2"/>
  <c r="G87" i="2" s="1"/>
  <c r="C87" i="2"/>
  <c r="D7" i="2"/>
  <c r="B5" i="2"/>
  <c r="Y103" i="2"/>
  <c r="G120" i="2"/>
  <c r="M116" i="2"/>
  <c r="Y136" i="2"/>
  <c r="M135" i="2"/>
  <c r="Y137" i="2"/>
  <c r="AS5" i="2"/>
  <c r="AW36" i="2"/>
  <c r="AW146" i="2"/>
  <c r="G121" i="2"/>
  <c r="M121" i="2"/>
  <c r="S141" i="2"/>
  <c r="AG62" i="2"/>
  <c r="AJ62" i="2"/>
  <c r="AJ126" i="2"/>
  <c r="AG126" i="2"/>
  <c r="AJ47" i="2"/>
  <c r="AK47" i="2" s="1"/>
  <c r="AG47" i="2"/>
  <c r="AJ111" i="2"/>
  <c r="AK111" i="2" s="1"/>
  <c r="AG111" i="2"/>
  <c r="AJ32" i="2"/>
  <c r="AK32" i="2" s="1"/>
  <c r="AG32" i="2"/>
  <c r="AJ96" i="2"/>
  <c r="AK96" i="2" s="1"/>
  <c r="AG96" i="2"/>
  <c r="AJ17" i="2"/>
  <c r="AK17" i="2" s="1"/>
  <c r="AG17" i="2"/>
  <c r="AG81" i="2"/>
  <c r="AJ81" i="2"/>
  <c r="AK81" i="2" s="1"/>
  <c r="AJ146" i="2"/>
  <c r="AK146" i="2" s="1"/>
  <c r="AG146" i="2"/>
  <c r="AJ66" i="2"/>
  <c r="AK66" i="2" s="1"/>
  <c r="AG66" i="2"/>
  <c r="AJ130" i="2"/>
  <c r="AK130" i="2" s="1"/>
  <c r="AG130" i="2"/>
  <c r="AG59" i="2"/>
  <c r="AJ59" i="2"/>
  <c r="AK59" i="2" s="1"/>
  <c r="AJ123" i="2"/>
  <c r="AK123" i="2" s="1"/>
  <c r="AG123" i="2"/>
  <c r="AJ52" i="2"/>
  <c r="AK52" i="2" s="1"/>
  <c r="AG52" i="2"/>
  <c r="AJ116" i="2"/>
  <c r="AK116" i="2" s="1"/>
  <c r="AG116" i="2"/>
  <c r="AJ45" i="2"/>
  <c r="AK45" i="2" s="1"/>
  <c r="AG45" i="2"/>
  <c r="AJ109" i="2"/>
  <c r="AK109" i="2" s="1"/>
  <c r="AG109" i="2"/>
  <c r="M129" i="2"/>
  <c r="AW90" i="2"/>
  <c r="AW98" i="2"/>
  <c r="F90" i="2"/>
  <c r="C90" i="2"/>
  <c r="BB54" i="2"/>
  <c r="AY54" i="2"/>
  <c r="BB30" i="2"/>
  <c r="AY30" i="2"/>
  <c r="BB130" i="2"/>
  <c r="AY130" i="2"/>
  <c r="BB74" i="2"/>
  <c r="AY74" i="2"/>
  <c r="BB11" i="2"/>
  <c r="BC11" i="2" s="1"/>
  <c r="AY11" i="2"/>
  <c r="BB75" i="2"/>
  <c r="AY75" i="2"/>
  <c r="AY139" i="2"/>
  <c r="BB139" i="2"/>
  <c r="BB68" i="2"/>
  <c r="BC68" i="2" s="1"/>
  <c r="AY68" i="2"/>
  <c r="BB132" i="2"/>
  <c r="BC132" i="2" s="1"/>
  <c r="AY132" i="2"/>
  <c r="AY85" i="2"/>
  <c r="BB85" i="2"/>
  <c r="BB7" i="2"/>
  <c r="AZ7" i="2"/>
  <c r="AX5" i="2"/>
  <c r="BB71" i="2"/>
  <c r="AY71" i="2"/>
  <c r="BB135" i="2"/>
  <c r="AY135" i="2"/>
  <c r="BB56" i="2"/>
  <c r="BC56" i="2" s="1"/>
  <c r="AY56" i="2"/>
  <c r="BB120" i="2"/>
  <c r="BC120" i="2" s="1"/>
  <c r="AY120" i="2"/>
  <c r="BB41" i="2"/>
  <c r="BC41" i="2" s="1"/>
  <c r="AY41" i="2"/>
  <c r="BB105" i="2"/>
  <c r="BC105" i="2" s="1"/>
  <c r="AY105" i="2"/>
  <c r="Y139" i="2"/>
  <c r="C101" i="2"/>
  <c r="F101" i="2"/>
  <c r="G101" i="2" s="1"/>
  <c r="AM53" i="2"/>
  <c r="AP53" i="2"/>
  <c r="AQ53" i="2" s="1"/>
  <c r="AM9" i="2"/>
  <c r="AP9" i="2"/>
  <c r="AP83" i="2"/>
  <c r="AM83" i="2"/>
  <c r="AM37" i="2"/>
  <c r="AP37" i="2"/>
  <c r="AP130" i="2"/>
  <c r="AM130" i="2"/>
  <c r="AP66" i="2"/>
  <c r="AM66" i="2"/>
  <c r="AP30" i="2"/>
  <c r="AM30" i="2"/>
  <c r="AP117" i="2"/>
  <c r="AQ117" i="2" s="1"/>
  <c r="AM117" i="2"/>
  <c r="AP68" i="2"/>
  <c r="AM68" i="2"/>
  <c r="AP33" i="2"/>
  <c r="AM33" i="2"/>
  <c r="AP122" i="2"/>
  <c r="AM122" i="2"/>
  <c r="AM70" i="2"/>
  <c r="AP70" i="2"/>
  <c r="AM108" i="2"/>
  <c r="AP108" i="2"/>
  <c r="AP31" i="2"/>
  <c r="AQ31" i="2" s="1"/>
  <c r="AM31" i="2"/>
  <c r="AM95" i="2"/>
  <c r="AP95" i="2"/>
  <c r="AM88" i="2"/>
  <c r="AP88" i="2"/>
  <c r="AQ88" i="2" s="1"/>
  <c r="AM97" i="2"/>
  <c r="AP97" i="2"/>
  <c r="M102" i="2"/>
  <c r="Y143" i="2"/>
  <c r="M142" i="2"/>
  <c r="AW10" i="2"/>
  <c r="C9" i="3" s="1"/>
  <c r="AW18" i="2"/>
  <c r="Y104" i="2"/>
  <c r="M96" i="2"/>
  <c r="Y140" i="2"/>
  <c r="C104" i="2"/>
  <c r="F104" i="2"/>
  <c r="G104" i="2" s="1"/>
  <c r="Y97" i="2"/>
  <c r="AW49" i="2"/>
  <c r="AW79" i="2"/>
  <c r="AJ70" i="2"/>
  <c r="AG70" i="2"/>
  <c r="AG134" i="2"/>
  <c r="AJ134" i="2"/>
  <c r="AG55" i="2"/>
  <c r="AJ55" i="2"/>
  <c r="AK55" i="2" s="1"/>
  <c r="AJ119" i="2"/>
  <c r="AK119" i="2" s="1"/>
  <c r="AG119" i="2"/>
  <c r="AJ40" i="2"/>
  <c r="AK40" i="2" s="1"/>
  <c r="AG40" i="2"/>
  <c r="AJ104" i="2"/>
  <c r="AK104" i="2" s="1"/>
  <c r="AG104" i="2"/>
  <c r="AJ25" i="2"/>
  <c r="AK25" i="2" s="1"/>
  <c r="AG25" i="2"/>
  <c r="AJ89" i="2"/>
  <c r="AK89" i="2" s="1"/>
  <c r="AG89" i="2"/>
  <c r="AJ10" i="2"/>
  <c r="AK10" i="2" s="1"/>
  <c r="AG10" i="2"/>
  <c r="AG74" i="2"/>
  <c r="AJ74" i="2"/>
  <c r="AK74" i="2" s="1"/>
  <c r="AG138" i="2"/>
  <c r="AJ138" i="2"/>
  <c r="AK138" i="2" s="1"/>
  <c r="AJ67" i="2"/>
  <c r="AK67" i="2" s="1"/>
  <c r="AG67" i="2"/>
  <c r="AJ131" i="2"/>
  <c r="AG131" i="2"/>
  <c r="AG60" i="2"/>
  <c r="AJ60" i="2"/>
  <c r="AK60" i="2" s="1"/>
  <c r="AJ124" i="2"/>
  <c r="AK124" i="2" s="1"/>
  <c r="AG124" i="2"/>
  <c r="AJ53" i="2"/>
  <c r="AK53" i="2" s="1"/>
  <c r="AG53" i="2"/>
  <c r="AJ117" i="2"/>
  <c r="AG117" i="2"/>
  <c r="Y106" i="2"/>
  <c r="AW56" i="2"/>
  <c r="AW84" i="2"/>
  <c r="Y107" i="2"/>
  <c r="M107" i="2"/>
  <c r="AY86" i="2"/>
  <c r="BB86" i="2"/>
  <c r="BC86" i="2" s="1"/>
  <c r="BB62" i="2"/>
  <c r="AY62" i="2"/>
  <c r="BB14" i="2"/>
  <c r="AY14" i="2"/>
  <c r="BB106" i="2"/>
  <c r="BC106" i="2" s="1"/>
  <c r="AY106" i="2"/>
  <c r="BB19" i="2"/>
  <c r="BC19" i="2" s="1"/>
  <c r="AY19" i="2"/>
  <c r="BB83" i="2"/>
  <c r="AY83" i="2"/>
  <c r="BB12" i="2"/>
  <c r="BC12" i="2" s="1"/>
  <c r="AY12" i="2"/>
  <c r="BB76" i="2"/>
  <c r="BC76" i="2" s="1"/>
  <c r="AY76" i="2"/>
  <c r="AY140" i="2"/>
  <c r="BB140" i="2"/>
  <c r="AY93" i="2"/>
  <c r="BB93" i="2"/>
  <c r="BB15" i="2"/>
  <c r="BC15" i="2" s="1"/>
  <c r="AY15" i="2"/>
  <c r="BB79" i="2"/>
  <c r="AY79" i="2"/>
  <c r="BB143" i="2"/>
  <c r="BC143" i="2" s="1"/>
  <c r="AY143" i="2"/>
  <c r="BB64" i="2"/>
  <c r="BC64" i="2" s="1"/>
  <c r="AY64" i="2"/>
  <c r="BB128" i="2"/>
  <c r="BC128" i="2" s="1"/>
  <c r="AY128" i="2"/>
  <c r="AY49" i="2"/>
  <c r="BB49" i="2"/>
  <c r="BC49" i="2" s="1"/>
  <c r="BB113" i="2"/>
  <c r="BC113" i="2" s="1"/>
  <c r="AY113" i="2"/>
  <c r="M118" i="2"/>
  <c r="M138" i="2"/>
  <c r="G113" i="2"/>
  <c r="C108" i="2"/>
  <c r="F108" i="2"/>
  <c r="G108" i="2" s="1"/>
  <c r="M109" i="2"/>
  <c r="C110" i="2"/>
  <c r="F110" i="2"/>
  <c r="G110" i="2" s="1"/>
  <c r="AP62" i="2"/>
  <c r="AQ62" i="2" s="1"/>
  <c r="AM62" i="2"/>
  <c r="AP18" i="2"/>
  <c r="AM18" i="2"/>
  <c r="AM94" i="2"/>
  <c r="AP94" i="2"/>
  <c r="AP46" i="2"/>
  <c r="AM46" i="2"/>
  <c r="AP146" i="2"/>
  <c r="AQ146" i="2" s="1"/>
  <c r="AM146" i="2"/>
  <c r="AP75" i="2"/>
  <c r="AM75" i="2"/>
  <c r="AP40" i="2"/>
  <c r="AQ40" i="2" s="1"/>
  <c r="AM40" i="2"/>
  <c r="AP133" i="2"/>
  <c r="AM133" i="2"/>
  <c r="AP77" i="2"/>
  <c r="AQ77" i="2" s="1"/>
  <c r="AM77" i="2"/>
  <c r="AP42" i="2"/>
  <c r="AQ42" i="2" s="1"/>
  <c r="AM42" i="2"/>
  <c r="AP138" i="2"/>
  <c r="AQ138" i="2" s="1"/>
  <c r="AM138" i="2"/>
  <c r="AP81" i="2"/>
  <c r="AQ81" i="2" s="1"/>
  <c r="AM81" i="2"/>
  <c r="AP116" i="2"/>
  <c r="AM116" i="2"/>
  <c r="AP39" i="2"/>
  <c r="AQ39" i="2" s="1"/>
  <c r="AM39" i="2"/>
  <c r="AM103" i="2"/>
  <c r="AP103" i="2"/>
  <c r="AQ103" i="2" s="1"/>
  <c r="AM96" i="2"/>
  <c r="AP96" i="2"/>
  <c r="AQ96" i="2" s="1"/>
  <c r="AM105" i="2"/>
  <c r="AP105" i="2"/>
  <c r="M141" i="2"/>
  <c r="F94" i="2"/>
  <c r="G94" i="2" s="1"/>
  <c r="C94" i="2"/>
  <c r="M95" i="2"/>
  <c r="M120" i="2"/>
  <c r="M143" i="2"/>
  <c r="M105" i="2"/>
  <c r="M128" i="2"/>
  <c r="Y141" i="2"/>
  <c r="F89" i="2"/>
  <c r="C89" i="2"/>
  <c r="AJ14" i="2"/>
  <c r="AG14" i="2"/>
  <c r="AG78" i="2"/>
  <c r="AJ78" i="2"/>
  <c r="AJ142" i="2"/>
  <c r="AG142" i="2"/>
  <c r="AG63" i="2"/>
  <c r="AJ63" i="2"/>
  <c r="AK63" i="2" s="1"/>
  <c r="AJ127" i="2"/>
  <c r="AK127" i="2" s="1"/>
  <c r="AG127" i="2"/>
  <c r="AG48" i="2"/>
  <c r="AJ48" i="2"/>
  <c r="AK48" i="2" s="1"/>
  <c r="AJ112" i="2"/>
  <c r="AK112" i="2" s="1"/>
  <c r="AG112" i="2"/>
  <c r="AJ33" i="2"/>
  <c r="AK33" i="2" s="1"/>
  <c r="AG33" i="2"/>
  <c r="AJ97" i="2"/>
  <c r="AK97" i="2" s="1"/>
  <c r="AG97" i="2"/>
  <c r="AJ18" i="2"/>
  <c r="AK18" i="2" s="1"/>
  <c r="AG18" i="2"/>
  <c r="AG82" i="2"/>
  <c r="AJ82" i="2"/>
  <c r="AK82" i="2" s="1"/>
  <c r="AJ11" i="2"/>
  <c r="AK11" i="2" s="1"/>
  <c r="AG11" i="2"/>
  <c r="AG75" i="2"/>
  <c r="AJ75" i="2"/>
  <c r="AK75" i="2" s="1"/>
  <c r="AJ139" i="2"/>
  <c r="AG139" i="2"/>
  <c r="AJ68" i="2"/>
  <c r="AG68" i="2"/>
  <c r="AJ132" i="2"/>
  <c r="AK132" i="2" s="1"/>
  <c r="AG132" i="2"/>
  <c r="AG61" i="2"/>
  <c r="AJ61" i="2"/>
  <c r="AK61" i="2" s="1"/>
  <c r="AJ125" i="2"/>
  <c r="AK125" i="2" s="1"/>
  <c r="AG125" i="2"/>
  <c r="M106" i="2"/>
  <c r="AW135" i="2"/>
  <c r="AW94" i="2"/>
  <c r="F98" i="2"/>
  <c r="C98" i="2"/>
  <c r="G114" i="2"/>
  <c r="BB22" i="2"/>
  <c r="AY22" i="2"/>
  <c r="BB118" i="2"/>
  <c r="AY118" i="2"/>
  <c r="AY94" i="2"/>
  <c r="BB94" i="2"/>
  <c r="BC94" i="2" s="1"/>
  <c r="BB38" i="2"/>
  <c r="BC38" i="2" s="1"/>
  <c r="AY38" i="2"/>
  <c r="BB138" i="2"/>
  <c r="AY138" i="2"/>
  <c r="BB27" i="2"/>
  <c r="BC27" i="2" s="1"/>
  <c r="AY27" i="2"/>
  <c r="AY91" i="2"/>
  <c r="BB91" i="2"/>
  <c r="BB20" i="2"/>
  <c r="BC20" i="2" s="1"/>
  <c r="AY20" i="2"/>
  <c r="AY84" i="2"/>
  <c r="BB84" i="2"/>
  <c r="BC84" i="2" s="1"/>
  <c r="BB37" i="2"/>
  <c r="AY37" i="2"/>
  <c r="AY101" i="2"/>
  <c r="BB101" i="2"/>
  <c r="BB23" i="2"/>
  <c r="BC23" i="2" s="1"/>
  <c r="AY23" i="2"/>
  <c r="AY87" i="2"/>
  <c r="BB87" i="2"/>
  <c r="BC87" i="2" s="1"/>
  <c r="BB8" i="2"/>
  <c r="BC8" i="2" s="1"/>
  <c r="AY8" i="2"/>
  <c r="BB72" i="2"/>
  <c r="BC72" i="2" s="1"/>
  <c r="AY72" i="2"/>
  <c r="BB136" i="2"/>
  <c r="BC136" i="2" s="1"/>
  <c r="AY136" i="2"/>
  <c r="BB57" i="2"/>
  <c r="BC57" i="2" s="1"/>
  <c r="AY57" i="2"/>
  <c r="BB121" i="2"/>
  <c r="BC121" i="2" s="1"/>
  <c r="AY121" i="2"/>
  <c r="M133" i="2"/>
  <c r="AW60" i="2"/>
  <c r="Y102" i="2"/>
  <c r="AM72" i="2"/>
  <c r="AP72" i="2"/>
  <c r="AQ72" i="2" s="1"/>
  <c r="AP27" i="2"/>
  <c r="AQ27" i="2" s="1"/>
  <c r="AM27" i="2"/>
  <c r="AP110" i="2"/>
  <c r="AQ110" i="2" s="1"/>
  <c r="AM110" i="2"/>
  <c r="AP56" i="2"/>
  <c r="AQ56" i="2" s="1"/>
  <c r="AM56" i="2"/>
  <c r="AM11" i="2"/>
  <c r="AP11" i="2"/>
  <c r="AQ11" i="2" s="1"/>
  <c r="AM85" i="2"/>
  <c r="AP85" i="2"/>
  <c r="AQ85" i="2" s="1"/>
  <c r="AM49" i="2"/>
  <c r="AP49" i="2"/>
  <c r="AQ49" i="2" s="1"/>
  <c r="AP13" i="2"/>
  <c r="AQ13" i="2" s="1"/>
  <c r="AM13" i="2"/>
  <c r="AM89" i="2"/>
  <c r="AP89" i="2"/>
  <c r="AM51" i="2"/>
  <c r="AP51" i="2"/>
  <c r="AQ51" i="2" s="1"/>
  <c r="AP16" i="2"/>
  <c r="AQ16" i="2" s="1"/>
  <c r="AM16" i="2"/>
  <c r="AM91" i="2"/>
  <c r="AP91" i="2"/>
  <c r="AQ91" i="2" s="1"/>
  <c r="AM124" i="2"/>
  <c r="AP124" i="2"/>
  <c r="AP47" i="2"/>
  <c r="AQ47" i="2" s="1"/>
  <c r="AM47" i="2"/>
  <c r="AP111" i="2"/>
  <c r="AQ111" i="2" s="1"/>
  <c r="AM111" i="2"/>
  <c r="AM104" i="2"/>
  <c r="AP104" i="2"/>
  <c r="AQ104" i="2" s="1"/>
  <c r="AP113" i="2"/>
  <c r="AM113" i="2"/>
  <c r="AW26" i="2"/>
  <c r="AW34" i="2"/>
  <c r="G124" i="2"/>
  <c r="S139" i="2"/>
  <c r="AW44" i="2"/>
  <c r="M104" i="2"/>
  <c r="AW87" i="2"/>
  <c r="AW133" i="2"/>
  <c r="AW13" i="2"/>
  <c r="G131" i="2"/>
  <c r="AW128" i="2"/>
  <c r="AW15" i="2"/>
  <c r="AW114" i="2"/>
  <c r="AJ22" i="2"/>
  <c r="AG22" i="2"/>
  <c r="AJ86" i="2"/>
  <c r="AG86" i="2"/>
  <c r="AJ7" i="2"/>
  <c r="AH7" i="2"/>
  <c r="AF5" i="2"/>
  <c r="AG71" i="2"/>
  <c r="AJ71" i="2"/>
  <c r="AK71" i="2" s="1"/>
  <c r="AG135" i="2"/>
  <c r="AJ135" i="2"/>
  <c r="AK135" i="2" s="1"/>
  <c r="AG56" i="2"/>
  <c r="AJ56" i="2"/>
  <c r="AK56" i="2" s="1"/>
  <c r="AJ120" i="2"/>
  <c r="AK120" i="2" s="1"/>
  <c r="AG120" i="2"/>
  <c r="AJ41" i="2"/>
  <c r="AK41" i="2" s="1"/>
  <c r="AG41" i="2"/>
  <c r="AJ105" i="2"/>
  <c r="AK105" i="2" s="1"/>
  <c r="AG105" i="2"/>
  <c r="AJ26" i="2"/>
  <c r="AK26" i="2" s="1"/>
  <c r="AG26" i="2"/>
  <c r="AJ90" i="2"/>
  <c r="AK90" i="2" s="1"/>
  <c r="AG90" i="2"/>
  <c r="AJ19" i="2"/>
  <c r="AK19" i="2" s="1"/>
  <c r="AG19" i="2"/>
  <c r="AG83" i="2"/>
  <c r="AJ83" i="2"/>
  <c r="AK83" i="2" s="1"/>
  <c r="AJ12" i="2"/>
  <c r="AK12" i="2" s="1"/>
  <c r="AG12" i="2"/>
  <c r="AG76" i="2"/>
  <c r="AJ76" i="2"/>
  <c r="AK76" i="2" s="1"/>
  <c r="AJ140" i="2"/>
  <c r="AK140" i="2" s="1"/>
  <c r="AG140" i="2"/>
  <c r="AJ69" i="2"/>
  <c r="AK69" i="2" s="1"/>
  <c r="AG69" i="2"/>
  <c r="AJ133" i="2"/>
  <c r="AK133" i="2" s="1"/>
  <c r="AG133" i="2"/>
  <c r="AW105" i="2"/>
  <c r="AY50" i="2"/>
  <c r="BB50" i="2"/>
  <c r="BC50" i="2" s="1"/>
  <c r="BB29" i="2"/>
  <c r="BC29" i="2" s="1"/>
  <c r="AY29" i="2"/>
  <c r="BB126" i="2"/>
  <c r="AY126" i="2"/>
  <c r="BB70" i="2"/>
  <c r="BC70" i="2" s="1"/>
  <c r="AY70" i="2"/>
  <c r="BB21" i="2"/>
  <c r="BC21" i="2" s="1"/>
  <c r="AY21" i="2"/>
  <c r="BB35" i="2"/>
  <c r="AY35" i="2"/>
  <c r="AY99" i="2"/>
  <c r="BB99" i="2"/>
  <c r="BC99" i="2" s="1"/>
  <c r="BB28" i="2"/>
  <c r="BC28" i="2" s="1"/>
  <c r="AY28" i="2"/>
  <c r="AY92" i="2"/>
  <c r="BB92" i="2"/>
  <c r="BC92" i="2" s="1"/>
  <c r="BB45" i="2"/>
  <c r="AY45" i="2"/>
  <c r="BB109" i="2"/>
  <c r="AY109" i="2"/>
  <c r="BB31" i="2"/>
  <c r="BC31" i="2" s="1"/>
  <c r="AY31" i="2"/>
  <c r="AY95" i="2"/>
  <c r="BB95" i="2"/>
  <c r="BC95" i="2" s="1"/>
  <c r="BB16" i="2"/>
  <c r="BC16" i="2" s="1"/>
  <c r="AY16" i="2"/>
  <c r="BB80" i="2"/>
  <c r="BC80" i="2" s="1"/>
  <c r="AY80" i="2"/>
  <c r="BB144" i="2"/>
  <c r="BC144" i="2" s="1"/>
  <c r="AY144" i="2"/>
  <c r="BB65" i="2"/>
  <c r="BC65" i="2" s="1"/>
  <c r="AY65" i="2"/>
  <c r="BB129" i="2"/>
  <c r="BC129" i="2" s="1"/>
  <c r="AY129" i="2"/>
  <c r="M122" i="2"/>
  <c r="M146" i="2"/>
  <c r="F91" i="2"/>
  <c r="G91" i="2" s="1"/>
  <c r="C91" i="2"/>
  <c r="Y109" i="2"/>
  <c r="AM8" i="2"/>
  <c r="AP8" i="2"/>
  <c r="AQ8" i="2" s="1"/>
  <c r="AP82" i="2"/>
  <c r="AQ82" i="2" s="1"/>
  <c r="AM82" i="2"/>
  <c r="AM36" i="2"/>
  <c r="AP36" i="2"/>
  <c r="AQ36" i="2" s="1"/>
  <c r="AP126" i="2"/>
  <c r="AQ126" i="2" s="1"/>
  <c r="AM126" i="2"/>
  <c r="AP65" i="2"/>
  <c r="AQ65" i="2" s="1"/>
  <c r="AM65" i="2"/>
  <c r="AP20" i="2"/>
  <c r="AQ20" i="2" s="1"/>
  <c r="AM20" i="2"/>
  <c r="AM99" i="2"/>
  <c r="AP99" i="2"/>
  <c r="AQ99" i="2" s="1"/>
  <c r="AP58" i="2"/>
  <c r="AQ58" i="2" s="1"/>
  <c r="AM58" i="2"/>
  <c r="AP22" i="2"/>
  <c r="AQ22" i="2" s="1"/>
  <c r="AM22" i="2"/>
  <c r="AM102" i="2"/>
  <c r="AP102" i="2"/>
  <c r="AQ102" i="2" s="1"/>
  <c r="AP60" i="2"/>
  <c r="AQ60" i="2" s="1"/>
  <c r="AM60" i="2"/>
  <c r="AP25" i="2"/>
  <c r="AQ25" i="2" s="1"/>
  <c r="AM25" i="2"/>
  <c r="AM107" i="2"/>
  <c r="AP107" i="2"/>
  <c r="AQ107" i="2" s="1"/>
  <c r="AP132" i="2"/>
  <c r="AQ132" i="2" s="1"/>
  <c r="AM132" i="2"/>
  <c r="AP55" i="2"/>
  <c r="AQ55" i="2" s="1"/>
  <c r="AM55" i="2"/>
  <c r="AP119" i="2"/>
  <c r="AQ119" i="2" s="1"/>
  <c r="AM119" i="2"/>
  <c r="AP112" i="2"/>
  <c r="AQ112" i="2" s="1"/>
  <c r="AM112" i="2"/>
  <c r="AP121" i="2"/>
  <c r="AM121" i="2"/>
  <c r="AW38" i="2"/>
  <c r="C102" i="2"/>
  <c r="F102" i="2"/>
  <c r="G102" i="2" s="1"/>
  <c r="G134" i="2"/>
  <c r="G136" i="2"/>
  <c r="Y88" i="2"/>
  <c r="Y5" i="2" s="1"/>
  <c r="Y144" i="2"/>
  <c r="S140" i="2"/>
  <c r="Y105" i="2"/>
  <c r="M136" i="2"/>
  <c r="M145" i="2"/>
  <c r="F97" i="2"/>
  <c r="G97" i="2" s="1"/>
  <c r="C97" i="2"/>
  <c r="AJ30" i="2"/>
  <c r="AK30" i="2" s="1"/>
  <c r="AG30" i="2"/>
  <c r="AJ94" i="2"/>
  <c r="AK94" i="2" s="1"/>
  <c r="AG94" i="2"/>
  <c r="AJ15" i="2"/>
  <c r="AK15" i="2" s="1"/>
  <c r="AG15" i="2"/>
  <c r="AG79" i="2"/>
  <c r="AJ79" i="2"/>
  <c r="AK79" i="2" s="1"/>
  <c r="AJ144" i="2"/>
  <c r="AG144" i="2"/>
  <c r="AG64" i="2"/>
  <c r="AJ64" i="2"/>
  <c r="AK64" i="2" s="1"/>
  <c r="AJ128" i="2"/>
  <c r="AK128" i="2" s="1"/>
  <c r="AG128" i="2"/>
  <c r="AJ49" i="2"/>
  <c r="AK49" i="2" s="1"/>
  <c r="AG49" i="2"/>
  <c r="AJ113" i="2"/>
  <c r="AK113" i="2" s="1"/>
  <c r="AG113" i="2"/>
  <c r="AJ34" i="2"/>
  <c r="AK34" i="2" s="1"/>
  <c r="AG34" i="2"/>
  <c r="AJ98" i="2"/>
  <c r="AK98" i="2" s="1"/>
  <c r="AG98" i="2"/>
  <c r="AJ27" i="2"/>
  <c r="AK27" i="2" s="1"/>
  <c r="AG27" i="2"/>
  <c r="AJ91" i="2"/>
  <c r="AK91" i="2" s="1"/>
  <c r="AG91" i="2"/>
  <c r="AJ20" i="2"/>
  <c r="AG20" i="2"/>
  <c r="AJ84" i="2"/>
  <c r="AK84" i="2" s="1"/>
  <c r="AG84" i="2"/>
  <c r="AJ13" i="2"/>
  <c r="AK13" i="2" s="1"/>
  <c r="AG13" i="2"/>
  <c r="AG77" i="2"/>
  <c r="AJ77" i="2"/>
  <c r="AJ141" i="2"/>
  <c r="AG141" i="2"/>
  <c r="Y90" i="2"/>
  <c r="AW41" i="2"/>
  <c r="AW20" i="2"/>
  <c r="AW101" i="2"/>
  <c r="AW109" i="2"/>
  <c r="C106" i="2"/>
  <c r="F106" i="2"/>
  <c r="G106" i="2" s="1"/>
  <c r="Y132" i="2"/>
  <c r="Y91" i="2"/>
  <c r="M91" i="2"/>
  <c r="G118" i="2"/>
  <c r="BB82" i="2"/>
  <c r="AY82" i="2"/>
  <c r="BB58" i="2"/>
  <c r="BC58" i="2" s="1"/>
  <c r="AY58" i="2"/>
  <c r="BB13" i="2"/>
  <c r="BC13" i="2" s="1"/>
  <c r="AY13" i="2"/>
  <c r="AY102" i="2"/>
  <c r="BB102" i="2"/>
  <c r="BC102" i="2" s="1"/>
  <c r="AY46" i="2"/>
  <c r="BB46" i="2"/>
  <c r="BC46" i="2" s="1"/>
  <c r="BB43" i="2"/>
  <c r="BC43" i="2" s="1"/>
  <c r="AY43" i="2"/>
  <c r="BB107" i="2"/>
  <c r="BC107" i="2" s="1"/>
  <c r="AY107" i="2"/>
  <c r="BB36" i="2"/>
  <c r="BC36" i="2" s="1"/>
  <c r="AY36" i="2"/>
  <c r="BB100" i="2"/>
  <c r="BC100" i="2" s="1"/>
  <c r="AY100" i="2"/>
  <c r="BB53" i="2"/>
  <c r="BC53" i="2" s="1"/>
  <c r="AY53" i="2"/>
  <c r="BB117" i="2"/>
  <c r="BC117" i="2" s="1"/>
  <c r="AY117" i="2"/>
  <c r="BB39" i="2"/>
  <c r="BC39" i="2" s="1"/>
  <c r="AY39" i="2"/>
  <c r="AY103" i="2"/>
  <c r="BB103" i="2"/>
  <c r="BB24" i="2"/>
  <c r="BC24" i="2" s="1"/>
  <c r="AY24" i="2"/>
  <c r="AY88" i="2"/>
  <c r="BB88" i="2"/>
  <c r="BC88" i="2" s="1"/>
  <c r="BB9" i="2"/>
  <c r="BC9" i="2" s="1"/>
  <c r="AY9" i="2"/>
  <c r="BB73" i="2"/>
  <c r="BC73" i="2" s="1"/>
  <c r="AY73" i="2"/>
  <c r="BB137" i="2"/>
  <c r="BC137" i="2" s="1"/>
  <c r="AY137" i="2"/>
  <c r="AW83" i="2"/>
  <c r="G109" i="2"/>
  <c r="AW69" i="2"/>
  <c r="AW77" i="2"/>
  <c r="Y93" i="2"/>
  <c r="M93" i="2"/>
  <c r="M124" i="2"/>
  <c r="S145" i="2"/>
  <c r="S146" i="2"/>
  <c r="AW61" i="2"/>
  <c r="AP17" i="2"/>
  <c r="AQ17" i="2" s="1"/>
  <c r="AM17" i="2"/>
  <c r="AM93" i="2"/>
  <c r="AP93" i="2"/>
  <c r="AQ93" i="2" s="1"/>
  <c r="AP45" i="2"/>
  <c r="AQ45" i="2" s="1"/>
  <c r="AM45" i="2"/>
  <c r="AP142" i="2"/>
  <c r="AQ142" i="2" s="1"/>
  <c r="AM142" i="2"/>
  <c r="AP74" i="2"/>
  <c r="AQ74" i="2" s="1"/>
  <c r="AM74" i="2"/>
  <c r="AP29" i="2"/>
  <c r="AQ29" i="2" s="1"/>
  <c r="AM29" i="2"/>
  <c r="AP115" i="2"/>
  <c r="AQ115" i="2" s="1"/>
  <c r="AM115" i="2"/>
  <c r="AP67" i="2"/>
  <c r="AQ67" i="2" s="1"/>
  <c r="AM67" i="2"/>
  <c r="AP32" i="2"/>
  <c r="AQ32" i="2" s="1"/>
  <c r="AM32" i="2"/>
  <c r="AP118" i="2"/>
  <c r="AQ118" i="2" s="1"/>
  <c r="AM118" i="2"/>
  <c r="AM69" i="2"/>
  <c r="AP69" i="2"/>
  <c r="AQ69" i="2" s="1"/>
  <c r="AP34" i="2"/>
  <c r="AQ34" i="2" s="1"/>
  <c r="AM34" i="2"/>
  <c r="AM123" i="2"/>
  <c r="AP123" i="2"/>
  <c r="AQ123" i="2" s="1"/>
  <c r="AP140" i="2"/>
  <c r="AQ140" i="2" s="1"/>
  <c r="AM140" i="2"/>
  <c r="AP63" i="2"/>
  <c r="AQ63" i="2" s="1"/>
  <c r="AM63" i="2"/>
  <c r="AP127" i="2"/>
  <c r="AM127" i="2"/>
  <c r="AP120" i="2"/>
  <c r="AQ120" i="2" s="1"/>
  <c r="AM120" i="2"/>
  <c r="AP129" i="2"/>
  <c r="AQ129" i="2" s="1"/>
  <c r="AM129" i="2"/>
  <c r="AW52" i="2"/>
  <c r="Y95" i="2"/>
  <c r="M103" i="2"/>
  <c r="M126" i="2"/>
  <c r="F95" i="2"/>
  <c r="G95" i="2" s="1"/>
  <c r="C95" i="2"/>
  <c r="M110" i="2"/>
  <c r="AW23" i="2"/>
  <c r="AW122" i="2"/>
  <c r="AW130" i="2"/>
  <c r="F88" i="2"/>
  <c r="G88" i="2" s="1"/>
  <c r="C88" i="2"/>
  <c r="M89" i="2"/>
  <c r="M5" i="2" s="1"/>
  <c r="G117" i="2"/>
  <c r="AW64" i="2"/>
  <c r="AW92" i="2"/>
  <c r="AW118" i="2"/>
  <c r="AJ38" i="2"/>
  <c r="AK38" i="2" s="1"/>
  <c r="AG38" i="2"/>
  <c r="AJ102" i="2"/>
  <c r="AK102" i="2" s="1"/>
  <c r="AG102" i="2"/>
  <c r="AJ23" i="2"/>
  <c r="AK23" i="2" s="1"/>
  <c r="AG23" i="2"/>
  <c r="AJ87" i="2"/>
  <c r="AK87" i="2" s="1"/>
  <c r="AG87" i="2"/>
  <c r="AJ8" i="2"/>
  <c r="AK8" i="2" s="1"/>
  <c r="AG8" i="2"/>
  <c r="AG72" i="2"/>
  <c r="AJ72" i="2"/>
  <c r="AK72" i="2" s="1"/>
  <c r="AG136" i="2"/>
  <c r="AJ136" i="2"/>
  <c r="AK136" i="2" s="1"/>
  <c r="AG57" i="2"/>
  <c r="AJ57" i="2"/>
  <c r="AK57" i="2" s="1"/>
  <c r="AJ121" i="2"/>
  <c r="AK121" i="2" s="1"/>
  <c r="AG121" i="2"/>
  <c r="AJ42" i="2"/>
  <c r="AK42" i="2" s="1"/>
  <c r="AG42" i="2"/>
  <c r="AJ106" i="2"/>
  <c r="AK106" i="2" s="1"/>
  <c r="AG106" i="2"/>
  <c r="AJ35" i="2"/>
  <c r="AK35" i="2" s="1"/>
  <c r="AG35" i="2"/>
  <c r="AJ99" i="2"/>
  <c r="AK99" i="2" s="1"/>
  <c r="AG99" i="2"/>
  <c r="AJ28" i="2"/>
  <c r="AG28" i="2"/>
  <c r="AJ92" i="2"/>
  <c r="AK92" i="2" s="1"/>
  <c r="AG92" i="2"/>
  <c r="AJ21" i="2"/>
  <c r="AK21" i="2" s="1"/>
  <c r="AG21" i="2"/>
  <c r="AJ85" i="2"/>
  <c r="AK85" i="2" s="1"/>
  <c r="AG85" i="2"/>
  <c r="AJ143" i="2"/>
  <c r="AK143" i="2" s="1"/>
  <c r="AG143" i="2"/>
  <c r="M90" i="2"/>
  <c r="AW71" i="2"/>
  <c r="G111" i="2"/>
  <c r="BB114" i="2"/>
  <c r="BC114" i="2" s="1"/>
  <c r="AY114" i="2"/>
  <c r="AY90" i="2"/>
  <c r="BB90" i="2"/>
  <c r="BC90" i="2" s="1"/>
  <c r="BB34" i="2"/>
  <c r="BC34" i="2" s="1"/>
  <c r="AY34" i="2"/>
  <c r="BB134" i="2"/>
  <c r="BC134" i="2" s="1"/>
  <c r="AY134" i="2"/>
  <c r="BB78" i="2"/>
  <c r="BC78" i="2" s="1"/>
  <c r="AY78" i="2"/>
  <c r="AY51" i="2"/>
  <c r="BB51" i="2"/>
  <c r="BC51" i="2" s="1"/>
  <c r="BB115" i="2"/>
  <c r="BC115" i="2" s="1"/>
  <c r="AY115" i="2"/>
  <c r="AY44" i="2"/>
  <c r="BB44" i="2"/>
  <c r="BC44" i="2" s="1"/>
  <c r="BB108" i="2"/>
  <c r="BC108" i="2" s="1"/>
  <c r="AY108" i="2"/>
  <c r="BB61" i="2"/>
  <c r="BC61" i="2" s="1"/>
  <c r="AY61" i="2"/>
  <c r="BB125" i="2"/>
  <c r="BC125" i="2" s="1"/>
  <c r="AY125" i="2"/>
  <c r="BB47" i="2"/>
  <c r="BC47" i="2" s="1"/>
  <c r="AY47" i="2"/>
  <c r="BB111" i="2"/>
  <c r="BC111" i="2" s="1"/>
  <c r="AY111" i="2"/>
  <c r="BB32" i="2"/>
  <c r="BC32" i="2" s="1"/>
  <c r="AY32" i="2"/>
  <c r="AY96" i="2"/>
  <c r="BB96" i="2"/>
  <c r="BC96" i="2" s="1"/>
  <c r="BB17" i="2"/>
  <c r="BC17" i="2" s="1"/>
  <c r="AY17" i="2"/>
  <c r="BB81" i="2"/>
  <c r="BC81" i="2" s="1"/>
  <c r="AY81" i="2"/>
  <c r="BB145" i="2"/>
  <c r="BC145" i="2" s="1"/>
  <c r="AY145" i="2"/>
  <c r="AE110" i="2"/>
  <c r="AE5" i="2" s="1"/>
  <c r="S143" i="2"/>
  <c r="S5" i="2" s="1"/>
  <c r="AK14" i="2" l="1"/>
  <c r="AQ94" i="2"/>
  <c r="AQ70" i="2"/>
  <c r="AQ37" i="2"/>
  <c r="BC139" i="2"/>
  <c r="AQ61" i="2"/>
  <c r="AQ28" i="2"/>
  <c r="BC97" i="2"/>
  <c r="AK24" i="2"/>
  <c r="AQ92" i="2"/>
  <c r="AQ50" i="2"/>
  <c r="AQ98" i="2"/>
  <c r="AQ35" i="2"/>
  <c r="BC52" i="2"/>
  <c r="AK46" i="2"/>
  <c r="AQ134" i="2"/>
  <c r="AQ38" i="2"/>
  <c r="AQ109" i="2"/>
  <c r="BC101" i="2"/>
  <c r="BC91" i="2"/>
  <c r="G98" i="2"/>
  <c r="BC79" i="2"/>
  <c r="BC130" i="2"/>
  <c r="AQ106" i="2"/>
  <c r="BC127" i="2"/>
  <c r="AK73" i="2"/>
  <c r="G96" i="2"/>
  <c r="BC25" i="2"/>
  <c r="BC55" i="2"/>
  <c r="BC18" i="2"/>
  <c r="AK93" i="2"/>
  <c r="AK107" i="2"/>
  <c r="AK129" i="2"/>
  <c r="AK16" i="2"/>
  <c r="AQ128" i="2"/>
  <c r="AQ84" i="2"/>
  <c r="G89" i="2"/>
  <c r="AQ95" i="2"/>
  <c r="BC85" i="2"/>
  <c r="AK126" i="2"/>
  <c r="AQ21" i="2"/>
  <c r="AQ73" i="2"/>
  <c r="AK103" i="2"/>
  <c r="AQ52" i="2"/>
  <c r="AQ86" i="2"/>
  <c r="AQ139" i="2"/>
  <c r="AQ41" i="2"/>
  <c r="AQ26" i="2"/>
  <c r="AK28" i="2"/>
  <c r="AG5" i="2"/>
  <c r="AQ127" i="2"/>
  <c r="AY5" i="2"/>
  <c r="AQ75" i="2"/>
  <c r="AQ18" i="2"/>
  <c r="BC14" i="2"/>
  <c r="AK134" i="2"/>
  <c r="AQ122" i="2"/>
  <c r="AQ30" i="2"/>
  <c r="AQ83" i="2"/>
  <c r="BC75" i="2"/>
  <c r="BC30" i="2"/>
  <c r="AK62" i="2"/>
  <c r="C5" i="2"/>
  <c r="BC33" i="2"/>
  <c r="BC63" i="2"/>
  <c r="BC42" i="2"/>
  <c r="G103" i="2"/>
  <c r="AQ143" i="2"/>
  <c r="AQ19" i="2"/>
  <c r="BC104" i="2"/>
  <c r="BC133" i="2"/>
  <c r="BC123" i="2"/>
  <c r="BC66" i="2"/>
  <c r="AK29" i="2"/>
  <c r="AK43" i="2"/>
  <c r="AK65" i="2"/>
  <c r="AK95" i="2"/>
  <c r="G105" i="2"/>
  <c r="AQ135" i="2"/>
  <c r="AQ10" i="2"/>
  <c r="AK141" i="2"/>
  <c r="AK20" i="2"/>
  <c r="BC37" i="2"/>
  <c r="BC118" i="2"/>
  <c r="AK68" i="2"/>
  <c r="AK142" i="2"/>
  <c r="AQ105" i="2"/>
  <c r="BC93" i="2"/>
  <c r="AW5" i="2"/>
  <c r="AQ9" i="2"/>
  <c r="BC135" i="2"/>
  <c r="AQ23" i="2"/>
  <c r="AQ24" i="2"/>
  <c r="AQ57" i="2"/>
  <c r="AQ141" i="2"/>
  <c r="BC98" i="2"/>
  <c r="AK108" i="2"/>
  <c r="AK122" i="2"/>
  <c r="AK9" i="2"/>
  <c r="C7" i="3" s="1"/>
  <c r="AK39" i="2"/>
  <c r="AQ90" i="2"/>
  <c r="AQ12" i="2"/>
  <c r="AQ71" i="2"/>
  <c r="AQ43" i="2"/>
  <c r="AQ76" i="2"/>
  <c r="G92" i="2"/>
  <c r="AK77" i="2"/>
  <c r="AQ121" i="2"/>
  <c r="BC109" i="2"/>
  <c r="BC126" i="2"/>
  <c r="AK86" i="2"/>
  <c r="AK78" i="2"/>
  <c r="AQ116" i="2"/>
  <c r="BC83" i="2"/>
  <c r="BC62" i="2"/>
  <c r="AQ33" i="2"/>
  <c r="AQ66" i="2"/>
  <c r="BC54" i="2"/>
  <c r="G107" i="2"/>
  <c r="BC112" i="2"/>
  <c r="BC141" i="2"/>
  <c r="BC131" i="2"/>
  <c r="AK58" i="2"/>
  <c r="AQ64" i="2"/>
  <c r="BC40" i="2"/>
  <c r="BC69" i="2"/>
  <c r="BC59" i="2"/>
  <c r="BC122" i="2"/>
  <c r="AK100" i="2"/>
  <c r="AK114" i="2"/>
  <c r="AK145" i="2"/>
  <c r="AK31" i="2"/>
  <c r="BC103" i="2"/>
  <c r="AK144" i="2"/>
  <c r="AQ124" i="2"/>
  <c r="AQ89" i="2"/>
  <c r="BC138" i="2"/>
  <c r="BC22" i="2"/>
  <c r="AK139" i="2"/>
  <c r="BC140" i="2"/>
  <c r="AK117" i="2"/>
  <c r="AK131" i="2"/>
  <c r="AK70" i="2"/>
  <c r="AQ97" i="2"/>
  <c r="AQ108" i="2"/>
  <c r="BC71" i="2"/>
  <c r="AQ100" i="2"/>
  <c r="AQ59" i="2"/>
  <c r="AQ114" i="2"/>
  <c r="BC48" i="2"/>
  <c r="AK88" i="2"/>
  <c r="AK118" i="2"/>
  <c r="BC89" i="2"/>
  <c r="AK80" i="2"/>
  <c r="AQ78" i="2"/>
  <c r="AQ131" i="2"/>
  <c r="AQ54" i="2"/>
  <c r="G99" i="2"/>
  <c r="BC82" i="2"/>
  <c r="AM5" i="2"/>
  <c r="BC45" i="2"/>
  <c r="BC35" i="2"/>
  <c r="AK22" i="2"/>
  <c r="AQ113" i="2"/>
  <c r="AQ133" i="2"/>
  <c r="AQ46" i="2"/>
  <c r="AQ68" i="2"/>
  <c r="AQ130" i="2"/>
  <c r="BC74" i="2"/>
  <c r="G90" i="2"/>
  <c r="BC77" i="2"/>
  <c r="BC10" i="2"/>
  <c r="C10" i="3" s="1"/>
  <c r="AK137" i="2"/>
  <c r="AK54" i="2"/>
  <c r="AQ145" i="2"/>
  <c r="AQ14" i="2"/>
  <c r="C8" i="3" s="1"/>
  <c r="AQ48" i="2"/>
  <c r="AQ125" i="2"/>
  <c r="BC119" i="2"/>
  <c r="BC116" i="2"/>
  <c r="BC110" i="2"/>
  <c r="BC146" i="2"/>
  <c r="AK36" i="2"/>
  <c r="AK50" i="2"/>
  <c r="AK110" i="2"/>
  <c r="AQ137" i="2"/>
  <c r="O2" i="3" l="1" a="1"/>
  <c r="L2" i="3"/>
  <c r="L11" i="3" s="1"/>
  <c r="BC5" i="2"/>
  <c r="AQ5" i="2"/>
  <c r="AK5" i="2"/>
  <c r="O7" i="3" l="1"/>
  <c r="O3" i="3"/>
  <c r="P10" i="3"/>
  <c r="P6" i="3"/>
  <c r="P2" i="3"/>
  <c r="O10" i="3"/>
  <c r="R10" i="3" s="1"/>
  <c r="O6" i="3"/>
  <c r="R6" i="3" s="1"/>
  <c r="O2" i="3"/>
  <c r="P9" i="3"/>
  <c r="P5" i="3"/>
  <c r="O9" i="3"/>
  <c r="R9" i="3" s="1"/>
  <c r="O5" i="3"/>
  <c r="R5" i="3" s="1"/>
  <c r="P8" i="3"/>
  <c r="P4" i="3"/>
  <c r="O8" i="3"/>
  <c r="R8" i="3" s="1"/>
  <c r="O4" i="3"/>
  <c r="P7" i="3"/>
  <c r="P3" i="3"/>
  <c r="R4" i="3" l="1"/>
  <c r="R2" i="3"/>
  <c r="T2" i="3"/>
  <c r="S8" i="3"/>
  <c r="S5" i="3"/>
  <c r="R3" i="3"/>
  <c r="R7" i="3"/>
  <c r="S7" i="3" s="1"/>
  <c r="S10" i="3" l="1"/>
  <c r="S6" i="3"/>
  <c r="W2" i="3"/>
  <c r="T11" i="3"/>
  <c r="S3" i="3"/>
  <c r="S2" i="3"/>
  <c r="S9" i="3"/>
  <c r="S4" i="3"/>
  <c r="C13" i="3" l="1" a="1"/>
  <c r="O13" i="3" a="1"/>
  <c r="E153" i="2"/>
  <c r="I150" i="2"/>
  <c r="F149" i="2"/>
  <c r="E150" i="2"/>
  <c r="G152" i="2"/>
  <c r="E151" i="2"/>
  <c r="F150" i="2"/>
  <c r="G151" i="2"/>
  <c r="C149" i="2"/>
  <c r="D151" i="2"/>
  <c r="F152" i="2"/>
  <c r="I156" i="2"/>
  <c r="H151" i="2"/>
  <c r="H155" i="2"/>
  <c r="D152" i="2"/>
  <c r="G155" i="2"/>
  <c r="C156" i="2"/>
  <c r="K154" i="2"/>
  <c r="F151" i="2"/>
  <c r="J149" i="2"/>
  <c r="E154" i="2"/>
  <c r="I155" i="2"/>
  <c r="H157" i="2"/>
  <c r="K152" i="2"/>
  <c r="E157" i="2"/>
  <c r="D155" i="2"/>
  <c r="E152" i="2"/>
  <c r="D153" i="2"/>
  <c r="D157" i="2"/>
  <c r="C152" i="2"/>
  <c r="C151" i="2"/>
  <c r="I152" i="2"/>
  <c r="F153" i="2"/>
  <c r="E155" i="2"/>
  <c r="H149" i="2"/>
  <c r="I149" i="2"/>
  <c r="D150" i="2"/>
  <c r="J153" i="2"/>
  <c r="K153" i="2"/>
  <c r="J155" i="2"/>
  <c r="C150" i="2"/>
  <c r="F157" i="2"/>
  <c r="H154" i="2"/>
  <c r="I153" i="2"/>
  <c r="K156" i="2"/>
  <c r="J152" i="2"/>
  <c r="D154" i="2"/>
  <c r="J151" i="2"/>
  <c r="G149" i="2"/>
  <c r="F156" i="2"/>
  <c r="K151" i="2"/>
  <c r="H152" i="2"/>
  <c r="J154" i="2"/>
  <c r="E156" i="2"/>
  <c r="F155" i="2"/>
  <c r="G156" i="2"/>
  <c r="G154" i="2"/>
  <c r="H153" i="2"/>
  <c r="F154" i="2"/>
  <c r="H156" i="2"/>
  <c r="E149" i="2"/>
  <c r="J156" i="2"/>
  <c r="K155" i="2"/>
  <c r="G157" i="2"/>
  <c r="D149" i="2"/>
  <c r="K157" i="2"/>
  <c r="C153" i="2"/>
  <c r="C157" i="2"/>
  <c r="G153" i="2"/>
  <c r="C155" i="2"/>
  <c r="G150" i="2"/>
  <c r="K150" i="2"/>
  <c r="J157" i="2"/>
  <c r="I157" i="2"/>
  <c r="D156" i="2"/>
  <c r="I151" i="2"/>
  <c r="J150" i="2"/>
  <c r="C154" i="2"/>
  <c r="K149" i="2"/>
  <c r="H150" i="2"/>
  <c r="I154" i="2"/>
  <c r="H13" i="3" l="1"/>
  <c r="T13" i="3" s="1"/>
  <c r="I19" i="3"/>
  <c r="U19" i="3" s="1"/>
  <c r="D15" i="3"/>
  <c r="P15" i="3" s="1"/>
  <c r="K16" i="3"/>
  <c r="W16" i="3" s="1"/>
  <c r="K13" i="3"/>
  <c r="W13" i="3" s="1"/>
  <c r="C21" i="3"/>
  <c r="O21" i="3" s="1"/>
  <c r="G18" i="3"/>
  <c r="S18" i="3" s="1"/>
  <c r="J16" i="3"/>
  <c r="V16" i="3" s="1"/>
  <c r="E19" i="3"/>
  <c r="Q19" i="3" s="1"/>
  <c r="E18" i="3"/>
  <c r="Q18" i="3" s="1"/>
  <c r="C13" i="3"/>
  <c r="O13" i="3" s="1"/>
  <c r="I20" i="3"/>
  <c r="U20" i="3" s="1"/>
  <c r="C18" i="3"/>
  <c r="O18" i="3" s="1"/>
  <c r="C17" i="3"/>
  <c r="O17" i="3" s="1"/>
  <c r="G20" i="3"/>
  <c r="S20" i="3" s="1"/>
  <c r="K20" i="3"/>
  <c r="W20" i="3" s="1"/>
  <c r="F17" i="3"/>
  <c r="R17" i="3" s="1"/>
  <c r="J13" i="3"/>
  <c r="V13" i="3" s="1"/>
  <c r="G15" i="3"/>
  <c r="S15" i="3" s="1"/>
  <c r="I13" i="3"/>
  <c r="U13" i="3" s="1"/>
  <c r="J14" i="3"/>
  <c r="V14" i="3" s="1"/>
  <c r="K21" i="3"/>
  <c r="W21" i="3" s="1"/>
  <c r="F19" i="3"/>
  <c r="R19" i="3" s="1"/>
  <c r="I17" i="3"/>
  <c r="U17" i="3" s="1"/>
  <c r="I16" i="3"/>
  <c r="U16" i="3" s="1"/>
  <c r="F15" i="3"/>
  <c r="R15" i="3" s="1"/>
  <c r="F14" i="3"/>
  <c r="R14" i="3" s="1"/>
  <c r="I18" i="3"/>
  <c r="U18" i="3" s="1"/>
  <c r="I15" i="3"/>
  <c r="U15" i="3" s="1"/>
  <c r="D13" i="3"/>
  <c r="E20" i="3"/>
  <c r="Q20" i="3" s="1"/>
  <c r="H18" i="3"/>
  <c r="T18" i="3" s="1"/>
  <c r="C15" i="3"/>
  <c r="O15" i="3" s="1"/>
  <c r="K18" i="3"/>
  <c r="W18" i="3" s="1"/>
  <c r="E15" i="3"/>
  <c r="Q15" i="3" s="1"/>
  <c r="F16" i="3"/>
  <c r="R16" i="3" s="1"/>
  <c r="D20" i="3"/>
  <c r="P20" i="3" s="1"/>
  <c r="G21" i="3"/>
  <c r="S21" i="3" s="1"/>
  <c r="J18" i="3"/>
  <c r="V18" i="3" s="1"/>
  <c r="F21" i="3"/>
  <c r="R21" i="3" s="1"/>
  <c r="C16" i="3"/>
  <c r="O16" i="3" s="1"/>
  <c r="C20" i="3"/>
  <c r="O20" i="3" s="1"/>
  <c r="G16" i="3"/>
  <c r="S16" i="3" s="1"/>
  <c r="D18" i="3"/>
  <c r="P18" i="3" s="1"/>
  <c r="I21" i="3"/>
  <c r="U21" i="3" s="1"/>
  <c r="K19" i="3"/>
  <c r="W19" i="3" s="1"/>
  <c r="H16" i="3"/>
  <c r="T16" i="3" s="1"/>
  <c r="C14" i="3"/>
  <c r="O14" i="3" s="1"/>
  <c r="D21" i="3"/>
  <c r="P21" i="3" s="1"/>
  <c r="G19" i="3"/>
  <c r="S19" i="3" s="1"/>
  <c r="E14" i="3"/>
  <c r="Q14" i="3" s="1"/>
  <c r="H21" i="3"/>
  <c r="T21" i="3" s="1"/>
  <c r="J21" i="3"/>
  <c r="V21" i="3" s="1"/>
  <c r="J20" i="3"/>
  <c r="V20" i="3" s="1"/>
  <c r="K15" i="3"/>
  <c r="W15" i="3" s="1"/>
  <c r="J19" i="3"/>
  <c r="V19" i="3" s="1"/>
  <c r="D17" i="3"/>
  <c r="P17" i="3" s="1"/>
  <c r="D16" i="3"/>
  <c r="P16" i="3" s="1"/>
  <c r="F13" i="3"/>
  <c r="R13" i="3" s="1"/>
  <c r="G17" i="3"/>
  <c r="S17" i="3" s="1"/>
  <c r="K14" i="3"/>
  <c r="W14" i="3" s="1"/>
  <c r="E13" i="3"/>
  <c r="Q13" i="3" s="1"/>
  <c r="F20" i="3"/>
  <c r="R20" i="3" s="1"/>
  <c r="K17" i="3"/>
  <c r="W17" i="3" s="1"/>
  <c r="E16" i="3"/>
  <c r="Q16" i="3" s="1"/>
  <c r="H19" i="3"/>
  <c r="T19" i="3" s="1"/>
  <c r="I14" i="3"/>
  <c r="U14" i="3" s="1"/>
  <c r="H17" i="3"/>
  <c r="T17" i="3" s="1"/>
  <c r="G14" i="3"/>
  <c r="S14" i="3" s="1"/>
  <c r="H20" i="3"/>
  <c r="T20" i="3" s="1"/>
  <c r="G13" i="3"/>
  <c r="S13" i="3" s="1"/>
  <c r="J17" i="3"/>
  <c r="V17" i="3" s="1"/>
  <c r="D19" i="3"/>
  <c r="P19" i="3" s="1"/>
  <c r="H15" i="3"/>
  <c r="T15" i="3" s="1"/>
  <c r="E17" i="3"/>
  <c r="Q17" i="3" s="1"/>
  <c r="H14" i="3"/>
  <c r="T14" i="3" s="1"/>
  <c r="C19" i="3"/>
  <c r="O19" i="3" s="1"/>
  <c r="F18" i="3"/>
  <c r="R18" i="3" s="1"/>
  <c r="J15" i="3"/>
  <c r="V15" i="3" s="1"/>
  <c r="D14" i="3"/>
  <c r="P14" i="3" s="1"/>
  <c r="E21" i="3"/>
  <c r="Q21" i="3" s="1"/>
  <c r="T22" i="3" l="1"/>
  <c r="T23" i="3" s="1"/>
  <c r="P13" i="3"/>
  <c r="L22" i="3"/>
  <c r="L23" i="3" s="1"/>
  <c r="L26" i="3" s="1"/>
  <c r="R23" i="3" l="1"/>
  <c r="W3" i="3"/>
  <c r="T26" i="3"/>
  <c r="R24" i="3"/>
  <c r="W5" i="3" l="1"/>
  <c r="R27" i="3"/>
  <c r="R28" i="3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Koropey, Boris</author>
  </authors>
  <commentList>
    <comment ref="G7" authorId="0" shapeId="0" xr:uid="{3505C212-E066-4420-967C-A9341CCFE984}">
      <text>
        <r>
          <rPr>
            <sz val="9"/>
            <color indexed="81"/>
            <rFont val="Tahoma"/>
            <family val="2"/>
          </rPr>
          <t>stdev of production volume in MWh-AC</t>
        </r>
      </text>
    </comment>
    <comment ref="M7" authorId="0" shapeId="0" xr:uid="{252763B0-3B6B-4FE5-BB32-43B1814D5D90}">
      <text>
        <r>
          <rPr>
            <sz val="9"/>
            <color indexed="81"/>
            <rFont val="Tahoma"/>
            <family val="2"/>
          </rPr>
          <t>stdev of production volume in MWh-AC</t>
        </r>
      </text>
    </comment>
    <comment ref="S7" authorId="0" shapeId="0" xr:uid="{0BEF1014-FC50-4A9B-B74D-D7A7686C0C7E}">
      <text>
        <r>
          <rPr>
            <sz val="9"/>
            <color indexed="81"/>
            <rFont val="Tahoma"/>
            <family val="2"/>
          </rPr>
          <t>stdev of production volume in MWh-AC</t>
        </r>
      </text>
    </comment>
    <comment ref="Y7" authorId="0" shapeId="0" xr:uid="{EE0B4CC8-6949-4CC5-9E41-7C81AB1F814A}">
      <text>
        <r>
          <rPr>
            <sz val="9"/>
            <color indexed="81"/>
            <rFont val="Tahoma"/>
            <family val="2"/>
          </rPr>
          <t>stdev of production volume in MWh-AC</t>
        </r>
      </text>
    </comment>
    <comment ref="AE7" authorId="0" shapeId="0" xr:uid="{C7DAE328-DE4A-477E-8C5B-9CAEC269848A}">
      <text>
        <r>
          <rPr>
            <sz val="9"/>
            <color indexed="81"/>
            <rFont val="Tahoma"/>
            <family val="2"/>
          </rPr>
          <t>stdev of production volume in MWh-AC</t>
        </r>
      </text>
    </comment>
    <comment ref="AK7" authorId="0" shapeId="0" xr:uid="{330960DD-7EFE-4649-8CF3-61D46F766BF0}">
      <text>
        <r>
          <rPr>
            <sz val="9"/>
            <color indexed="81"/>
            <rFont val="Tahoma"/>
            <family val="2"/>
          </rPr>
          <t>stdev of production volume in MWh-AC</t>
        </r>
      </text>
    </comment>
    <comment ref="AQ7" authorId="0" shapeId="0" xr:uid="{97B0A966-35A2-4D21-8CA8-D82B437F4629}">
      <text>
        <r>
          <rPr>
            <sz val="9"/>
            <color indexed="81"/>
            <rFont val="Tahoma"/>
            <family val="2"/>
          </rPr>
          <t>stdev of production volume in MWh-AC</t>
        </r>
      </text>
    </comment>
    <comment ref="AW7" authorId="0" shapeId="0" xr:uid="{18781DD2-EB2D-4629-AD7B-ACCAEA940251}">
      <text>
        <r>
          <rPr>
            <sz val="9"/>
            <color indexed="81"/>
            <rFont val="Tahoma"/>
            <family val="2"/>
          </rPr>
          <t>stdev of production volume in MWh-AC</t>
        </r>
      </text>
    </comment>
    <comment ref="BC7" authorId="0" shapeId="0" xr:uid="{E3446718-C527-4278-BC8A-6056F1D7D5F6}">
      <text>
        <r>
          <rPr>
            <sz val="9"/>
            <color indexed="81"/>
            <rFont val="Tahoma"/>
            <family val="2"/>
          </rPr>
          <t>stdev of production volume in MWh-AC</t>
        </r>
      </text>
    </comment>
    <comment ref="G8" authorId="0" shapeId="0" xr:uid="{225997CE-88BB-431B-9396-912E3E729D3B}">
      <text>
        <r>
          <rPr>
            <sz val="9"/>
            <color indexed="81"/>
            <rFont val="Tahoma"/>
            <family val="2"/>
          </rPr>
          <t>Rate of Return on EBIT/MWh-AC
*note because negative net-income and therefore negative returns, instead of (final - initial)/initial, INSTEAD we use (final - initial)/ABS(initial) in this case</t>
        </r>
      </text>
    </comment>
  </commentList>
</comments>
</file>

<file path=xl/sharedStrings.xml><?xml version="1.0" encoding="utf-8"?>
<sst xmlns="http://schemas.openxmlformats.org/spreadsheetml/2006/main" count="206" uniqueCount="78">
  <si>
    <t>Year</t>
  </si>
  <si>
    <t>Quarter</t>
  </si>
  <si>
    <t>QrtlyRev</t>
  </si>
  <si>
    <t>Date</t>
  </si>
  <si>
    <t>Row19TotalAnnualRevs</t>
  </si>
  <si>
    <t>Row144TotalRevReq-RegAcct</t>
  </si>
  <si>
    <t>col_J - row19</t>
  </si>
  <si>
    <t>col_J - row144</t>
  </si>
  <si>
    <t>COD</t>
  </si>
  <si>
    <t>0MW_0h</t>
  </si>
  <si>
    <t>4.5MW_4h</t>
  </si>
  <si>
    <t>9MW_4h</t>
  </si>
  <si>
    <t>SPS_DEPhoffSAT_1_8_13.5MW_4h</t>
  </si>
  <si>
    <t>18MW_4h</t>
  </si>
  <si>
    <t>4.5MW_2h</t>
  </si>
  <si>
    <t>9MW_2h</t>
  </si>
  <si>
    <t>13.5MW_2h</t>
  </si>
  <si>
    <t>18MW_2h</t>
  </si>
  <si>
    <t>Benefit-Cost</t>
  </si>
  <si>
    <t>Production MWh-AC</t>
  </si>
  <si>
    <t>Production</t>
  </si>
  <si>
    <t>EBIT/MWh-AC</t>
  </si>
  <si>
    <t>1.8_0MW_0h</t>
  </si>
  <si>
    <t>1.8_4.5MW_4h</t>
  </si>
  <si>
    <t>1.8_9MW_4h</t>
  </si>
  <si>
    <t>1.8_13.5MW_4h</t>
  </si>
  <si>
    <t>1.8_18MW_4h</t>
  </si>
  <si>
    <t>1.8_4.5MW_2h</t>
  </si>
  <si>
    <t>1.8_9MW_2h</t>
  </si>
  <si>
    <t>1.8_13.5MW_2h</t>
  </si>
  <si>
    <t>1.8_18MW_2h</t>
  </si>
  <si>
    <t>zeroMWzeroHR</t>
  </si>
  <si>
    <t>fourPtFiveMWfourHR</t>
  </si>
  <si>
    <t>nineMWfourHR</t>
  </si>
  <si>
    <t>thirteenPtFiveMWfourHR</t>
  </si>
  <si>
    <t>eighteenMWfourHR</t>
  </si>
  <si>
    <t>fourPtFiveMWtwoHR</t>
  </si>
  <si>
    <t>nineMWtwoHR</t>
  </si>
  <si>
    <t>thirteenPtFiveMWtwoHR</t>
  </si>
  <si>
    <t>eighteenMWtwoHR</t>
  </si>
  <si>
    <t>5 Asset Portfolio 
without Solver</t>
  </si>
  <si>
    <t>Expected 
Return</t>
  </si>
  <si>
    <t>Standard
Deviation</t>
  </si>
  <si>
    <t>Weights
(w/o solver)</t>
  </si>
  <si>
    <t>Expected 
Return of
Portfolio</t>
  </si>
  <si>
    <t>bat rank</t>
  </si>
  <si>
    <r>
      <t xml:space="preserve">9 Asset Portfolio 
</t>
    </r>
    <r>
      <rPr>
        <b/>
        <sz val="11"/>
        <color theme="1"/>
        <rFont val="Calibri"/>
        <family val="2"/>
        <scheme val="minor"/>
      </rPr>
      <t>with Solver</t>
    </r>
  </si>
  <si>
    <r>
      <t>Weights
(</t>
    </r>
    <r>
      <rPr>
        <b/>
        <sz val="11"/>
        <color theme="1"/>
        <rFont val="Calibri"/>
        <family val="2"/>
        <scheme val="minor"/>
      </rPr>
      <t>from solver</t>
    </r>
    <r>
      <rPr>
        <sz val="11"/>
        <color theme="1"/>
        <rFont val="Calibri"/>
        <family val="2"/>
        <scheme val="minor"/>
      </rPr>
      <t>)</t>
    </r>
  </si>
  <si>
    <t>individual return/risk</t>
  </si>
  <si>
    <t>rank individual return/risk</t>
  </si>
  <si>
    <r>
      <rPr>
        <b/>
        <sz val="11"/>
        <color theme="1"/>
        <rFont val="Calibri"/>
        <family val="2"/>
        <scheme val="minor"/>
      </rPr>
      <t xml:space="preserve">New </t>
    </r>
    <r>
      <rPr>
        <sz val="11"/>
        <color theme="1"/>
        <rFont val="Calibri"/>
        <family val="2"/>
        <scheme val="minor"/>
      </rPr>
      <t xml:space="preserve"> 
Return of
Portfolio</t>
    </r>
  </si>
  <si>
    <t>_0MW_0h</t>
  </si>
  <si>
    <t>Returns</t>
  </si>
  <si>
    <t>_4.5MW_4h</t>
  </si>
  <si>
    <t>PortVar</t>
  </si>
  <si>
    <t>_9MW_4h</t>
  </si>
  <si>
    <t>_13.5MW_4h</t>
  </si>
  <si>
    <t>RiskAdjReturnChangeFromInitial</t>
  </si>
  <si>
    <t>_18MW_4h</t>
  </si>
  <si>
    <t>_4.5MW_2h</t>
  </si>
  <si>
    <t>_9MW_2h</t>
  </si>
  <si>
    <t>_13.5MW_2h</t>
  </si>
  <si>
    <t>_18MW_2h</t>
  </si>
  <si>
    <t>Target Rate of Return on the portfolio:</t>
  </si>
  <si>
    <t>Portfolio Variance:</t>
  </si>
  <si>
    <t>Portfolio Standard Deviation:</t>
  </si>
  <si>
    <t>Risk Adjusted Return (assume 1% Rf rate):</t>
  </si>
  <si>
    <t>*note in solver to change cell P7 = cell H2 to solve</t>
  </si>
  <si>
    <t>for ranking battery sizes (weighting) when holding returns constant</t>
  </si>
  <si>
    <t>DEP_SAT_1.8_0MW_0h</t>
  </si>
  <si>
    <t>DEP_SAT_1.8_4.5MW_4h</t>
  </si>
  <si>
    <t>DEP_SAT_1.8_9MW_4h</t>
  </si>
  <si>
    <t>DEP_SAT_1_8_13.5MW_4h</t>
  </si>
  <si>
    <t>DEP_SAT_1.8_18MW_4h</t>
  </si>
  <si>
    <t>DEP_SAT_1.8_4.5MW_2h</t>
  </si>
  <si>
    <t>DEP_SAT_1.8_9MW_2h</t>
  </si>
  <si>
    <t>DEP_SAT_1.8_13.5MW_2h</t>
  </si>
  <si>
    <t>DEP_SAT_1.8_18MW_2h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</si>
</sst>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xmlns:xr9="http://schemas.microsoft.com/office/spreadsheetml/2016/revision9" mc:Ignorable="x14ac x16r2 xr xr9">
  <numFmts count="13">
    <numFmt numFmtId="5" formatCode="&quot;$&quot;#,##0_);\(&quot;$&quot;#,##0\)"/>
    <numFmt numFmtId="6" formatCode="&quot;$&quot;#,##0_);[Red]\(&quot;$&quot;#,##0\)"/>
    <numFmt numFmtId="44" formatCode="_(&quot;$&quot;* #,##0.00_);_(&quot;$&quot;* \(#,##0.00\);_(&quot;$&quot;* &quot;-&quot;??_);_(@_)"/>
    <numFmt numFmtId="43" formatCode="_(* #,##0.00_);_(* \(#,##0.00\);_(* &quot;-&quot;??_);_(@_)"/>
    <numFmt numFmtId="164" formatCode="&quot;$&quot;#,##0"/>
    <numFmt numFmtId="165" formatCode="[$-409]mmm\-yy;@"/>
    <numFmt numFmtId="166" formatCode="0.0%"/>
    <numFmt numFmtId="167" formatCode="&quot;$&quot;#,##0.00"/>
    <numFmt numFmtId="168" formatCode="_(* #,##0_);_(* \(#,##0\);_(* &quot;-&quot;??_);_(@_)"/>
    <numFmt numFmtId="169" formatCode="0.0"/>
    <numFmt numFmtId="170" formatCode="0.00000%"/>
    <numFmt numFmtId="171" formatCode="0.000000%"/>
    <numFmt numFmtId="172" formatCode="0.00000000%"/>
  </numFmts>
  <fonts count="17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rgb="FFFF0000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sz val="11"/>
      <name val="Calibri"/>
      <family val="2"/>
      <scheme val="minor"/>
    </font>
    <font>
      <b/>
      <u/>
      <sz val="11"/>
      <color theme="1"/>
      <name val="Calibri"/>
      <family val="2"/>
      <scheme val="minor"/>
    </font>
    <font>
      <b/>
      <sz val="10.5"/>
      <color theme="1"/>
      <name val="Calibri"/>
      <family val="2"/>
      <scheme val="minor"/>
    </font>
    <font>
      <sz val="9"/>
      <color indexed="81"/>
      <name val="Tahoma"/>
      <family val="2"/>
    </font>
    <font>
      <sz val="11"/>
      <color rgb="FF000000"/>
      <name val="Calibri"/>
      <family val="2"/>
    </font>
    <font>
      <i/>
      <sz val="8"/>
      <color theme="1"/>
      <name val="Calibri"/>
      <family val="2"/>
      <scheme val="minor"/>
    </font>
    <font>
      <sz val="7"/>
      <color theme="1"/>
      <name val="Calibri"/>
      <family val="2"/>
      <scheme val="minor"/>
    </font>
    <font>
      <sz val="6"/>
      <color theme="1"/>
      <name val="Calibri"/>
      <family val="2"/>
      <scheme val="minor"/>
    </font>
    <font>
      <sz val="6.5"/>
      <color theme="1"/>
      <name val="Calibri"/>
      <family val="2"/>
      <scheme val="minor"/>
    </font>
    <font>
      <b/>
      <sz val="11"/>
      <color rgb="FF00B050"/>
      <name val="Calibri"/>
      <family val="2"/>
      <scheme val="minor"/>
    </font>
    <font>
      <b/>
      <sz val="11"/>
      <color rgb="FFFF0000"/>
      <name val="Calibri"/>
      <family val="2"/>
      <scheme val="minor"/>
    </font>
    <font>
      <sz val="8"/>
      <color theme="1"/>
      <name val="Calibri"/>
      <family val="2"/>
      <scheme val="minor"/>
    </font>
  </fonts>
  <fills count="5">
    <fill>
      <patternFill patternType="none"/>
    </fill>
    <fill>
      <patternFill patternType="gray125"/>
    </fill>
    <fill>
      <patternFill patternType="solid">
        <fgColor theme="8"/>
      </patternFill>
    </fill>
    <fill>
      <patternFill patternType="solid">
        <fgColor rgb="FFFFFFCC"/>
        <bgColor indexed="64"/>
      </patternFill>
    </fill>
    <fill>
      <patternFill patternType="solid">
        <fgColor rgb="FFFFFF00"/>
        <bgColor indexed="64"/>
      </patternFill>
    </fill>
  </fills>
  <borders count="12">
    <border>
      <left/>
      <right/>
      <top/>
      <bottom/>
      <diagonal/>
    </border>
    <border>
      <left style="medium">
        <color indexed="64"/>
      </left>
      <right/>
      <top/>
      <bottom/>
      <diagonal/>
    </border>
    <border>
      <left/>
      <right/>
      <top/>
      <bottom style="thin">
        <color indexed="64"/>
      </bottom>
      <diagonal/>
    </border>
    <border>
      <left/>
      <right/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</borders>
  <cellStyleXfs count="6">
    <xf numFmtId="0" fontId="0" fillId="0" borderId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0" fontId="4" fillId="2" borderId="0" applyNumberFormat="0" applyBorder="0" applyAlignment="0" applyProtection="0"/>
    <xf numFmtId="44" fontId="1" fillId="0" borderId="0" applyFont="0" applyFill="0" applyBorder="0" applyAlignment="0" applyProtection="0"/>
  </cellStyleXfs>
  <cellXfs count="92">
    <xf numFmtId="0" fontId="0" fillId="0" borderId="0" xfId="0"/>
    <xf numFmtId="0" fontId="0" fillId="0" borderId="0" xfId="0" applyAlignment="1">
      <alignment horizontal="center"/>
    </xf>
    <xf numFmtId="164" fontId="0" fillId="0" borderId="0" xfId="0" applyNumberFormat="1" applyAlignment="1">
      <alignment horizontal="center"/>
    </xf>
    <xf numFmtId="0" fontId="0" fillId="0" borderId="0" xfId="0" applyAlignment="1">
      <alignment horizontal="left"/>
    </xf>
    <xf numFmtId="0" fontId="3" fillId="0" borderId="0" xfId="0" applyFont="1" applyAlignment="1">
      <alignment horizontal="center" wrapText="1"/>
    </xf>
    <xf numFmtId="164" fontId="3" fillId="0" borderId="0" xfId="0" applyNumberFormat="1" applyFont="1" applyAlignment="1">
      <alignment wrapText="1"/>
    </xf>
    <xf numFmtId="0" fontId="3" fillId="0" borderId="0" xfId="0" applyFont="1" applyAlignment="1">
      <alignment horizontal="center"/>
    </xf>
    <xf numFmtId="164" fontId="3" fillId="0" borderId="0" xfId="0" applyNumberFormat="1" applyFont="1" applyAlignment="1">
      <alignment horizontal="center" wrapText="1"/>
    </xf>
    <xf numFmtId="5" fontId="0" fillId="0" borderId="0" xfId="2" applyNumberFormat="1" applyFont="1" applyBorder="1" applyAlignment="1">
      <alignment wrapText="1"/>
    </xf>
    <xf numFmtId="14" fontId="5" fillId="0" borderId="0" xfId="0" applyNumberFormat="1" applyFont="1" applyAlignment="1">
      <alignment horizontal="center"/>
    </xf>
    <xf numFmtId="5" fontId="0" fillId="0" borderId="0" xfId="0" applyNumberFormat="1" applyAlignment="1">
      <alignment horizontal="center"/>
    </xf>
    <xf numFmtId="164" fontId="0" fillId="0" borderId="0" xfId="0" applyNumberFormat="1"/>
    <xf numFmtId="5" fontId="0" fillId="0" borderId="0" xfId="2" applyNumberFormat="1" applyFont="1" applyBorder="1"/>
    <xf numFmtId="9" fontId="0" fillId="0" borderId="0" xfId="3" applyFont="1"/>
    <xf numFmtId="164" fontId="0" fillId="0" borderId="0" xfId="3" applyNumberFormat="1" applyFont="1" applyAlignment="1">
      <alignment horizontal="center"/>
    </xf>
    <xf numFmtId="5" fontId="0" fillId="0" borderId="0" xfId="2" applyNumberFormat="1" applyFont="1"/>
    <xf numFmtId="0" fontId="6" fillId="0" borderId="1" xfId="0" applyFont="1" applyBorder="1"/>
    <xf numFmtId="165" fontId="0" fillId="0" borderId="0" xfId="0" applyNumberFormat="1" applyAlignment="1">
      <alignment horizontal="center"/>
    </xf>
    <xf numFmtId="0" fontId="6" fillId="0" borderId="0" xfId="0" applyFont="1" applyAlignment="1">
      <alignment horizontal="center"/>
    </xf>
    <xf numFmtId="0" fontId="0" fillId="0" borderId="1" xfId="0" applyBorder="1"/>
    <xf numFmtId="0" fontId="0" fillId="0" borderId="1" xfId="0" applyBorder="1" applyAlignment="1">
      <alignment horizontal="left"/>
    </xf>
    <xf numFmtId="6" fontId="0" fillId="0" borderId="0" xfId="0" applyNumberFormat="1" applyAlignment="1">
      <alignment horizontal="center"/>
    </xf>
    <xf numFmtId="166" fontId="0" fillId="0" borderId="0" xfId="3" applyNumberFormat="1" applyFont="1" applyFill="1" applyAlignment="1">
      <alignment horizontal="center"/>
    </xf>
    <xf numFmtId="10" fontId="0" fillId="3" borderId="0" xfId="0" applyNumberFormat="1" applyFill="1" applyAlignment="1">
      <alignment horizontal="center"/>
    </xf>
    <xf numFmtId="0" fontId="0" fillId="0" borderId="2" xfId="0" applyBorder="1"/>
    <xf numFmtId="0" fontId="0" fillId="3" borderId="0" xfId="0" applyFill="1"/>
    <xf numFmtId="14" fontId="5" fillId="0" borderId="1" xfId="0" applyNumberFormat="1" applyFont="1" applyBorder="1" applyAlignment="1">
      <alignment horizontal="left"/>
    </xf>
    <xf numFmtId="3" fontId="5" fillId="0" borderId="0" xfId="0" applyNumberFormat="1" applyFont="1" applyAlignment="1">
      <alignment horizontal="center"/>
    </xf>
    <xf numFmtId="167" fontId="0" fillId="0" borderId="0" xfId="0" applyNumberFormat="1"/>
    <xf numFmtId="43" fontId="3" fillId="0" borderId="0" xfId="1" applyFont="1" applyFill="1" applyBorder="1" applyAlignment="1">
      <alignment horizontal="center"/>
    </xf>
    <xf numFmtId="3" fontId="0" fillId="0" borderId="0" xfId="0" applyNumberFormat="1" applyAlignment="1">
      <alignment horizontal="center"/>
    </xf>
    <xf numFmtId="167" fontId="0" fillId="3" borderId="0" xfId="2" applyNumberFormat="1" applyFont="1" applyFill="1" applyBorder="1" applyAlignment="1">
      <alignment horizontal="center"/>
    </xf>
    <xf numFmtId="0" fontId="0" fillId="0" borderId="3" xfId="0" applyBorder="1"/>
    <xf numFmtId="37" fontId="3" fillId="0" borderId="0" xfId="1" applyNumberFormat="1" applyFont="1" applyFill="1" applyBorder="1" applyAlignment="1">
      <alignment horizontal="center" vertical="center"/>
    </xf>
    <xf numFmtId="3" fontId="0" fillId="0" borderId="3" xfId="0" applyNumberFormat="1" applyBorder="1" applyAlignment="1">
      <alignment horizontal="center"/>
    </xf>
    <xf numFmtId="168" fontId="3" fillId="0" borderId="0" xfId="1" applyNumberFormat="1" applyFont="1" applyFill="1" applyBorder="1" applyAlignment="1">
      <alignment horizontal="center"/>
    </xf>
    <xf numFmtId="167" fontId="0" fillId="0" borderId="0" xfId="0" applyNumberFormat="1" applyAlignment="1">
      <alignment horizontal="center"/>
    </xf>
    <xf numFmtId="37" fontId="3" fillId="0" borderId="0" xfId="1" applyNumberFormat="1" applyFont="1" applyFill="1" applyBorder="1" applyAlignment="1">
      <alignment horizontal="center"/>
    </xf>
    <xf numFmtId="9" fontId="0" fillId="0" borderId="0" xfId="3" applyFont="1" applyFill="1" applyBorder="1" applyAlignment="1">
      <alignment horizontal="center"/>
    </xf>
    <xf numFmtId="9" fontId="0" fillId="3" borderId="0" xfId="3" applyFont="1" applyFill="1" applyBorder="1" applyAlignment="1">
      <alignment horizontal="center"/>
    </xf>
    <xf numFmtId="10" fontId="0" fillId="0" borderId="0" xfId="3" applyNumberFormat="1" applyFont="1" applyFill="1" applyBorder="1" applyAlignment="1">
      <alignment horizontal="center"/>
    </xf>
    <xf numFmtId="167" fontId="0" fillId="0" borderId="0" xfId="5" applyNumberFormat="1" applyFont="1" applyAlignment="1">
      <alignment horizontal="center"/>
    </xf>
    <xf numFmtId="169" fontId="0" fillId="0" borderId="0" xfId="0" applyNumberFormat="1" applyAlignment="1">
      <alignment horizontal="center"/>
    </xf>
    <xf numFmtId="3" fontId="0" fillId="0" borderId="0" xfId="1" applyNumberFormat="1" applyFont="1" applyAlignment="1">
      <alignment horizontal="center"/>
    </xf>
    <xf numFmtId="14" fontId="5" fillId="0" borderId="0" xfId="0" applyNumberFormat="1" applyFont="1" applyAlignment="1">
      <alignment horizontal="left"/>
    </xf>
    <xf numFmtId="3" fontId="0" fillId="0" borderId="0" xfId="3" applyNumberFormat="1" applyFont="1" applyBorder="1" applyAlignment="1">
      <alignment horizontal="center"/>
    </xf>
    <xf numFmtId="9" fontId="0" fillId="0" borderId="0" xfId="3" applyFont="1" applyBorder="1" applyAlignment="1">
      <alignment horizontal="center"/>
    </xf>
    <xf numFmtId="9" fontId="0" fillId="0" borderId="0" xfId="0" applyNumberFormat="1"/>
    <xf numFmtId="167" fontId="0" fillId="0" borderId="0" xfId="2" applyNumberFormat="1" applyFont="1" applyFill="1" applyBorder="1" applyAlignment="1">
      <alignment horizontal="center"/>
    </xf>
    <xf numFmtId="0" fontId="3" fillId="0" borderId="4" xfId="0" applyFont="1" applyBorder="1" applyAlignment="1">
      <alignment horizontal="center"/>
    </xf>
    <xf numFmtId="0" fontId="3" fillId="0" borderId="4" xfId="0" applyFont="1" applyBorder="1" applyAlignment="1">
      <alignment horizontal="center" wrapText="1"/>
    </xf>
    <xf numFmtId="0" fontId="7" fillId="0" borderId="4" xfId="0" applyFont="1" applyBorder="1" applyAlignment="1">
      <alignment horizontal="center" wrapText="1"/>
    </xf>
    <xf numFmtId="0" fontId="0" fillId="0" borderId="4" xfId="0" applyBorder="1"/>
    <xf numFmtId="0" fontId="3" fillId="0" borderId="4" xfId="0" applyFont="1" applyBorder="1" applyAlignment="1">
      <alignment horizontal="right"/>
    </xf>
    <xf numFmtId="2" fontId="3" fillId="0" borderId="4" xfId="0" applyNumberFormat="1" applyFont="1" applyBorder="1" applyAlignment="1">
      <alignment horizontal="center"/>
    </xf>
    <xf numFmtId="0" fontId="0" fillId="0" borderId="0" xfId="0" applyAlignment="1">
      <alignment wrapText="1"/>
    </xf>
    <xf numFmtId="0" fontId="10" fillId="0" borderId="0" xfId="0" applyFont="1" applyAlignment="1">
      <alignment horizontal="center"/>
    </xf>
    <xf numFmtId="0" fontId="11" fillId="0" borderId="0" xfId="0" applyFont="1" applyAlignment="1">
      <alignment wrapText="1"/>
    </xf>
    <xf numFmtId="0" fontId="12" fillId="0" borderId="0" xfId="0" applyFont="1" applyAlignment="1">
      <alignment wrapText="1"/>
    </xf>
    <xf numFmtId="0" fontId="3" fillId="0" borderId="5" xfId="0" applyFont="1" applyBorder="1"/>
    <xf numFmtId="10" fontId="0" fillId="0" borderId="0" xfId="0" applyNumberFormat="1" applyAlignment="1">
      <alignment horizontal="center"/>
    </xf>
    <xf numFmtId="43" fontId="0" fillId="0" borderId="0" xfId="1" applyFont="1" applyAlignment="1">
      <alignment horizontal="center"/>
    </xf>
    <xf numFmtId="170" fontId="0" fillId="0" borderId="0" xfId="3" applyNumberFormat="1" applyFont="1" applyAlignment="1">
      <alignment horizontal="center"/>
    </xf>
    <xf numFmtId="10" fontId="0" fillId="0" borderId="0" xfId="3" applyNumberFormat="1" applyFont="1" applyAlignment="1">
      <alignment horizontal="center"/>
    </xf>
    <xf numFmtId="0" fontId="3" fillId="0" borderId="4" xfId="0" applyFont="1" applyBorder="1"/>
    <xf numFmtId="170" fontId="2" fillId="0" borderId="6" xfId="3" applyNumberFormat="1" applyFont="1" applyBorder="1" applyAlignment="1">
      <alignment horizontal="center"/>
    </xf>
    <xf numFmtId="171" fontId="13" fillId="0" borderId="0" xfId="3" applyNumberFormat="1" applyFont="1" applyAlignment="1">
      <alignment horizontal="center"/>
    </xf>
    <xf numFmtId="0" fontId="13" fillId="0" borderId="0" xfId="0" applyFont="1" applyAlignment="1">
      <alignment horizontal="center"/>
    </xf>
    <xf numFmtId="10" fontId="14" fillId="0" borderId="0" xfId="3" applyNumberFormat="1" applyFont="1" applyAlignment="1">
      <alignment horizontal="center"/>
    </xf>
    <xf numFmtId="170" fontId="2" fillId="0" borderId="7" xfId="3" applyNumberFormat="1" applyFont="1" applyBorder="1" applyAlignment="1">
      <alignment horizontal="center"/>
    </xf>
    <xf numFmtId="10" fontId="15" fillId="0" borderId="0" xfId="3" applyNumberFormat="1" applyFont="1" applyAlignment="1">
      <alignment horizontal="center"/>
    </xf>
    <xf numFmtId="0" fontId="0" fillId="0" borderId="0" xfId="0" applyAlignment="1">
      <alignment horizontal="right"/>
    </xf>
    <xf numFmtId="10" fontId="1" fillId="0" borderId="0" xfId="3" applyNumberFormat="1" applyFont="1" applyAlignment="1">
      <alignment horizontal="center"/>
    </xf>
    <xf numFmtId="37" fontId="0" fillId="0" borderId="0" xfId="1" applyNumberFormat="1" applyFont="1" applyAlignment="1">
      <alignment horizontal="center"/>
    </xf>
    <xf numFmtId="37" fontId="0" fillId="0" borderId="8" xfId="1" applyNumberFormat="1" applyFont="1" applyBorder="1" applyAlignment="1">
      <alignment horizontal="center"/>
    </xf>
    <xf numFmtId="0" fontId="3" fillId="0" borderId="0" xfId="0" applyFont="1"/>
    <xf numFmtId="170" fontId="2" fillId="0" borderId="9" xfId="3" applyNumberFormat="1" applyFont="1" applyBorder="1" applyAlignment="1">
      <alignment horizontal="center"/>
    </xf>
    <xf numFmtId="0" fontId="3" fillId="0" borderId="10" xfId="0" applyFont="1" applyBorder="1"/>
    <xf numFmtId="10" fontId="2" fillId="4" borderId="0" xfId="0" applyNumberFormat="1" applyFont="1" applyFill="1" applyAlignment="1">
      <alignment horizontal="center"/>
    </xf>
    <xf numFmtId="10" fontId="2" fillId="4" borderId="11" xfId="0" applyNumberFormat="1" applyFont="1" applyFill="1" applyBorder="1" applyAlignment="1">
      <alignment horizontal="center"/>
    </xf>
    <xf numFmtId="10" fontId="4" fillId="2" borderId="4" xfId="4" applyNumberFormat="1" applyBorder="1"/>
    <xf numFmtId="2" fontId="0" fillId="0" borderId="4" xfId="0" applyNumberFormat="1" applyBorder="1" applyAlignment="1">
      <alignment horizontal="center"/>
    </xf>
    <xf numFmtId="43" fontId="3" fillId="0" borderId="4" xfId="1" applyFont="1" applyBorder="1" applyAlignment="1">
      <alignment horizontal="center"/>
    </xf>
    <xf numFmtId="43" fontId="0" fillId="0" borderId="4" xfId="1" applyFont="1" applyBorder="1" applyAlignment="1">
      <alignment horizontal="center"/>
    </xf>
    <xf numFmtId="43" fontId="0" fillId="0" borderId="4" xfId="1" applyFont="1" applyBorder="1"/>
    <xf numFmtId="168" fontId="2" fillId="4" borderId="0" xfId="1" applyNumberFormat="1" applyFont="1" applyFill="1"/>
    <xf numFmtId="168" fontId="0" fillId="0" borderId="0" xfId="1" applyNumberFormat="1" applyFont="1"/>
    <xf numFmtId="9" fontId="16" fillId="0" borderId="0" xfId="3" applyFont="1" applyAlignment="1">
      <alignment horizontal="center"/>
    </xf>
    <xf numFmtId="172" fontId="3" fillId="0" borderId="0" xfId="3" applyNumberFormat="1" applyFont="1" applyAlignment="1">
      <alignment horizontal="center"/>
    </xf>
    <xf numFmtId="0" fontId="15" fillId="0" borderId="0" xfId="0" applyFont="1" applyAlignment="1">
      <alignment horizontal="center"/>
    </xf>
    <xf numFmtId="9" fontId="10" fillId="0" borderId="0" xfId="3" applyFont="1" applyAlignment="1">
      <alignment horizontal="center"/>
    </xf>
    <xf numFmtId="0" fontId="6" fillId="0" borderId="0" xfId="0" applyFont="1" applyAlignment="1">
      <alignment horizontal="center"/>
    </xf>
  </cellXfs>
  <cellStyles count="6">
    <cellStyle name="Accent5" xfId="4" builtinId="45"/>
    <cellStyle name="Comma" xfId="1" builtinId="3"/>
    <cellStyle name="Currency" xfId="2" builtinId="4"/>
    <cellStyle name="Currency 10" xfId="5" xr:uid="{84FE0763-25AB-4ABA-9DC7-1F2A32F12263}"/>
    <cellStyle name="Normal" xfId="0" builtinId="0"/>
    <cellStyle name="Percent" xfId="3" builtinId="5"/>
  </cellStyles>
  <dxfs count="0"/>
  <tableStyles count="1" defaultTableStyle="TableStyleMedium2" defaultPivotStyle="PivotStyleLight16">
    <tableStyle name="Invisible" pivot="0" table="0" count="0" xr9:uid="{0BFCCABB-8257-4D67-9056-AAAFDAB0FC3A}"/>
  </tableStyle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externalLink" Target="externalLinks/externalLink5.xml"/><Relationship Id="rId13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externalLink" Target="externalLinks/externalLink4.xml"/><Relationship Id="rId12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externalLink" Target="externalLinks/externalLink3.xml"/><Relationship Id="rId11" Type="http://schemas.openxmlformats.org/officeDocument/2006/relationships/theme" Target="theme/theme1.xml"/><Relationship Id="rId5" Type="http://schemas.openxmlformats.org/officeDocument/2006/relationships/externalLink" Target="externalLinks/externalLink2.xml"/><Relationship Id="rId15" Type="http://schemas.microsoft.com/office/2006/relationships/vbaProject" Target="vbaProject.bin"/><Relationship Id="rId10" Type="http://schemas.openxmlformats.org/officeDocument/2006/relationships/externalLink" Target="externalLinks/externalLink7.xml"/><Relationship Id="rId4" Type="http://schemas.openxmlformats.org/officeDocument/2006/relationships/externalLink" Target="externalLinks/externalLink1.xml"/><Relationship Id="rId9" Type="http://schemas.openxmlformats.org/officeDocument/2006/relationships/externalLink" Target="externalLinks/externalLink6.xml"/><Relationship Id="rId14" Type="http://schemas.openxmlformats.org/officeDocument/2006/relationships/calcChain" Target="calcChain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1"/>
          <c:order val="0"/>
          <c:tx>
            <c:strRef>
              <c:f>'Benefit-Cost'!$G$1</c:f>
              <c:strCache>
                <c:ptCount val="1"/>
                <c:pt idx="0">
                  <c:v>DEP_SAT_1.8_0MW_0h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cat>
            <c:numRef>
              <c:f>'Benefit-Cost'!$D$3:$D$82</c:f>
              <c:numCache>
                <c:formatCode>m/d/yyyy</c:formatCode>
                <c:ptCount val="80"/>
                <c:pt idx="0">
                  <c:v>44651</c:v>
                </c:pt>
                <c:pt idx="1">
                  <c:v>44742</c:v>
                </c:pt>
                <c:pt idx="2">
                  <c:v>44834</c:v>
                </c:pt>
                <c:pt idx="3">
                  <c:v>44926</c:v>
                </c:pt>
                <c:pt idx="4">
                  <c:v>45016</c:v>
                </c:pt>
                <c:pt idx="5">
                  <c:v>45107</c:v>
                </c:pt>
                <c:pt idx="6">
                  <c:v>45199</c:v>
                </c:pt>
                <c:pt idx="7">
                  <c:v>45291</c:v>
                </c:pt>
                <c:pt idx="8">
                  <c:v>45382</c:v>
                </c:pt>
                <c:pt idx="9">
                  <c:v>45473</c:v>
                </c:pt>
                <c:pt idx="10">
                  <c:v>45565</c:v>
                </c:pt>
                <c:pt idx="11">
                  <c:v>45657</c:v>
                </c:pt>
                <c:pt idx="12">
                  <c:v>45747</c:v>
                </c:pt>
                <c:pt idx="13">
                  <c:v>45838</c:v>
                </c:pt>
                <c:pt idx="14">
                  <c:v>45930</c:v>
                </c:pt>
                <c:pt idx="15">
                  <c:v>46022</c:v>
                </c:pt>
                <c:pt idx="16">
                  <c:v>46112</c:v>
                </c:pt>
                <c:pt idx="17">
                  <c:v>46203</c:v>
                </c:pt>
                <c:pt idx="18">
                  <c:v>46295</c:v>
                </c:pt>
                <c:pt idx="19">
                  <c:v>46387</c:v>
                </c:pt>
                <c:pt idx="20">
                  <c:v>46477</c:v>
                </c:pt>
                <c:pt idx="21">
                  <c:v>46568</c:v>
                </c:pt>
                <c:pt idx="22">
                  <c:v>46660</c:v>
                </c:pt>
                <c:pt idx="23">
                  <c:v>46752</c:v>
                </c:pt>
                <c:pt idx="24">
                  <c:v>46843</c:v>
                </c:pt>
                <c:pt idx="25">
                  <c:v>46934</c:v>
                </c:pt>
                <c:pt idx="26">
                  <c:v>47026</c:v>
                </c:pt>
                <c:pt idx="27">
                  <c:v>47118</c:v>
                </c:pt>
                <c:pt idx="28">
                  <c:v>47208</c:v>
                </c:pt>
                <c:pt idx="29">
                  <c:v>47299</c:v>
                </c:pt>
                <c:pt idx="30">
                  <c:v>47391</c:v>
                </c:pt>
                <c:pt idx="31">
                  <c:v>47483</c:v>
                </c:pt>
                <c:pt idx="32">
                  <c:v>47573</c:v>
                </c:pt>
                <c:pt idx="33">
                  <c:v>47664</c:v>
                </c:pt>
                <c:pt idx="34">
                  <c:v>47756</c:v>
                </c:pt>
                <c:pt idx="35">
                  <c:v>47848</c:v>
                </c:pt>
                <c:pt idx="36">
                  <c:v>47938</c:v>
                </c:pt>
                <c:pt idx="37">
                  <c:v>48029</c:v>
                </c:pt>
                <c:pt idx="38">
                  <c:v>48121</c:v>
                </c:pt>
                <c:pt idx="39">
                  <c:v>48213</c:v>
                </c:pt>
                <c:pt idx="40">
                  <c:v>48304</c:v>
                </c:pt>
                <c:pt idx="41">
                  <c:v>48395</c:v>
                </c:pt>
                <c:pt idx="42">
                  <c:v>48487</c:v>
                </c:pt>
                <c:pt idx="43">
                  <c:v>48579</c:v>
                </c:pt>
                <c:pt idx="44">
                  <c:v>48669</c:v>
                </c:pt>
                <c:pt idx="45">
                  <c:v>48760</c:v>
                </c:pt>
                <c:pt idx="46">
                  <c:v>48852</c:v>
                </c:pt>
                <c:pt idx="47">
                  <c:v>48944</c:v>
                </c:pt>
                <c:pt idx="48">
                  <c:v>49034</c:v>
                </c:pt>
                <c:pt idx="49">
                  <c:v>49125</c:v>
                </c:pt>
                <c:pt idx="50">
                  <c:v>49217</c:v>
                </c:pt>
                <c:pt idx="51">
                  <c:v>49309</c:v>
                </c:pt>
                <c:pt idx="52">
                  <c:v>49399</c:v>
                </c:pt>
                <c:pt idx="53">
                  <c:v>49490</c:v>
                </c:pt>
                <c:pt idx="54">
                  <c:v>49582</c:v>
                </c:pt>
                <c:pt idx="55">
                  <c:v>49674</c:v>
                </c:pt>
                <c:pt idx="56">
                  <c:v>49765</c:v>
                </c:pt>
                <c:pt idx="57">
                  <c:v>49856</c:v>
                </c:pt>
                <c:pt idx="58">
                  <c:v>49948</c:v>
                </c:pt>
                <c:pt idx="59">
                  <c:v>50040</c:v>
                </c:pt>
                <c:pt idx="60">
                  <c:v>50130</c:v>
                </c:pt>
                <c:pt idx="61">
                  <c:v>50221</c:v>
                </c:pt>
                <c:pt idx="62">
                  <c:v>50313</c:v>
                </c:pt>
                <c:pt idx="63">
                  <c:v>50405</c:v>
                </c:pt>
                <c:pt idx="64">
                  <c:v>50495</c:v>
                </c:pt>
                <c:pt idx="65">
                  <c:v>50586</c:v>
                </c:pt>
                <c:pt idx="66">
                  <c:v>50678</c:v>
                </c:pt>
                <c:pt idx="67">
                  <c:v>50770</c:v>
                </c:pt>
                <c:pt idx="68">
                  <c:v>50860</c:v>
                </c:pt>
                <c:pt idx="69">
                  <c:v>50951</c:v>
                </c:pt>
                <c:pt idx="70">
                  <c:v>51043</c:v>
                </c:pt>
                <c:pt idx="71">
                  <c:v>51135</c:v>
                </c:pt>
                <c:pt idx="72">
                  <c:v>51226</c:v>
                </c:pt>
                <c:pt idx="73">
                  <c:v>51317</c:v>
                </c:pt>
                <c:pt idx="74">
                  <c:v>51409</c:v>
                </c:pt>
                <c:pt idx="75">
                  <c:v>51501</c:v>
                </c:pt>
                <c:pt idx="76">
                  <c:v>51591</c:v>
                </c:pt>
                <c:pt idx="77">
                  <c:v>51682</c:v>
                </c:pt>
                <c:pt idx="78">
                  <c:v>51774</c:v>
                </c:pt>
                <c:pt idx="79">
                  <c:v>51866</c:v>
                </c:pt>
              </c:numCache>
            </c:numRef>
          </c:cat>
          <c:val>
            <c:numRef>
              <c:f>'Benefit-Cost'!$G$3:$G$82</c:f>
              <c:numCache>
                <c:formatCode>"$"#,##0_);\("$"#,##0\)</c:formatCode>
                <c:ptCount val="80"/>
                <c:pt idx="0">
                  <c:v>-89762.884132666048</c:v>
                </c:pt>
                <c:pt idx="1">
                  <c:v>-139988.2015006193</c:v>
                </c:pt>
                <c:pt idx="2">
                  <c:v>-129891.13945806026</c:v>
                </c:pt>
                <c:pt idx="3">
                  <c:v>-79108.863577492535</c:v>
                </c:pt>
                <c:pt idx="4">
                  <c:v>-89265.762501802761</c:v>
                </c:pt>
                <c:pt idx="5">
                  <c:v>-139284.22769623529</c:v>
                </c:pt>
                <c:pt idx="6">
                  <c:v>-129211.0586182815</c:v>
                </c:pt>
                <c:pt idx="7">
                  <c:v>-67992.085037849844</c:v>
                </c:pt>
                <c:pt idx="8">
                  <c:v>-64358.595607937779</c:v>
                </c:pt>
                <c:pt idx="9">
                  <c:v>-115518.0105106975</c:v>
                </c:pt>
                <c:pt idx="10">
                  <c:v>-105043.94565230235</c:v>
                </c:pt>
                <c:pt idx="11">
                  <c:v>-66017.10895233159</c:v>
                </c:pt>
                <c:pt idx="12">
                  <c:v>-63268.662206467241</c:v>
                </c:pt>
                <c:pt idx="13">
                  <c:v>-114982.44541299157</c:v>
                </c:pt>
                <c:pt idx="14">
                  <c:v>-104534.1561250654</c:v>
                </c:pt>
                <c:pt idx="15">
                  <c:v>-51239.400118275313</c:v>
                </c:pt>
                <c:pt idx="16">
                  <c:v>-37968.632229324896</c:v>
                </c:pt>
                <c:pt idx="17">
                  <c:v>-91618.289930519182</c:v>
                </c:pt>
                <c:pt idx="18">
                  <c:v>-80840.721186291426</c:v>
                </c:pt>
                <c:pt idx="19">
                  <c:v>-53079.442022406263</c:v>
                </c:pt>
                <c:pt idx="20">
                  <c:v>-37881.668762553483</c:v>
                </c:pt>
                <c:pt idx="21">
                  <c:v>-91071.75612100726</c:v>
                </c:pt>
                <c:pt idx="22">
                  <c:v>-80334.912887891289</c:v>
                </c:pt>
                <c:pt idx="23">
                  <c:v>-38129.384583919309</c:v>
                </c:pt>
                <c:pt idx="24">
                  <c:v>-38233.701878035441</c:v>
                </c:pt>
                <c:pt idx="25">
                  <c:v>-90538.6732997871</c:v>
                </c:pt>
                <c:pt idx="26">
                  <c:v>-79895.165623521898</c:v>
                </c:pt>
                <c:pt idx="27">
                  <c:v>-40218.916350431042</c:v>
                </c:pt>
                <c:pt idx="28">
                  <c:v>-25027.452205833048</c:v>
                </c:pt>
                <c:pt idx="29">
                  <c:v>-78882.322875721846</c:v>
                </c:pt>
                <c:pt idx="30">
                  <c:v>-67999.185067095794</c:v>
                </c:pt>
                <c:pt idx="31">
                  <c:v>-38516.884579538833</c:v>
                </c:pt>
                <c:pt idx="32">
                  <c:v>-24897.94874668913</c:v>
                </c:pt>
                <c:pt idx="33">
                  <c:v>-78537.964901925763</c:v>
                </c:pt>
                <c:pt idx="34">
                  <c:v>-67691.966238129884</c:v>
                </c:pt>
                <c:pt idx="35">
                  <c:v>-38175.519959227415</c:v>
                </c:pt>
                <c:pt idx="36">
                  <c:v>-24852.446507658809</c:v>
                </c:pt>
                <c:pt idx="37">
                  <c:v>-78171.664679087466</c:v>
                </c:pt>
                <c:pt idx="38">
                  <c:v>-67379.709231992252</c:v>
                </c:pt>
                <c:pt idx="39">
                  <c:v>-37551.605468470603</c:v>
                </c:pt>
                <c:pt idx="40">
                  <c:v>-12798.130933877546</c:v>
                </c:pt>
                <c:pt idx="41">
                  <c:v>-66646.127652433235</c:v>
                </c:pt>
                <c:pt idx="42">
                  <c:v>-55757.813778586686</c:v>
                </c:pt>
                <c:pt idx="43">
                  <c:v>-25365.302871648921</c:v>
                </c:pt>
                <c:pt idx="44">
                  <c:v>-12735.893793292809</c:v>
                </c:pt>
                <c:pt idx="45">
                  <c:v>-66247.633343890542</c:v>
                </c:pt>
                <c:pt idx="46">
                  <c:v>-55546.029105250724</c:v>
                </c:pt>
                <c:pt idx="47">
                  <c:v>-23900.336240887176</c:v>
                </c:pt>
                <c:pt idx="48">
                  <c:v>-12489.351325883064</c:v>
                </c:pt>
                <c:pt idx="49">
                  <c:v>-65901.129353979602</c:v>
                </c:pt>
                <c:pt idx="50">
                  <c:v>-55152.369984318968</c:v>
                </c:pt>
                <c:pt idx="51">
                  <c:v>-30568.6897395954</c:v>
                </c:pt>
                <c:pt idx="52">
                  <c:v>-12336.426921315957</c:v>
                </c:pt>
                <c:pt idx="53">
                  <c:v>-65621.16686498397</c:v>
                </c:pt>
                <c:pt idx="54">
                  <c:v>-54849.202175144572</c:v>
                </c:pt>
                <c:pt idx="55">
                  <c:v>-28755.810418851441</c:v>
                </c:pt>
                <c:pt idx="56">
                  <c:v>-12492.406831598375</c:v>
                </c:pt>
                <c:pt idx="57">
                  <c:v>-65377.98343401961</c:v>
                </c:pt>
                <c:pt idx="58">
                  <c:v>-54640.510753657203</c:v>
                </c:pt>
                <c:pt idx="59">
                  <c:v>-14939.999707509996</c:v>
                </c:pt>
                <c:pt idx="60">
                  <c:v>11349.681345514953</c:v>
                </c:pt>
                <c:pt idx="61">
                  <c:v>-43514.033314918168</c:v>
                </c:pt>
                <c:pt idx="62">
                  <c:v>-32509.189338163007</c:v>
                </c:pt>
                <c:pt idx="63">
                  <c:v>-16747.370374088874</c:v>
                </c:pt>
                <c:pt idx="64">
                  <c:v>11130.665155551862</c:v>
                </c:pt>
                <c:pt idx="65">
                  <c:v>-43156.966761171585</c:v>
                </c:pt>
                <c:pt idx="66">
                  <c:v>-32186.386614723364</c:v>
                </c:pt>
                <c:pt idx="67">
                  <c:v>-7992.9392203171737</c:v>
                </c:pt>
                <c:pt idx="68">
                  <c:v>10998.829956547823</c:v>
                </c:pt>
                <c:pt idx="69">
                  <c:v>-42827.733156792819</c:v>
                </c:pt>
                <c:pt idx="70">
                  <c:v>-32106.728710967349</c:v>
                </c:pt>
                <c:pt idx="71">
                  <c:v>-8003.4891693950631</c:v>
                </c:pt>
                <c:pt idx="72">
                  <c:v>11271.631225312594</c:v>
                </c:pt>
                <c:pt idx="73">
                  <c:v>-42689.588450909825</c:v>
                </c:pt>
                <c:pt idx="74">
                  <c:v>-31772.167669462273</c:v>
                </c:pt>
                <c:pt idx="75">
                  <c:v>-11827.402770737652</c:v>
                </c:pt>
                <c:pt idx="76">
                  <c:v>11225.112836121581</c:v>
                </c:pt>
                <c:pt idx="77">
                  <c:v>-42543.80978294299</c:v>
                </c:pt>
                <c:pt idx="78">
                  <c:v>-31657.619338631863</c:v>
                </c:pt>
                <c:pt idx="79">
                  <c:v>-111695.51582400897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DAD5-4132-BBC4-A68F012C9B4C}"/>
            </c:ext>
          </c:extLst>
        </c:ser>
        <c:ser>
          <c:idx val="0"/>
          <c:order val="1"/>
          <c:tx>
            <c:strRef>
              <c:f>'Benefit-Cost'!$M$1</c:f>
              <c:strCache>
                <c:ptCount val="1"/>
                <c:pt idx="0">
                  <c:v>DEP_SAT_1.8_4.5MW_4h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numRef>
              <c:f>'Benefit-Cost'!$D$3:$D$82</c:f>
              <c:numCache>
                <c:formatCode>m/d/yyyy</c:formatCode>
                <c:ptCount val="80"/>
                <c:pt idx="0">
                  <c:v>44651</c:v>
                </c:pt>
                <c:pt idx="1">
                  <c:v>44742</c:v>
                </c:pt>
                <c:pt idx="2">
                  <c:v>44834</c:v>
                </c:pt>
                <c:pt idx="3">
                  <c:v>44926</c:v>
                </c:pt>
                <c:pt idx="4">
                  <c:v>45016</c:v>
                </c:pt>
                <c:pt idx="5">
                  <c:v>45107</c:v>
                </c:pt>
                <c:pt idx="6">
                  <c:v>45199</c:v>
                </c:pt>
                <c:pt idx="7">
                  <c:v>45291</c:v>
                </c:pt>
                <c:pt idx="8">
                  <c:v>45382</c:v>
                </c:pt>
                <c:pt idx="9">
                  <c:v>45473</c:v>
                </c:pt>
                <c:pt idx="10">
                  <c:v>45565</c:v>
                </c:pt>
                <c:pt idx="11">
                  <c:v>45657</c:v>
                </c:pt>
                <c:pt idx="12">
                  <c:v>45747</c:v>
                </c:pt>
                <c:pt idx="13">
                  <c:v>45838</c:v>
                </c:pt>
                <c:pt idx="14">
                  <c:v>45930</c:v>
                </c:pt>
                <c:pt idx="15">
                  <c:v>46022</c:v>
                </c:pt>
                <c:pt idx="16">
                  <c:v>46112</c:v>
                </c:pt>
                <c:pt idx="17">
                  <c:v>46203</c:v>
                </c:pt>
                <c:pt idx="18">
                  <c:v>46295</c:v>
                </c:pt>
                <c:pt idx="19">
                  <c:v>46387</c:v>
                </c:pt>
                <c:pt idx="20">
                  <c:v>46477</c:v>
                </c:pt>
                <c:pt idx="21">
                  <c:v>46568</c:v>
                </c:pt>
                <c:pt idx="22">
                  <c:v>46660</c:v>
                </c:pt>
                <c:pt idx="23">
                  <c:v>46752</c:v>
                </c:pt>
                <c:pt idx="24">
                  <c:v>46843</c:v>
                </c:pt>
                <c:pt idx="25">
                  <c:v>46934</c:v>
                </c:pt>
                <c:pt idx="26">
                  <c:v>47026</c:v>
                </c:pt>
                <c:pt idx="27">
                  <c:v>47118</c:v>
                </c:pt>
                <c:pt idx="28">
                  <c:v>47208</c:v>
                </c:pt>
                <c:pt idx="29">
                  <c:v>47299</c:v>
                </c:pt>
                <c:pt idx="30">
                  <c:v>47391</c:v>
                </c:pt>
                <c:pt idx="31">
                  <c:v>47483</c:v>
                </c:pt>
                <c:pt idx="32">
                  <c:v>47573</c:v>
                </c:pt>
                <c:pt idx="33">
                  <c:v>47664</c:v>
                </c:pt>
                <c:pt idx="34">
                  <c:v>47756</c:v>
                </c:pt>
                <c:pt idx="35">
                  <c:v>47848</c:v>
                </c:pt>
                <c:pt idx="36">
                  <c:v>47938</c:v>
                </c:pt>
                <c:pt idx="37">
                  <c:v>48029</c:v>
                </c:pt>
                <c:pt idx="38">
                  <c:v>48121</c:v>
                </c:pt>
                <c:pt idx="39">
                  <c:v>48213</c:v>
                </c:pt>
                <c:pt idx="40">
                  <c:v>48304</c:v>
                </c:pt>
                <c:pt idx="41">
                  <c:v>48395</c:v>
                </c:pt>
                <c:pt idx="42">
                  <c:v>48487</c:v>
                </c:pt>
                <c:pt idx="43">
                  <c:v>48579</c:v>
                </c:pt>
                <c:pt idx="44">
                  <c:v>48669</c:v>
                </c:pt>
                <c:pt idx="45">
                  <c:v>48760</c:v>
                </c:pt>
                <c:pt idx="46">
                  <c:v>48852</c:v>
                </c:pt>
                <c:pt idx="47">
                  <c:v>48944</c:v>
                </c:pt>
                <c:pt idx="48">
                  <c:v>49034</c:v>
                </c:pt>
                <c:pt idx="49">
                  <c:v>49125</c:v>
                </c:pt>
                <c:pt idx="50">
                  <c:v>49217</c:v>
                </c:pt>
                <c:pt idx="51">
                  <c:v>49309</c:v>
                </c:pt>
                <c:pt idx="52">
                  <c:v>49399</c:v>
                </c:pt>
                <c:pt idx="53">
                  <c:v>49490</c:v>
                </c:pt>
                <c:pt idx="54">
                  <c:v>49582</c:v>
                </c:pt>
                <c:pt idx="55">
                  <c:v>49674</c:v>
                </c:pt>
                <c:pt idx="56">
                  <c:v>49765</c:v>
                </c:pt>
                <c:pt idx="57">
                  <c:v>49856</c:v>
                </c:pt>
                <c:pt idx="58">
                  <c:v>49948</c:v>
                </c:pt>
                <c:pt idx="59">
                  <c:v>50040</c:v>
                </c:pt>
                <c:pt idx="60">
                  <c:v>50130</c:v>
                </c:pt>
                <c:pt idx="61">
                  <c:v>50221</c:v>
                </c:pt>
                <c:pt idx="62">
                  <c:v>50313</c:v>
                </c:pt>
                <c:pt idx="63">
                  <c:v>50405</c:v>
                </c:pt>
                <c:pt idx="64">
                  <c:v>50495</c:v>
                </c:pt>
                <c:pt idx="65">
                  <c:v>50586</c:v>
                </c:pt>
                <c:pt idx="66">
                  <c:v>50678</c:v>
                </c:pt>
                <c:pt idx="67">
                  <c:v>50770</c:v>
                </c:pt>
                <c:pt idx="68">
                  <c:v>50860</c:v>
                </c:pt>
                <c:pt idx="69">
                  <c:v>50951</c:v>
                </c:pt>
                <c:pt idx="70">
                  <c:v>51043</c:v>
                </c:pt>
                <c:pt idx="71">
                  <c:v>51135</c:v>
                </c:pt>
                <c:pt idx="72">
                  <c:v>51226</c:v>
                </c:pt>
                <c:pt idx="73">
                  <c:v>51317</c:v>
                </c:pt>
                <c:pt idx="74">
                  <c:v>51409</c:v>
                </c:pt>
                <c:pt idx="75">
                  <c:v>51501</c:v>
                </c:pt>
                <c:pt idx="76">
                  <c:v>51591</c:v>
                </c:pt>
                <c:pt idx="77">
                  <c:v>51682</c:v>
                </c:pt>
                <c:pt idx="78">
                  <c:v>51774</c:v>
                </c:pt>
                <c:pt idx="79">
                  <c:v>51866</c:v>
                </c:pt>
              </c:numCache>
            </c:numRef>
          </c:cat>
          <c:val>
            <c:numRef>
              <c:f>'Benefit-Cost'!$M$3:$M$82</c:f>
              <c:numCache>
                <c:formatCode>"$"#,##0</c:formatCode>
                <c:ptCount val="80"/>
                <c:pt idx="0">
                  <c:v>-156471.5370502593</c:v>
                </c:pt>
                <c:pt idx="1">
                  <c:v>-238292.32130438508</c:v>
                </c:pt>
                <c:pt idx="2">
                  <c:v>-222050.17303169891</c:v>
                </c:pt>
                <c:pt idx="3">
                  <c:v>-142224.75280944537</c:v>
                </c:pt>
                <c:pt idx="4">
                  <c:v>-155993.27099202154</c:v>
                </c:pt>
                <c:pt idx="5">
                  <c:v>-237634.73220968852</c:v>
                </c:pt>
                <c:pt idx="6">
                  <c:v>-221364.30379003892</c:v>
                </c:pt>
                <c:pt idx="7">
                  <c:v>-131896.11207881174</c:v>
                </c:pt>
                <c:pt idx="8">
                  <c:v>-128681.47039835248</c:v>
                </c:pt>
                <c:pt idx="9">
                  <c:v>-212138.0054970854</c:v>
                </c:pt>
                <c:pt idx="10">
                  <c:v>-195571.72052108403</c:v>
                </c:pt>
                <c:pt idx="11">
                  <c:v>-130496.42812167457</c:v>
                </c:pt>
                <c:pt idx="12">
                  <c:v>-126865.8672697125</c:v>
                </c:pt>
                <c:pt idx="13">
                  <c:v>-211849.88054313278</c:v>
                </c:pt>
                <c:pt idx="14">
                  <c:v>-195008.98089359002</c:v>
                </c:pt>
                <c:pt idx="15">
                  <c:v>-113506.98336144048</c:v>
                </c:pt>
                <c:pt idx="16">
                  <c:v>-98319.62929324666</c:v>
                </c:pt>
                <c:pt idx="17">
                  <c:v>-186632.36744492548</c:v>
                </c:pt>
                <c:pt idx="18">
                  <c:v>-169458.23483877862</c:v>
                </c:pt>
                <c:pt idx="19">
                  <c:v>-114995.66679042694</c:v>
                </c:pt>
                <c:pt idx="20">
                  <c:v>-98225.112514337525</c:v>
                </c:pt>
                <c:pt idx="21">
                  <c:v>-186186.89227046631</c:v>
                </c:pt>
                <c:pt idx="22">
                  <c:v>-168953.85471422458</c:v>
                </c:pt>
                <c:pt idx="23">
                  <c:v>-98811.089604797307</c:v>
                </c:pt>
                <c:pt idx="24">
                  <c:v>-99300.282349218614</c:v>
                </c:pt>
                <c:pt idx="25">
                  <c:v>-185803.44536000909</c:v>
                </c:pt>
                <c:pt idx="26">
                  <c:v>-168591.39840430114</c:v>
                </c:pt>
                <c:pt idx="27">
                  <c:v>-101181.92441541608</c:v>
                </c:pt>
                <c:pt idx="28">
                  <c:v>-83646.974586057011</c:v>
                </c:pt>
                <c:pt idx="29">
                  <c:v>-173158.42487947224</c:v>
                </c:pt>
                <c:pt idx="30">
                  <c:v>-155669.02613550983</c:v>
                </c:pt>
                <c:pt idx="31">
                  <c:v>-99335.645924211014</c:v>
                </c:pt>
                <c:pt idx="32">
                  <c:v>-83452.344761670567</c:v>
                </c:pt>
                <c:pt idx="33">
                  <c:v>-172869.35676834732</c:v>
                </c:pt>
                <c:pt idx="34">
                  <c:v>-155395.24923091941</c:v>
                </c:pt>
                <c:pt idx="35">
                  <c:v>-99040.693629903253</c:v>
                </c:pt>
                <c:pt idx="36">
                  <c:v>-83389.644253947772</c:v>
                </c:pt>
                <c:pt idx="37">
                  <c:v>-172630.88299126318</c:v>
                </c:pt>
                <c:pt idx="38">
                  <c:v>-154987.44975620881</c:v>
                </c:pt>
                <c:pt idx="39">
                  <c:v>-96977.476790589746</c:v>
                </c:pt>
                <c:pt idx="40">
                  <c:v>-70265.912626697216</c:v>
                </c:pt>
                <c:pt idx="41">
                  <c:v>-159950.56474547787</c:v>
                </c:pt>
                <c:pt idx="42">
                  <c:v>-142211.45940129412</c:v>
                </c:pt>
                <c:pt idx="43">
                  <c:v>-83652.567567248363</c:v>
                </c:pt>
                <c:pt idx="44">
                  <c:v>-69433.49396929983</c:v>
                </c:pt>
                <c:pt idx="45">
                  <c:v>-159628.08403825341</c:v>
                </c:pt>
                <c:pt idx="46">
                  <c:v>-141969.13215569267</c:v>
                </c:pt>
                <c:pt idx="47">
                  <c:v>-99109.858014266938</c:v>
                </c:pt>
                <c:pt idx="48">
                  <c:v>-68389.730333317071</c:v>
                </c:pt>
                <c:pt idx="49">
                  <c:v>-160119.73392120935</c:v>
                </c:pt>
                <c:pt idx="50">
                  <c:v>-142194.52166269626</c:v>
                </c:pt>
                <c:pt idx="51">
                  <c:v>-85825.575675558532</c:v>
                </c:pt>
                <c:pt idx="52">
                  <c:v>-68310.340708621778</c:v>
                </c:pt>
                <c:pt idx="53">
                  <c:v>-159757.4658468375</c:v>
                </c:pt>
                <c:pt idx="54">
                  <c:v>-141718.10490721138</c:v>
                </c:pt>
                <c:pt idx="55">
                  <c:v>-86261.943985300371</c:v>
                </c:pt>
                <c:pt idx="56">
                  <c:v>-69123.869655210525</c:v>
                </c:pt>
                <c:pt idx="57">
                  <c:v>-159512.25346189784</c:v>
                </c:pt>
                <c:pt idx="58">
                  <c:v>-141378.50489604333</c:v>
                </c:pt>
                <c:pt idx="59">
                  <c:v>-70407.025715820026</c:v>
                </c:pt>
                <c:pt idx="60">
                  <c:v>-40636.610134638846</c:v>
                </c:pt>
                <c:pt idx="61">
                  <c:v>-134801.31155009521</c:v>
                </c:pt>
                <c:pt idx="62">
                  <c:v>-116561.82361745648</c:v>
                </c:pt>
                <c:pt idx="63">
                  <c:v>-71960.006431327434</c:v>
                </c:pt>
                <c:pt idx="64">
                  <c:v>-40785.639147209469</c:v>
                </c:pt>
                <c:pt idx="65">
                  <c:v>-134397.6925463439</c:v>
                </c:pt>
                <c:pt idx="66">
                  <c:v>-116097.56167371664</c:v>
                </c:pt>
                <c:pt idx="67">
                  <c:v>-62019.694064573385</c:v>
                </c:pt>
                <c:pt idx="68">
                  <c:v>-40836.899335172493</c:v>
                </c:pt>
                <c:pt idx="69">
                  <c:v>-134042.84172944725</c:v>
                </c:pt>
                <c:pt idx="70">
                  <c:v>-115897.75605589664</c:v>
                </c:pt>
                <c:pt idx="71">
                  <c:v>-62836.806559657678</c:v>
                </c:pt>
                <c:pt idx="72">
                  <c:v>-41091.963508898392</c:v>
                </c:pt>
                <c:pt idx="73">
                  <c:v>-133860.64717617165</c:v>
                </c:pt>
                <c:pt idx="74">
                  <c:v>-115482.19476403762</c:v>
                </c:pt>
                <c:pt idx="75">
                  <c:v>-66835.284654770745</c:v>
                </c:pt>
                <c:pt idx="76">
                  <c:v>-40362.367878765333</c:v>
                </c:pt>
                <c:pt idx="77">
                  <c:v>-133652.34657056816</c:v>
                </c:pt>
                <c:pt idx="78">
                  <c:v>-115283.38743962487</c:v>
                </c:pt>
                <c:pt idx="79">
                  <c:v>-50291.659222692251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DAD5-4132-BBC4-A68F012C9B4C}"/>
            </c:ext>
          </c:extLst>
        </c:ser>
        <c:ser>
          <c:idx val="2"/>
          <c:order val="2"/>
          <c:tx>
            <c:strRef>
              <c:f>'Benefit-Cost'!$S$1</c:f>
              <c:strCache>
                <c:ptCount val="1"/>
                <c:pt idx="0">
                  <c:v>DEP_SAT_1.8_9MW_4h</c:v>
                </c:pt>
              </c:strCache>
            </c:strRef>
          </c:tx>
          <c:spPr>
            <a:ln w="28575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cat>
            <c:numRef>
              <c:f>'Benefit-Cost'!$D$3:$D$82</c:f>
              <c:numCache>
                <c:formatCode>m/d/yyyy</c:formatCode>
                <c:ptCount val="80"/>
                <c:pt idx="0">
                  <c:v>44651</c:v>
                </c:pt>
                <c:pt idx="1">
                  <c:v>44742</c:v>
                </c:pt>
                <c:pt idx="2">
                  <c:v>44834</c:v>
                </c:pt>
                <c:pt idx="3">
                  <c:v>44926</c:v>
                </c:pt>
                <c:pt idx="4">
                  <c:v>45016</c:v>
                </c:pt>
                <c:pt idx="5">
                  <c:v>45107</c:v>
                </c:pt>
                <c:pt idx="6">
                  <c:v>45199</c:v>
                </c:pt>
                <c:pt idx="7">
                  <c:v>45291</c:v>
                </c:pt>
                <c:pt idx="8">
                  <c:v>45382</c:v>
                </c:pt>
                <c:pt idx="9">
                  <c:v>45473</c:v>
                </c:pt>
                <c:pt idx="10">
                  <c:v>45565</c:v>
                </c:pt>
                <c:pt idx="11">
                  <c:v>45657</c:v>
                </c:pt>
                <c:pt idx="12">
                  <c:v>45747</c:v>
                </c:pt>
                <c:pt idx="13">
                  <c:v>45838</c:v>
                </c:pt>
                <c:pt idx="14">
                  <c:v>45930</c:v>
                </c:pt>
                <c:pt idx="15">
                  <c:v>46022</c:v>
                </c:pt>
                <c:pt idx="16">
                  <c:v>46112</c:v>
                </c:pt>
                <c:pt idx="17">
                  <c:v>46203</c:v>
                </c:pt>
                <c:pt idx="18">
                  <c:v>46295</c:v>
                </c:pt>
                <c:pt idx="19">
                  <c:v>46387</c:v>
                </c:pt>
                <c:pt idx="20">
                  <c:v>46477</c:v>
                </c:pt>
                <c:pt idx="21">
                  <c:v>46568</c:v>
                </c:pt>
                <c:pt idx="22">
                  <c:v>46660</c:v>
                </c:pt>
                <c:pt idx="23">
                  <c:v>46752</c:v>
                </c:pt>
                <c:pt idx="24">
                  <c:v>46843</c:v>
                </c:pt>
                <c:pt idx="25">
                  <c:v>46934</c:v>
                </c:pt>
                <c:pt idx="26">
                  <c:v>47026</c:v>
                </c:pt>
                <c:pt idx="27">
                  <c:v>47118</c:v>
                </c:pt>
                <c:pt idx="28">
                  <c:v>47208</c:v>
                </c:pt>
                <c:pt idx="29">
                  <c:v>47299</c:v>
                </c:pt>
                <c:pt idx="30">
                  <c:v>47391</c:v>
                </c:pt>
                <c:pt idx="31">
                  <c:v>47483</c:v>
                </c:pt>
                <c:pt idx="32">
                  <c:v>47573</c:v>
                </c:pt>
                <c:pt idx="33">
                  <c:v>47664</c:v>
                </c:pt>
                <c:pt idx="34">
                  <c:v>47756</c:v>
                </c:pt>
                <c:pt idx="35">
                  <c:v>47848</c:v>
                </c:pt>
                <c:pt idx="36">
                  <c:v>47938</c:v>
                </c:pt>
                <c:pt idx="37">
                  <c:v>48029</c:v>
                </c:pt>
                <c:pt idx="38">
                  <c:v>48121</c:v>
                </c:pt>
                <c:pt idx="39">
                  <c:v>48213</c:v>
                </c:pt>
                <c:pt idx="40">
                  <c:v>48304</c:v>
                </c:pt>
                <c:pt idx="41">
                  <c:v>48395</c:v>
                </c:pt>
                <c:pt idx="42">
                  <c:v>48487</c:v>
                </c:pt>
                <c:pt idx="43">
                  <c:v>48579</c:v>
                </c:pt>
                <c:pt idx="44">
                  <c:v>48669</c:v>
                </c:pt>
                <c:pt idx="45">
                  <c:v>48760</c:v>
                </c:pt>
                <c:pt idx="46">
                  <c:v>48852</c:v>
                </c:pt>
                <c:pt idx="47">
                  <c:v>48944</c:v>
                </c:pt>
                <c:pt idx="48">
                  <c:v>49034</c:v>
                </c:pt>
                <c:pt idx="49">
                  <c:v>49125</c:v>
                </c:pt>
                <c:pt idx="50">
                  <c:v>49217</c:v>
                </c:pt>
                <c:pt idx="51">
                  <c:v>49309</c:v>
                </c:pt>
                <c:pt idx="52">
                  <c:v>49399</c:v>
                </c:pt>
                <c:pt idx="53">
                  <c:v>49490</c:v>
                </c:pt>
                <c:pt idx="54">
                  <c:v>49582</c:v>
                </c:pt>
                <c:pt idx="55">
                  <c:v>49674</c:v>
                </c:pt>
                <c:pt idx="56">
                  <c:v>49765</c:v>
                </c:pt>
                <c:pt idx="57">
                  <c:v>49856</c:v>
                </c:pt>
                <c:pt idx="58">
                  <c:v>49948</c:v>
                </c:pt>
                <c:pt idx="59">
                  <c:v>50040</c:v>
                </c:pt>
                <c:pt idx="60">
                  <c:v>50130</c:v>
                </c:pt>
                <c:pt idx="61">
                  <c:v>50221</c:v>
                </c:pt>
                <c:pt idx="62">
                  <c:v>50313</c:v>
                </c:pt>
                <c:pt idx="63">
                  <c:v>50405</c:v>
                </c:pt>
                <c:pt idx="64">
                  <c:v>50495</c:v>
                </c:pt>
                <c:pt idx="65">
                  <c:v>50586</c:v>
                </c:pt>
                <c:pt idx="66">
                  <c:v>50678</c:v>
                </c:pt>
                <c:pt idx="67">
                  <c:v>50770</c:v>
                </c:pt>
                <c:pt idx="68">
                  <c:v>50860</c:v>
                </c:pt>
                <c:pt idx="69">
                  <c:v>50951</c:v>
                </c:pt>
                <c:pt idx="70">
                  <c:v>51043</c:v>
                </c:pt>
                <c:pt idx="71">
                  <c:v>51135</c:v>
                </c:pt>
                <c:pt idx="72">
                  <c:v>51226</c:v>
                </c:pt>
                <c:pt idx="73">
                  <c:v>51317</c:v>
                </c:pt>
                <c:pt idx="74">
                  <c:v>51409</c:v>
                </c:pt>
                <c:pt idx="75">
                  <c:v>51501</c:v>
                </c:pt>
                <c:pt idx="76">
                  <c:v>51591</c:v>
                </c:pt>
                <c:pt idx="77">
                  <c:v>51682</c:v>
                </c:pt>
                <c:pt idx="78">
                  <c:v>51774</c:v>
                </c:pt>
                <c:pt idx="79">
                  <c:v>51866</c:v>
                </c:pt>
              </c:numCache>
            </c:numRef>
          </c:cat>
          <c:val>
            <c:numRef>
              <c:f>'Benefit-Cost'!$S$3:$S$83</c:f>
              <c:numCache>
                <c:formatCode>"$"#,##0</c:formatCode>
                <c:ptCount val="81"/>
                <c:pt idx="0">
                  <c:v>-412731.79963520495</c:v>
                </c:pt>
                <c:pt idx="1">
                  <c:v>-609768.26274436805</c:v>
                </c:pt>
                <c:pt idx="2">
                  <c:v>-569792.06046522222</c:v>
                </c:pt>
                <c:pt idx="3">
                  <c:v>-382117.25269847177</c:v>
                </c:pt>
                <c:pt idx="4">
                  <c:v>-411120.25557012018</c:v>
                </c:pt>
                <c:pt idx="5">
                  <c:v>-607308.66905738693</c:v>
                </c:pt>
                <c:pt idx="6">
                  <c:v>-567526.93088612054</c:v>
                </c:pt>
                <c:pt idx="7">
                  <c:v>-369341.69684149697</c:v>
                </c:pt>
                <c:pt idx="8">
                  <c:v>-380947.70700300951</c:v>
                </c:pt>
                <c:pt idx="9">
                  <c:v>-576004.16833781358</c:v>
                </c:pt>
                <c:pt idx="10">
                  <c:v>-536735.04120994592</c:v>
                </c:pt>
                <c:pt idx="11">
                  <c:v>-367441.58656690829</c:v>
                </c:pt>
                <c:pt idx="12">
                  <c:v>-375300.77030684706</c:v>
                </c:pt>
                <c:pt idx="13">
                  <c:v>-575026.63231804268</c:v>
                </c:pt>
                <c:pt idx="14">
                  <c:v>-534605.78040412581</c:v>
                </c:pt>
                <c:pt idx="15">
                  <c:v>-346191.53805653146</c:v>
                </c:pt>
                <c:pt idx="16">
                  <c:v>-341124.09205385158</c:v>
                </c:pt>
                <c:pt idx="17">
                  <c:v>-544438.01784799388</c:v>
                </c:pt>
                <c:pt idx="18">
                  <c:v>-503804.34761609556</c:v>
                </c:pt>
                <c:pt idx="19">
                  <c:v>-346430.39085681736</c:v>
                </c:pt>
                <c:pt idx="20">
                  <c:v>-340231.9485344789</c:v>
                </c:pt>
                <c:pt idx="21">
                  <c:v>-543080.18261250434</c:v>
                </c:pt>
                <c:pt idx="22">
                  <c:v>-502278.26453091856</c:v>
                </c:pt>
                <c:pt idx="23">
                  <c:v>-328391.92073347024</c:v>
                </c:pt>
                <c:pt idx="24">
                  <c:v>-343581.22740297066</c:v>
                </c:pt>
                <c:pt idx="25">
                  <c:v>-541890.08694698988</c:v>
                </c:pt>
                <c:pt idx="26">
                  <c:v>-501208.73663809104</c:v>
                </c:pt>
                <c:pt idx="27">
                  <c:v>-329270.31994920317</c:v>
                </c:pt>
                <c:pt idx="28">
                  <c:v>-321802.22635111352</c:v>
                </c:pt>
                <c:pt idx="29">
                  <c:v>-526245.03193050157</c:v>
                </c:pt>
                <c:pt idx="30">
                  <c:v>-485369.71044285269</c:v>
                </c:pt>
                <c:pt idx="31">
                  <c:v>-326598.23271524557</c:v>
                </c:pt>
                <c:pt idx="32">
                  <c:v>-320770.32363040559</c:v>
                </c:pt>
                <c:pt idx="33">
                  <c:v>-524932.51269002771</c:v>
                </c:pt>
                <c:pt idx="34">
                  <c:v>-484436.0144868861</c:v>
                </c:pt>
                <c:pt idx="35">
                  <c:v>-325566.82929150038</c:v>
                </c:pt>
                <c:pt idx="36">
                  <c:v>-320090.61915617017</c:v>
                </c:pt>
                <c:pt idx="37">
                  <c:v>-524132.0141882631</c:v>
                </c:pt>
                <c:pt idx="38">
                  <c:v>-482695.69610285107</c:v>
                </c:pt>
                <c:pt idx="39">
                  <c:v>-320823.57087168889</c:v>
                </c:pt>
                <c:pt idx="40">
                  <c:v>-306908.7901764866</c:v>
                </c:pt>
                <c:pt idx="41">
                  <c:v>-508405.2715396476</c:v>
                </c:pt>
                <c:pt idx="42">
                  <c:v>-466928.66868541716</c:v>
                </c:pt>
                <c:pt idx="43">
                  <c:v>-305747.09094768041</c:v>
                </c:pt>
                <c:pt idx="44">
                  <c:v>-302405.97929130262</c:v>
                </c:pt>
                <c:pt idx="45">
                  <c:v>-507422.37273595994</c:v>
                </c:pt>
                <c:pt idx="46">
                  <c:v>-465818.82114446536</c:v>
                </c:pt>
                <c:pt idx="47">
                  <c:v>-332026.29892293829</c:v>
                </c:pt>
                <c:pt idx="48">
                  <c:v>-301517.05546439067</c:v>
                </c:pt>
                <c:pt idx="49">
                  <c:v>-511384.91912281606</c:v>
                </c:pt>
                <c:pt idx="50">
                  <c:v>-468598.69841436669</c:v>
                </c:pt>
                <c:pt idx="51">
                  <c:v>-304643.61261774064</c:v>
                </c:pt>
                <c:pt idx="52">
                  <c:v>-300548.13712429861</c:v>
                </c:pt>
                <c:pt idx="53">
                  <c:v>-509519.27155620093</c:v>
                </c:pt>
                <c:pt idx="54">
                  <c:v>-466575.43341028364</c:v>
                </c:pt>
                <c:pt idx="55">
                  <c:v>-305596.93601599149</c:v>
                </c:pt>
                <c:pt idx="56">
                  <c:v>-303451.33965593809</c:v>
                </c:pt>
                <c:pt idx="57">
                  <c:v>-508199.55601947987</c:v>
                </c:pt>
                <c:pt idx="58">
                  <c:v>-464914.25077485945</c:v>
                </c:pt>
                <c:pt idx="59">
                  <c:v>-285723.02547087474</c:v>
                </c:pt>
                <c:pt idx="60">
                  <c:v>-266607.89604126709</c:v>
                </c:pt>
                <c:pt idx="61">
                  <c:v>-478166.47961123008</c:v>
                </c:pt>
                <c:pt idx="62">
                  <c:v>-434989.39650696144</c:v>
                </c:pt>
                <c:pt idx="63">
                  <c:v>-286329.64168731263</c:v>
                </c:pt>
                <c:pt idx="64">
                  <c:v>-266001.0808258187</c:v>
                </c:pt>
                <c:pt idx="65">
                  <c:v>-476924.25735854637</c:v>
                </c:pt>
                <c:pt idx="66">
                  <c:v>-433536.90731137339</c:v>
                </c:pt>
                <c:pt idx="67">
                  <c:v>-274343.47773875063</c:v>
                </c:pt>
                <c:pt idx="68">
                  <c:v>-265315.73349059606</c:v>
                </c:pt>
                <c:pt idx="69">
                  <c:v>-475781.52525982261</c:v>
                </c:pt>
                <c:pt idx="70">
                  <c:v>-432411.70379331848</c:v>
                </c:pt>
                <c:pt idx="71">
                  <c:v>-274840.2142031251</c:v>
                </c:pt>
                <c:pt idx="72">
                  <c:v>-267669.25483194087</c:v>
                </c:pt>
                <c:pt idx="73">
                  <c:v>-474698.72888649954</c:v>
                </c:pt>
                <c:pt idx="74">
                  <c:v>-431334.18601187179</c:v>
                </c:pt>
                <c:pt idx="75">
                  <c:v>-278080.53257403895</c:v>
                </c:pt>
                <c:pt idx="76">
                  <c:v>-263295.17299479851</c:v>
                </c:pt>
                <c:pt idx="77">
                  <c:v>-473453.35461310623</c:v>
                </c:pt>
                <c:pt idx="78">
                  <c:v>-430446.99444164941</c:v>
                </c:pt>
                <c:pt idx="79">
                  <c:v>29662.371283165878</c:v>
                </c:pt>
                <c:pt idx="80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DAD5-4132-BBC4-A68F012C9B4C}"/>
            </c:ext>
          </c:extLst>
        </c:ser>
        <c:ser>
          <c:idx val="3"/>
          <c:order val="3"/>
          <c:tx>
            <c:strRef>
              <c:f>'Benefit-Cost'!$V$1</c:f>
              <c:strCache>
                <c:ptCount val="1"/>
                <c:pt idx="0">
                  <c:v>DEP_SAT_1_8_13.5MW_4h</c:v>
                </c:pt>
              </c:strCache>
            </c:strRef>
          </c:tx>
          <c:spPr>
            <a:ln w="28575" cap="rnd">
              <a:solidFill>
                <a:schemeClr val="accent4"/>
              </a:solidFill>
              <a:round/>
            </a:ln>
            <a:effectLst/>
          </c:spPr>
          <c:marker>
            <c:symbol val="none"/>
          </c:marker>
          <c:cat>
            <c:numRef>
              <c:f>'Benefit-Cost'!$D$3:$D$82</c:f>
              <c:numCache>
                <c:formatCode>m/d/yyyy</c:formatCode>
                <c:ptCount val="80"/>
                <c:pt idx="0">
                  <c:v>44651</c:v>
                </c:pt>
                <c:pt idx="1">
                  <c:v>44742</c:v>
                </c:pt>
                <c:pt idx="2">
                  <c:v>44834</c:v>
                </c:pt>
                <c:pt idx="3">
                  <c:v>44926</c:v>
                </c:pt>
                <c:pt idx="4">
                  <c:v>45016</c:v>
                </c:pt>
                <c:pt idx="5">
                  <c:v>45107</c:v>
                </c:pt>
                <c:pt idx="6">
                  <c:v>45199</c:v>
                </c:pt>
                <c:pt idx="7">
                  <c:v>45291</c:v>
                </c:pt>
                <c:pt idx="8">
                  <c:v>45382</c:v>
                </c:pt>
                <c:pt idx="9">
                  <c:v>45473</c:v>
                </c:pt>
                <c:pt idx="10">
                  <c:v>45565</c:v>
                </c:pt>
                <c:pt idx="11">
                  <c:v>45657</c:v>
                </c:pt>
                <c:pt idx="12">
                  <c:v>45747</c:v>
                </c:pt>
                <c:pt idx="13">
                  <c:v>45838</c:v>
                </c:pt>
                <c:pt idx="14">
                  <c:v>45930</c:v>
                </c:pt>
                <c:pt idx="15">
                  <c:v>46022</c:v>
                </c:pt>
                <c:pt idx="16">
                  <c:v>46112</c:v>
                </c:pt>
                <c:pt idx="17">
                  <c:v>46203</c:v>
                </c:pt>
                <c:pt idx="18">
                  <c:v>46295</c:v>
                </c:pt>
                <c:pt idx="19">
                  <c:v>46387</c:v>
                </c:pt>
                <c:pt idx="20">
                  <c:v>46477</c:v>
                </c:pt>
                <c:pt idx="21">
                  <c:v>46568</c:v>
                </c:pt>
                <c:pt idx="22">
                  <c:v>46660</c:v>
                </c:pt>
                <c:pt idx="23">
                  <c:v>46752</c:v>
                </c:pt>
                <c:pt idx="24">
                  <c:v>46843</c:v>
                </c:pt>
                <c:pt idx="25">
                  <c:v>46934</c:v>
                </c:pt>
                <c:pt idx="26">
                  <c:v>47026</c:v>
                </c:pt>
                <c:pt idx="27">
                  <c:v>47118</c:v>
                </c:pt>
                <c:pt idx="28">
                  <c:v>47208</c:v>
                </c:pt>
                <c:pt idx="29">
                  <c:v>47299</c:v>
                </c:pt>
                <c:pt idx="30">
                  <c:v>47391</c:v>
                </c:pt>
                <c:pt idx="31">
                  <c:v>47483</c:v>
                </c:pt>
                <c:pt idx="32">
                  <c:v>47573</c:v>
                </c:pt>
                <c:pt idx="33">
                  <c:v>47664</c:v>
                </c:pt>
                <c:pt idx="34">
                  <c:v>47756</c:v>
                </c:pt>
                <c:pt idx="35">
                  <c:v>47848</c:v>
                </c:pt>
                <c:pt idx="36">
                  <c:v>47938</c:v>
                </c:pt>
                <c:pt idx="37">
                  <c:v>48029</c:v>
                </c:pt>
                <c:pt idx="38">
                  <c:v>48121</c:v>
                </c:pt>
                <c:pt idx="39">
                  <c:v>48213</c:v>
                </c:pt>
                <c:pt idx="40">
                  <c:v>48304</c:v>
                </c:pt>
                <c:pt idx="41">
                  <c:v>48395</c:v>
                </c:pt>
                <c:pt idx="42">
                  <c:v>48487</c:v>
                </c:pt>
                <c:pt idx="43">
                  <c:v>48579</c:v>
                </c:pt>
                <c:pt idx="44">
                  <c:v>48669</c:v>
                </c:pt>
                <c:pt idx="45">
                  <c:v>48760</c:v>
                </c:pt>
                <c:pt idx="46">
                  <c:v>48852</c:v>
                </c:pt>
                <c:pt idx="47">
                  <c:v>48944</c:v>
                </c:pt>
                <c:pt idx="48">
                  <c:v>49034</c:v>
                </c:pt>
                <c:pt idx="49">
                  <c:v>49125</c:v>
                </c:pt>
                <c:pt idx="50">
                  <c:v>49217</c:v>
                </c:pt>
                <c:pt idx="51">
                  <c:v>49309</c:v>
                </c:pt>
                <c:pt idx="52">
                  <c:v>49399</c:v>
                </c:pt>
                <c:pt idx="53">
                  <c:v>49490</c:v>
                </c:pt>
                <c:pt idx="54">
                  <c:v>49582</c:v>
                </c:pt>
                <c:pt idx="55">
                  <c:v>49674</c:v>
                </c:pt>
                <c:pt idx="56">
                  <c:v>49765</c:v>
                </c:pt>
                <c:pt idx="57">
                  <c:v>49856</c:v>
                </c:pt>
                <c:pt idx="58">
                  <c:v>49948</c:v>
                </c:pt>
                <c:pt idx="59">
                  <c:v>50040</c:v>
                </c:pt>
                <c:pt idx="60">
                  <c:v>50130</c:v>
                </c:pt>
                <c:pt idx="61">
                  <c:v>50221</c:v>
                </c:pt>
                <c:pt idx="62">
                  <c:v>50313</c:v>
                </c:pt>
                <c:pt idx="63">
                  <c:v>50405</c:v>
                </c:pt>
                <c:pt idx="64">
                  <c:v>50495</c:v>
                </c:pt>
                <c:pt idx="65">
                  <c:v>50586</c:v>
                </c:pt>
                <c:pt idx="66">
                  <c:v>50678</c:v>
                </c:pt>
                <c:pt idx="67">
                  <c:v>50770</c:v>
                </c:pt>
                <c:pt idx="68">
                  <c:v>50860</c:v>
                </c:pt>
                <c:pt idx="69">
                  <c:v>50951</c:v>
                </c:pt>
                <c:pt idx="70">
                  <c:v>51043</c:v>
                </c:pt>
                <c:pt idx="71">
                  <c:v>51135</c:v>
                </c:pt>
                <c:pt idx="72">
                  <c:v>51226</c:v>
                </c:pt>
                <c:pt idx="73">
                  <c:v>51317</c:v>
                </c:pt>
                <c:pt idx="74">
                  <c:v>51409</c:v>
                </c:pt>
                <c:pt idx="75">
                  <c:v>51501</c:v>
                </c:pt>
                <c:pt idx="76">
                  <c:v>51591</c:v>
                </c:pt>
                <c:pt idx="77">
                  <c:v>51682</c:v>
                </c:pt>
                <c:pt idx="78">
                  <c:v>51774</c:v>
                </c:pt>
                <c:pt idx="79">
                  <c:v>51866</c:v>
                </c:pt>
              </c:numCache>
            </c:numRef>
          </c:cat>
          <c:val>
            <c:numRef>
              <c:f>'Benefit-Cost'!$Y$3:$Y$82</c:f>
              <c:numCache>
                <c:formatCode>"$"#,##0</c:formatCode>
                <c:ptCount val="80"/>
                <c:pt idx="0">
                  <c:v>-671810.71165616345</c:v>
                </c:pt>
                <c:pt idx="1">
                  <c:v>-992576.80474543339</c:v>
                </c:pt>
                <c:pt idx="2">
                  <c:v>-925744.60185511736</c:v>
                </c:pt>
                <c:pt idx="3">
                  <c:v>-621597.93010406499</c:v>
                </c:pt>
                <c:pt idx="4">
                  <c:v>-668892.05518724862</c:v>
                </c:pt>
                <c:pt idx="5">
                  <c:v>-987336.87430817913</c:v>
                </c:pt>
                <c:pt idx="6">
                  <c:v>-921220.45955731208</c:v>
                </c:pt>
                <c:pt idx="7">
                  <c:v>-604832.8036190148</c:v>
                </c:pt>
                <c:pt idx="8">
                  <c:v>-635597.60341939842</c:v>
                </c:pt>
                <c:pt idx="9">
                  <c:v>-949498.21071216604</c:v>
                </c:pt>
                <c:pt idx="10">
                  <c:v>-885269.21119396621</c:v>
                </c:pt>
                <c:pt idx="11">
                  <c:v>-602343.26587234251</c:v>
                </c:pt>
                <c:pt idx="12">
                  <c:v>-625922.28432801133</c:v>
                </c:pt>
                <c:pt idx="13">
                  <c:v>-947596.52981061442</c:v>
                </c:pt>
                <c:pt idx="14">
                  <c:v>-880966.44380212948</c:v>
                </c:pt>
                <c:pt idx="15">
                  <c:v>-577136.56628748844</c:v>
                </c:pt>
                <c:pt idx="16">
                  <c:v>-586022.44839258352</c:v>
                </c:pt>
                <c:pt idx="17">
                  <c:v>-911174.62053830223</c:v>
                </c:pt>
                <c:pt idx="18">
                  <c:v>-844590.46597597003</c:v>
                </c:pt>
                <c:pt idx="19">
                  <c:v>-575700.45389919542</c:v>
                </c:pt>
                <c:pt idx="20">
                  <c:v>-584076.65501057589</c:v>
                </c:pt>
                <c:pt idx="21">
                  <c:v>-908603.42692657793</c:v>
                </c:pt>
                <c:pt idx="22">
                  <c:v>-841816.01439554896</c:v>
                </c:pt>
                <c:pt idx="23">
                  <c:v>-555489.98149411054</c:v>
                </c:pt>
                <c:pt idx="24">
                  <c:v>-589492.00913177803</c:v>
                </c:pt>
                <c:pt idx="25">
                  <c:v>-906390.71364466567</c:v>
                </c:pt>
                <c:pt idx="26">
                  <c:v>-840029.49898973387</c:v>
                </c:pt>
                <c:pt idx="27">
                  <c:v>-554156.91205263138</c:v>
                </c:pt>
                <c:pt idx="28">
                  <c:v>-561407.8407018967</c:v>
                </c:pt>
                <c:pt idx="29">
                  <c:v>-887462.74330853112</c:v>
                </c:pt>
                <c:pt idx="30">
                  <c:v>-820962.08584862482</c:v>
                </c:pt>
                <c:pt idx="31">
                  <c:v>-550500.03158360231</c:v>
                </c:pt>
                <c:pt idx="32">
                  <c:v>-559244.7845737352</c:v>
                </c:pt>
                <c:pt idx="33">
                  <c:v>-884734.07358575473</c:v>
                </c:pt>
                <c:pt idx="34">
                  <c:v>-819324.88295742683</c:v>
                </c:pt>
                <c:pt idx="35">
                  <c:v>-548680.77827491798</c:v>
                </c:pt>
                <c:pt idx="36">
                  <c:v>-557828.46624502027</c:v>
                </c:pt>
                <c:pt idx="37">
                  <c:v>-883272.94789505145</c:v>
                </c:pt>
                <c:pt idx="38">
                  <c:v>-815686.90971823595</c:v>
                </c:pt>
                <c:pt idx="39">
                  <c:v>-541727.92837210489</c:v>
                </c:pt>
                <c:pt idx="40">
                  <c:v>-544405.40998621425</c:v>
                </c:pt>
                <c:pt idx="41">
                  <c:v>-864222.37213086151</c:v>
                </c:pt>
                <c:pt idx="42">
                  <c:v>-796696.59590601269</c:v>
                </c:pt>
                <c:pt idx="43">
                  <c:v>-524025.45067446912</c:v>
                </c:pt>
                <c:pt idx="44">
                  <c:v>-536097.35875640996</c:v>
                </c:pt>
                <c:pt idx="45">
                  <c:v>-862443.65533303516</c:v>
                </c:pt>
                <c:pt idx="46">
                  <c:v>-794558.24064611457</c:v>
                </c:pt>
                <c:pt idx="47">
                  <c:v>-555322.94042322366</c:v>
                </c:pt>
                <c:pt idx="48">
                  <c:v>-536240.96339130914</c:v>
                </c:pt>
                <c:pt idx="49">
                  <c:v>-872644.46968392329</c:v>
                </c:pt>
                <c:pt idx="50">
                  <c:v>-801813.13859980274</c:v>
                </c:pt>
                <c:pt idx="51">
                  <c:v>-519876.77120443201</c:v>
                </c:pt>
                <c:pt idx="52">
                  <c:v>-534109.30354066053</c:v>
                </c:pt>
                <c:pt idx="53">
                  <c:v>-868484.8387280535</c:v>
                </c:pt>
                <c:pt idx="54">
                  <c:v>-797631.56274322653</c:v>
                </c:pt>
                <c:pt idx="55">
                  <c:v>-520222.03269106825</c:v>
                </c:pt>
                <c:pt idx="56">
                  <c:v>-538858.92330597248</c:v>
                </c:pt>
                <c:pt idx="57">
                  <c:v>-865654.06002708292</c:v>
                </c:pt>
                <c:pt idx="58">
                  <c:v>-794170.69423088199</c:v>
                </c:pt>
                <c:pt idx="59">
                  <c:v>-496662.55743905366</c:v>
                </c:pt>
                <c:pt idx="60">
                  <c:v>-493643.96572390664</c:v>
                </c:pt>
                <c:pt idx="61">
                  <c:v>-829873.80159717146</c:v>
                </c:pt>
                <c:pt idx="62">
                  <c:v>-758752.24456007825</c:v>
                </c:pt>
                <c:pt idx="63">
                  <c:v>-496080.2944681379</c:v>
                </c:pt>
                <c:pt idx="64">
                  <c:v>-492081.15761977853</c:v>
                </c:pt>
                <c:pt idx="65">
                  <c:v>-827512.62756757392</c:v>
                </c:pt>
                <c:pt idx="66">
                  <c:v>-756079.98655409552</c:v>
                </c:pt>
                <c:pt idx="67">
                  <c:v>-482079.28348648734</c:v>
                </c:pt>
                <c:pt idx="68">
                  <c:v>-490448.33392191119</c:v>
                </c:pt>
                <c:pt idx="69">
                  <c:v>-825380.83275848953</c:v>
                </c:pt>
                <c:pt idx="70">
                  <c:v>-753781.01022730209</c:v>
                </c:pt>
                <c:pt idx="71">
                  <c:v>-482056.18684668606</c:v>
                </c:pt>
                <c:pt idx="72">
                  <c:v>-494587.67955145705</c:v>
                </c:pt>
                <c:pt idx="73">
                  <c:v>-823055.17186492356</c:v>
                </c:pt>
                <c:pt idx="74">
                  <c:v>-751902.42786056874</c:v>
                </c:pt>
                <c:pt idx="75">
                  <c:v>-484665.18759877747</c:v>
                </c:pt>
                <c:pt idx="76">
                  <c:v>-486366.72227938334</c:v>
                </c:pt>
                <c:pt idx="77">
                  <c:v>-820361.91323945159</c:v>
                </c:pt>
                <c:pt idx="78">
                  <c:v>-750228.04566281522</c:v>
                </c:pt>
                <c:pt idx="79">
                  <c:v>103812.67727138824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DAD5-4132-BBC4-A68F012C9B4C}"/>
            </c:ext>
          </c:extLst>
        </c:ser>
        <c:ser>
          <c:idx val="4"/>
          <c:order val="4"/>
          <c:tx>
            <c:strRef>
              <c:f>'Benefit-Cost'!$AB$1</c:f>
              <c:strCache>
                <c:ptCount val="1"/>
                <c:pt idx="0">
                  <c:v>DEP_SAT_1.8_18MW_4h</c:v>
                </c:pt>
              </c:strCache>
            </c:strRef>
          </c:tx>
          <c:spPr>
            <a:ln w="28575" cap="rnd">
              <a:solidFill>
                <a:schemeClr val="accent5"/>
              </a:solidFill>
              <a:round/>
            </a:ln>
            <a:effectLst/>
          </c:spPr>
          <c:marker>
            <c:symbol val="none"/>
          </c:marker>
          <c:cat>
            <c:numRef>
              <c:f>'Benefit-Cost'!$D$3:$D$82</c:f>
              <c:numCache>
                <c:formatCode>m/d/yyyy</c:formatCode>
                <c:ptCount val="80"/>
                <c:pt idx="0">
                  <c:v>44651</c:v>
                </c:pt>
                <c:pt idx="1">
                  <c:v>44742</c:v>
                </c:pt>
                <c:pt idx="2">
                  <c:v>44834</c:v>
                </c:pt>
                <c:pt idx="3">
                  <c:v>44926</c:v>
                </c:pt>
                <c:pt idx="4">
                  <c:v>45016</c:v>
                </c:pt>
                <c:pt idx="5">
                  <c:v>45107</c:v>
                </c:pt>
                <c:pt idx="6">
                  <c:v>45199</c:v>
                </c:pt>
                <c:pt idx="7">
                  <c:v>45291</c:v>
                </c:pt>
                <c:pt idx="8">
                  <c:v>45382</c:v>
                </c:pt>
                <c:pt idx="9">
                  <c:v>45473</c:v>
                </c:pt>
                <c:pt idx="10">
                  <c:v>45565</c:v>
                </c:pt>
                <c:pt idx="11">
                  <c:v>45657</c:v>
                </c:pt>
                <c:pt idx="12">
                  <c:v>45747</c:v>
                </c:pt>
                <c:pt idx="13">
                  <c:v>45838</c:v>
                </c:pt>
                <c:pt idx="14">
                  <c:v>45930</c:v>
                </c:pt>
                <c:pt idx="15">
                  <c:v>46022</c:v>
                </c:pt>
                <c:pt idx="16">
                  <c:v>46112</c:v>
                </c:pt>
                <c:pt idx="17">
                  <c:v>46203</c:v>
                </c:pt>
                <c:pt idx="18">
                  <c:v>46295</c:v>
                </c:pt>
                <c:pt idx="19">
                  <c:v>46387</c:v>
                </c:pt>
                <c:pt idx="20">
                  <c:v>46477</c:v>
                </c:pt>
                <c:pt idx="21">
                  <c:v>46568</c:v>
                </c:pt>
                <c:pt idx="22">
                  <c:v>46660</c:v>
                </c:pt>
                <c:pt idx="23">
                  <c:v>46752</c:v>
                </c:pt>
                <c:pt idx="24">
                  <c:v>46843</c:v>
                </c:pt>
                <c:pt idx="25">
                  <c:v>46934</c:v>
                </c:pt>
                <c:pt idx="26">
                  <c:v>47026</c:v>
                </c:pt>
                <c:pt idx="27">
                  <c:v>47118</c:v>
                </c:pt>
                <c:pt idx="28">
                  <c:v>47208</c:v>
                </c:pt>
                <c:pt idx="29">
                  <c:v>47299</c:v>
                </c:pt>
                <c:pt idx="30">
                  <c:v>47391</c:v>
                </c:pt>
                <c:pt idx="31">
                  <c:v>47483</c:v>
                </c:pt>
                <c:pt idx="32">
                  <c:v>47573</c:v>
                </c:pt>
                <c:pt idx="33">
                  <c:v>47664</c:v>
                </c:pt>
                <c:pt idx="34">
                  <c:v>47756</c:v>
                </c:pt>
                <c:pt idx="35">
                  <c:v>47848</c:v>
                </c:pt>
                <c:pt idx="36">
                  <c:v>47938</c:v>
                </c:pt>
                <c:pt idx="37">
                  <c:v>48029</c:v>
                </c:pt>
                <c:pt idx="38">
                  <c:v>48121</c:v>
                </c:pt>
                <c:pt idx="39">
                  <c:v>48213</c:v>
                </c:pt>
                <c:pt idx="40">
                  <c:v>48304</c:v>
                </c:pt>
                <c:pt idx="41">
                  <c:v>48395</c:v>
                </c:pt>
                <c:pt idx="42">
                  <c:v>48487</c:v>
                </c:pt>
                <c:pt idx="43">
                  <c:v>48579</c:v>
                </c:pt>
                <c:pt idx="44">
                  <c:v>48669</c:v>
                </c:pt>
                <c:pt idx="45">
                  <c:v>48760</c:v>
                </c:pt>
                <c:pt idx="46">
                  <c:v>48852</c:v>
                </c:pt>
                <c:pt idx="47">
                  <c:v>48944</c:v>
                </c:pt>
                <c:pt idx="48">
                  <c:v>49034</c:v>
                </c:pt>
                <c:pt idx="49">
                  <c:v>49125</c:v>
                </c:pt>
                <c:pt idx="50">
                  <c:v>49217</c:v>
                </c:pt>
                <c:pt idx="51">
                  <c:v>49309</c:v>
                </c:pt>
                <c:pt idx="52">
                  <c:v>49399</c:v>
                </c:pt>
                <c:pt idx="53">
                  <c:v>49490</c:v>
                </c:pt>
                <c:pt idx="54">
                  <c:v>49582</c:v>
                </c:pt>
                <c:pt idx="55">
                  <c:v>49674</c:v>
                </c:pt>
                <c:pt idx="56">
                  <c:v>49765</c:v>
                </c:pt>
                <c:pt idx="57">
                  <c:v>49856</c:v>
                </c:pt>
                <c:pt idx="58">
                  <c:v>49948</c:v>
                </c:pt>
                <c:pt idx="59">
                  <c:v>50040</c:v>
                </c:pt>
                <c:pt idx="60">
                  <c:v>50130</c:v>
                </c:pt>
                <c:pt idx="61">
                  <c:v>50221</c:v>
                </c:pt>
                <c:pt idx="62">
                  <c:v>50313</c:v>
                </c:pt>
                <c:pt idx="63">
                  <c:v>50405</c:v>
                </c:pt>
                <c:pt idx="64">
                  <c:v>50495</c:v>
                </c:pt>
                <c:pt idx="65">
                  <c:v>50586</c:v>
                </c:pt>
                <c:pt idx="66">
                  <c:v>50678</c:v>
                </c:pt>
                <c:pt idx="67">
                  <c:v>50770</c:v>
                </c:pt>
                <c:pt idx="68">
                  <c:v>50860</c:v>
                </c:pt>
                <c:pt idx="69">
                  <c:v>50951</c:v>
                </c:pt>
                <c:pt idx="70">
                  <c:v>51043</c:v>
                </c:pt>
                <c:pt idx="71">
                  <c:v>51135</c:v>
                </c:pt>
                <c:pt idx="72">
                  <c:v>51226</c:v>
                </c:pt>
                <c:pt idx="73">
                  <c:v>51317</c:v>
                </c:pt>
                <c:pt idx="74">
                  <c:v>51409</c:v>
                </c:pt>
                <c:pt idx="75">
                  <c:v>51501</c:v>
                </c:pt>
                <c:pt idx="76">
                  <c:v>51591</c:v>
                </c:pt>
                <c:pt idx="77">
                  <c:v>51682</c:v>
                </c:pt>
                <c:pt idx="78">
                  <c:v>51774</c:v>
                </c:pt>
                <c:pt idx="79">
                  <c:v>51866</c:v>
                </c:pt>
              </c:numCache>
            </c:numRef>
          </c:cat>
          <c:val>
            <c:numRef>
              <c:f>'Benefit-Cost'!$AE$3:$AE$82</c:f>
              <c:numCache>
                <c:formatCode>"$"#,##0</c:formatCode>
                <c:ptCount val="80"/>
                <c:pt idx="0">
                  <c:v>-972984.18012961466</c:v>
                </c:pt>
                <c:pt idx="1">
                  <c:v>-1446313.8928618305</c:v>
                </c:pt>
                <c:pt idx="2">
                  <c:v>-1344317.1259679561</c:v>
                </c:pt>
                <c:pt idx="3">
                  <c:v>-897040.02708679345</c:v>
                </c:pt>
                <c:pt idx="4">
                  <c:v>-968443.31732944585</c:v>
                </c:pt>
                <c:pt idx="5">
                  <c:v>-1436961.2760475446</c:v>
                </c:pt>
                <c:pt idx="6">
                  <c:v>-1336697.6067826175</c:v>
                </c:pt>
                <c:pt idx="7">
                  <c:v>-872329.86762182461</c:v>
                </c:pt>
                <c:pt idx="8">
                  <c:v>-931690.48107551597</c:v>
                </c:pt>
                <c:pt idx="9">
                  <c:v>-1391013.3315561018</c:v>
                </c:pt>
                <c:pt idx="10">
                  <c:v>-1294633.6169366161</c:v>
                </c:pt>
                <c:pt idx="11">
                  <c:v>-869997.97735814285</c:v>
                </c:pt>
                <c:pt idx="12">
                  <c:v>-917546.84143884853</c:v>
                </c:pt>
                <c:pt idx="13">
                  <c:v>-1387876.671351742</c:v>
                </c:pt>
                <c:pt idx="14">
                  <c:v>-1287071.1805476248</c:v>
                </c:pt>
                <c:pt idx="15">
                  <c:v>-838590.15403735894</c:v>
                </c:pt>
                <c:pt idx="16">
                  <c:v>-871377.28266901569</c:v>
                </c:pt>
                <c:pt idx="17">
                  <c:v>-1344438.726751083</c:v>
                </c:pt>
                <c:pt idx="18">
                  <c:v>-1244160.155851501</c:v>
                </c:pt>
                <c:pt idx="19">
                  <c:v>-836447.13489965117</c:v>
                </c:pt>
                <c:pt idx="20">
                  <c:v>-868121.94957308145</c:v>
                </c:pt>
                <c:pt idx="21">
                  <c:v>-1340264.9919502391</c:v>
                </c:pt>
                <c:pt idx="22">
                  <c:v>-1239660.8707339293</c:v>
                </c:pt>
                <c:pt idx="23">
                  <c:v>-815628.36298291665</c:v>
                </c:pt>
                <c:pt idx="24">
                  <c:v>-875651.53648420051</c:v>
                </c:pt>
                <c:pt idx="25">
                  <c:v>-1336647.5379123706</c:v>
                </c:pt>
                <c:pt idx="26">
                  <c:v>-1236926.3129127943</c:v>
                </c:pt>
                <c:pt idx="27">
                  <c:v>-809475.38662836817</c:v>
                </c:pt>
                <c:pt idx="28">
                  <c:v>-840583.59734505089</c:v>
                </c:pt>
                <c:pt idx="29">
                  <c:v>-1313677.6241404554</c:v>
                </c:pt>
                <c:pt idx="30">
                  <c:v>-1214029.4134362177</c:v>
                </c:pt>
                <c:pt idx="31">
                  <c:v>-805379.50050238194</c:v>
                </c:pt>
                <c:pt idx="32">
                  <c:v>-836868.92541817296</c:v>
                </c:pt>
                <c:pt idx="33">
                  <c:v>-1308884.4038775871</c:v>
                </c:pt>
                <c:pt idx="34">
                  <c:v>-1211528.1386730061</c:v>
                </c:pt>
                <c:pt idx="35">
                  <c:v>-802776.91133941058</c:v>
                </c:pt>
                <c:pt idx="36">
                  <c:v>-834533.20776053891</c:v>
                </c:pt>
                <c:pt idx="37">
                  <c:v>-1306532.6055424963</c:v>
                </c:pt>
                <c:pt idx="38">
                  <c:v>-1205304.1989317173</c:v>
                </c:pt>
                <c:pt idx="39">
                  <c:v>-791324.39628444472</c:v>
                </c:pt>
                <c:pt idx="40">
                  <c:v>-820709.00181613304</c:v>
                </c:pt>
                <c:pt idx="41">
                  <c:v>-1283361.9482521461</c:v>
                </c:pt>
                <c:pt idx="42">
                  <c:v>-1182265.9226717292</c:v>
                </c:pt>
                <c:pt idx="43">
                  <c:v>-772680.35297618737</c:v>
                </c:pt>
                <c:pt idx="44">
                  <c:v>-807907.59587801062</c:v>
                </c:pt>
                <c:pt idx="45">
                  <c:v>-1280589.9693599516</c:v>
                </c:pt>
                <c:pt idx="46">
                  <c:v>-1178826.0235649231</c:v>
                </c:pt>
                <c:pt idx="47">
                  <c:v>-810846.97512663947</c:v>
                </c:pt>
                <c:pt idx="48">
                  <c:v>-809236.28577011451</c:v>
                </c:pt>
                <c:pt idx="49">
                  <c:v>-1300693.9295206591</c:v>
                </c:pt>
                <c:pt idx="50">
                  <c:v>-1192338.7963886783</c:v>
                </c:pt>
                <c:pt idx="51">
                  <c:v>-764686.79971430218</c:v>
                </c:pt>
                <c:pt idx="52">
                  <c:v>-805451.72039647214</c:v>
                </c:pt>
                <c:pt idx="53">
                  <c:v>-1292544.6993652713</c:v>
                </c:pt>
                <c:pt idx="54">
                  <c:v>-1185405.8316641613</c:v>
                </c:pt>
                <c:pt idx="55">
                  <c:v>-765590.96365383081</c:v>
                </c:pt>
                <c:pt idx="56">
                  <c:v>-811817.70121034654</c:v>
                </c:pt>
                <c:pt idx="57">
                  <c:v>-1287474.588516057</c:v>
                </c:pt>
                <c:pt idx="58">
                  <c:v>-1179490.329687444</c:v>
                </c:pt>
                <c:pt idx="59">
                  <c:v>-735692.96137874294</c:v>
                </c:pt>
                <c:pt idx="60">
                  <c:v>-757268.89511289354</c:v>
                </c:pt>
                <c:pt idx="61">
                  <c:v>-1244766.0718804928</c:v>
                </c:pt>
                <c:pt idx="62">
                  <c:v>-1137564.9237876222</c:v>
                </c:pt>
                <c:pt idx="63">
                  <c:v>-735156.81880210969</c:v>
                </c:pt>
                <c:pt idx="64">
                  <c:v>-754504.56886653323</c:v>
                </c:pt>
                <c:pt idx="65">
                  <c:v>-1240775.1088478928</c:v>
                </c:pt>
                <c:pt idx="66">
                  <c:v>-1133404.7626046021</c:v>
                </c:pt>
                <c:pt idx="67">
                  <c:v>-719217.55462500919</c:v>
                </c:pt>
                <c:pt idx="68">
                  <c:v>-751475.80149891879</c:v>
                </c:pt>
                <c:pt idx="69">
                  <c:v>-1237496.3373380103</c:v>
                </c:pt>
                <c:pt idx="70">
                  <c:v>-1129488.4481832166</c:v>
                </c:pt>
                <c:pt idx="71">
                  <c:v>-719398.4231501692</c:v>
                </c:pt>
                <c:pt idx="72">
                  <c:v>-757412.24354181113</c:v>
                </c:pt>
                <c:pt idx="73">
                  <c:v>-1233808.0349333356</c:v>
                </c:pt>
                <c:pt idx="74">
                  <c:v>-1126447.5579236676</c:v>
                </c:pt>
                <c:pt idx="75">
                  <c:v>-720242.22284828173</c:v>
                </c:pt>
                <c:pt idx="76">
                  <c:v>-744530.2774109547</c:v>
                </c:pt>
                <c:pt idx="77">
                  <c:v>-1228737.117256897</c:v>
                </c:pt>
                <c:pt idx="78">
                  <c:v>-1123675.0126941525</c:v>
                </c:pt>
                <c:pt idx="79">
                  <c:v>173117.18161322456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4-DAD5-4132-BBC4-A68F012C9B4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398840504"/>
        <c:axId val="398840832"/>
      </c:lineChart>
      <c:dateAx>
        <c:axId val="398840504"/>
        <c:scaling>
          <c:orientation val="minMax"/>
        </c:scaling>
        <c:delete val="0"/>
        <c:axPos val="b"/>
        <c:numFmt formatCode="m/d/yyyy" sourceLinked="1"/>
        <c:majorTickMark val="none"/>
        <c:minorTickMark val="none"/>
        <c:tickLblPos val="low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98840832"/>
        <c:crosses val="autoZero"/>
        <c:auto val="1"/>
        <c:lblOffset val="100"/>
        <c:baseTimeUnit val="months"/>
      </c:dateAx>
      <c:valAx>
        <c:axId val="39884083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&quot;$&quot;#,##0_);\(&quot;$&quot;#,##0\)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98840504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314324</xdr:colOff>
      <xdr:row>8</xdr:row>
      <xdr:rowOff>28575</xdr:rowOff>
    </xdr:from>
    <xdr:to>
      <xdr:col>11</xdr:col>
      <xdr:colOff>1790700</xdr:colOff>
      <xdr:row>24</xdr:row>
      <xdr:rowOff>180975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374650</xdr:colOff>
          <xdr:row>0</xdr:row>
          <xdr:rowOff>31750</xdr:rowOff>
        </xdr:from>
        <xdr:to>
          <xdr:col>17</xdr:col>
          <xdr:colOff>711200</xdr:colOff>
          <xdr:row>0</xdr:row>
          <xdr:rowOff>215900</xdr:rowOff>
        </xdr:to>
        <xdr:sp macro="" textlink="">
          <xdr:nvSpPr>
            <xdr:cNvPr id="3073" name="Button 1" hidden="1">
              <a:extLst>
                <a:ext uri="{63B3BB69-23CF-44E3-9099-C40C66FF867C}">
                  <a14:compatExt spid="_x0000_s3073"/>
                </a:ext>
                <a:ext uri="{FF2B5EF4-FFF2-40B4-BE49-F238E27FC236}">
                  <a16:creationId xmlns:a16="http://schemas.microsoft.com/office/drawing/2014/main" id="{00000000-0008-0000-0200-000001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TargetRiskAdjReturn Re-Balancing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38100</xdr:colOff>
          <xdr:row>0</xdr:row>
          <xdr:rowOff>76200</xdr:rowOff>
        </xdr:from>
        <xdr:to>
          <xdr:col>18</xdr:col>
          <xdr:colOff>717550</xdr:colOff>
          <xdr:row>0</xdr:row>
          <xdr:rowOff>222250</xdr:rowOff>
        </xdr:to>
        <xdr:sp macro="" textlink="">
          <xdr:nvSpPr>
            <xdr:cNvPr id="3074" name="Button 2" hidden="1">
              <a:extLst>
                <a:ext uri="{63B3BB69-23CF-44E3-9099-C40C66FF867C}">
                  <a14:compatExt spid="_x0000_s3074"/>
                </a:ext>
                <a:ext uri="{FF2B5EF4-FFF2-40B4-BE49-F238E27FC236}">
                  <a16:creationId xmlns:a16="http://schemas.microsoft.com/office/drawing/2014/main" id="{00000000-0008-0000-0200-000002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Refresh</a:t>
              </a:r>
            </a:p>
          </xdr:txBody>
        </xdr:sp>
        <xdr:clientData fPrintsWithSheet="0"/>
      </xdr:twoCellAnchor>
    </mc:Choice>
    <mc:Fallback/>
  </mc:AlternateContent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F:\DOCUME~1\LUKEOW~1\LOCALS~1\Temp\notesC41F34\08.10.20-Quanta-SOLAR%20ECONOMICS%20MODEL-%20V25.xls" TargetMode="External"/></Relationships>
</file>

<file path=xl/externalLinks/_rels/externalLink2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F:\CATRY\HKS\Acquisition%20Model%2010.18.99.xls" TargetMode="External"/></Relationships>
</file>

<file path=xl/externalLinks/_rels/externalLink3.xml.rels><?xml version="1.0" encoding="UTF-8" standalone="yes"?>
<Relationships xmlns="http://schemas.openxmlformats.org/package/2006/relationships"><Relationship Id="rId1" Type="http://schemas.openxmlformats.org/officeDocument/2006/relationships/externalLinkPath" Target="/Users/knighga/AppData/Local/Microsoft/Windows/INetCache/Content.Outlook/W282IQKR/DERMod.xlsm" TargetMode="External"/></Relationships>
</file>

<file path=xl/externalLinks/_rels/externalLink4.xml.rels><?xml version="1.0" encoding="UTF-8" standalone="yes"?>
<Relationships xmlns="http://schemas.openxmlformats.org/package/2006/relationships"><Relationship Id="rId1" Type="http://schemas.openxmlformats.org/officeDocument/2006/relationships/externalLinkPath" Target="/Projects/Solar%20Projects/Community%20Solar/NC/Data%20and%20Archived/DERMod_Shared%20Solar_20160822_WORKING.xlsm" TargetMode="External"/></Relationships>
</file>

<file path=xl/externalLinks/_rels/externalLink5.xml.rels><?xml version="1.0" encoding="UTF-8" standalone="yes"?>
<Relationships xmlns="http://schemas.openxmlformats.org/package/2006/relationships"><Relationship Id="rId1" Type="http://schemas.openxmlformats.org/officeDocument/2006/relationships/externalLinkPath" Target="/Documents%20and%20Settings/I12138/Local%20Settings/Temporary%20Internet%20Files/Content.Outlook/UEFZMG32/SC_Y2012%20_Filing%20Support_Variable%20and%205%20Year%20Rates%20expanded%20for%20REPS.xlsx" TargetMode="External"/></Relationships>
</file>

<file path=xl/externalLinks/_rels/externalLink6.xml.rels><?xml version="1.0" encoding="UTF-8" standalone="yes"?>
<Relationships xmlns="http://schemas.openxmlformats.org/package/2006/relationships"><Relationship Id="rId1" Type="http://schemas.openxmlformats.org/officeDocument/2006/relationships/externalLinkPath" Target="https://dukeenergy-my.sharepoint.com/personal/boris_koropey_duke-energy_com/Documents/Desktop/DW/10_24%20DEF%20Shared%20Solar/FL%20Shared%20Solar%20Pricing%20for%20Tariff%20Support%20-%20Revised%208.29.2019%20-%20Blended%20DEF%20Solar%20Facilities.xlsm" TargetMode="External"/></Relationships>
</file>

<file path=xl/externalLinks/_rels/externalLink7.xml.rels><?xml version="1.0" encoding="UTF-8" standalone="yes"?>
<Relationships xmlns="http://schemas.openxmlformats.org/package/2006/relationships"><Relationship Id="rId1" Type="http://schemas.openxmlformats.org/officeDocument/2006/relationships/externalLinkPath" Target="/Projects/Solar%20Projects/Utility%20Owned%20Solar/Kentucky/L'Oreal%20(KY)/Declining%20and%20Levelized%20Solar%20Projections/Solar%20160205_Utilitzed%20for%20Loreal%20Projections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Model Structure"/>
      <sheetName val="Input Tables (module and misc.)"/>
      <sheetName val="Input Tables (system component)"/>
      <sheetName val="Global Assumptions"/>
      <sheetName val="Project Assumptions"/>
      <sheetName val="Region Assumptions"/>
      <sheetName val="Energy Price Assumptions"/>
      <sheetName val="LCOE Calculation (fixed)"/>
      <sheetName val="Project Costs"/>
      <sheetName val="Power Output"/>
      <sheetName val="Power Revenue"/>
      <sheetName val="Cash Flow"/>
      <sheetName val="LCOE Calculation"/>
      <sheetName val="Glossary"/>
    </sheetNames>
    <sheetDataSet>
      <sheetData sheetId="0" refreshError="1"/>
      <sheetData sheetId="1" refreshError="1"/>
      <sheetData sheetId="2" refreshError="1"/>
      <sheetData sheetId="3" refreshError="1"/>
      <sheetData sheetId="4" refreshError="1"/>
      <sheetData sheetId="5" refreshError="1"/>
      <sheetData sheetId="6" refreshError="1"/>
      <sheetData sheetId="7" refreshError="1"/>
      <sheetData sheetId="8" refreshError="1"/>
      <sheetData sheetId="9" refreshError="1"/>
      <sheetData sheetId="10" refreshError="1"/>
      <sheetData sheetId="11" refreshError="1"/>
      <sheetData sheetId="12" refreshError="1"/>
      <sheetData sheetId="13" refreshError="1"/>
    </sheetDataSet>
  </externalBook>
</externalLink>
</file>

<file path=xl/externalLinks/externalLink2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Inputs"/>
      <sheetName val="Assum"/>
      <sheetName val="OpBS"/>
      <sheetName val="IS"/>
      <sheetName val="BSCF"/>
      <sheetName val="Ratios"/>
      <sheetName val="AcqIS"/>
      <sheetName val="AcqBSCF"/>
      <sheetName val="AcqRat"/>
      <sheetName val="AcqDCF1"/>
      <sheetName val="AcqDCF2"/>
      <sheetName val="TargIS"/>
      <sheetName val="TargSeg IS"/>
      <sheetName val="TargBSCF"/>
      <sheetName val="TargRat"/>
      <sheetName val="TargDCF1"/>
      <sheetName val="TargDCF2"/>
      <sheetName val="2TargIS"/>
      <sheetName val="2TargBSCF"/>
      <sheetName val="Matrix"/>
      <sheetName val="Contrib"/>
      <sheetName val="Acq LBO Assum"/>
      <sheetName val="Acq LBO IS"/>
      <sheetName val="Acq LBO  BSCF"/>
      <sheetName val="Acq LBO Ratios"/>
      <sheetName val="Acq LBO Returns"/>
      <sheetName val="Targ LBO Assum"/>
      <sheetName val="Targ LBO IS"/>
      <sheetName val="Targ LBO  BSCF"/>
      <sheetName val="Targ LBO Ratios"/>
      <sheetName val="Targ LBO Returns"/>
      <sheetName val="Summary"/>
      <sheetName val="TargSegFP Summary"/>
      <sheetName val="TargFP Summary"/>
      <sheetName val="Targ Transaction Matrix"/>
      <sheetName val="AcqFP Summary"/>
      <sheetName val="AcqFP Summary ($)"/>
      <sheetName val="Acq Transaction Matrix"/>
      <sheetName val="Contribution"/>
      <sheetName val="ValuationMed"/>
      <sheetName val="PF FP"/>
      <sheetName val="PF EPS Impact"/>
      <sheetName val="PF EPS Impact (2)"/>
      <sheetName val="PF SP"/>
      <sheetName val="PF SP (2)"/>
      <sheetName val="PF SP (3)"/>
      <sheetName val="PF SP (4)"/>
      <sheetName val="TargDCF Summary"/>
      <sheetName val="Acq Stock Price"/>
      <sheetName val="AcqDCF Summary"/>
      <sheetName val="PF FP (w HANDLE)"/>
      <sheetName val="PF EPS Impact (w HANDLE)"/>
      <sheetName val="OUT"/>
      <sheetName val="ValuationMed BackUp"/>
      <sheetName val="PF SP Impact"/>
      <sheetName val="PF SP Sens"/>
      <sheetName val="PF EPS Sens"/>
      <sheetName val="AcqDCF Summary ($)"/>
      <sheetName val="Acq Transaction Matrix ($)"/>
      <sheetName val="AcqBE Summary"/>
      <sheetName val="TargBE Summary"/>
      <sheetName val="Impl. Own. DCF"/>
      <sheetName val="Impl. Own. Public Comps"/>
    </sheetNames>
    <sheetDataSet>
      <sheetData sheetId="0" refreshError="1"/>
      <sheetData sheetId="1" refreshError="1">
        <row r="15">
          <cell r="E15">
            <v>13.298</v>
          </cell>
        </row>
        <row r="16">
          <cell r="E16">
            <v>0</v>
          </cell>
        </row>
        <row r="17">
          <cell r="E17">
            <v>13.298</v>
          </cell>
        </row>
        <row r="19">
          <cell r="E19">
            <v>465.24133799999993</v>
          </cell>
        </row>
        <row r="20">
          <cell r="C20">
            <v>0</v>
          </cell>
          <cell r="E20">
            <v>0</v>
          </cell>
        </row>
        <row r="21">
          <cell r="E21">
            <v>465.24133799999993</v>
          </cell>
        </row>
        <row r="22">
          <cell r="E22">
            <v>85.749793199999999</v>
          </cell>
        </row>
      </sheetData>
      <sheetData sheetId="2" refreshError="1"/>
      <sheetData sheetId="3" refreshError="1"/>
      <sheetData sheetId="4" refreshError="1"/>
      <sheetData sheetId="5" refreshError="1"/>
      <sheetData sheetId="6" refreshError="1"/>
      <sheetData sheetId="7" refreshError="1"/>
      <sheetData sheetId="8" refreshError="1"/>
      <sheetData sheetId="9" refreshError="1"/>
      <sheetData sheetId="10" refreshError="1"/>
      <sheetData sheetId="11" refreshError="1"/>
      <sheetData sheetId="12" refreshError="1"/>
      <sheetData sheetId="13" refreshError="1"/>
      <sheetData sheetId="14" refreshError="1"/>
      <sheetData sheetId="15" refreshError="1"/>
      <sheetData sheetId="16" refreshError="1"/>
      <sheetData sheetId="17" refreshError="1"/>
      <sheetData sheetId="18" refreshError="1"/>
      <sheetData sheetId="19" refreshError="1"/>
      <sheetData sheetId="20" refreshError="1"/>
      <sheetData sheetId="21" refreshError="1"/>
      <sheetData sheetId="22" refreshError="1"/>
      <sheetData sheetId="23" refreshError="1"/>
      <sheetData sheetId="24" refreshError="1"/>
      <sheetData sheetId="25" refreshError="1"/>
      <sheetData sheetId="26" refreshError="1"/>
      <sheetData sheetId="27" refreshError="1"/>
      <sheetData sheetId="28" refreshError="1"/>
      <sheetData sheetId="29" refreshError="1"/>
      <sheetData sheetId="30" refreshError="1"/>
      <sheetData sheetId="31" refreshError="1"/>
      <sheetData sheetId="32" refreshError="1"/>
      <sheetData sheetId="33" refreshError="1"/>
      <sheetData sheetId="34" refreshError="1"/>
      <sheetData sheetId="35" refreshError="1"/>
      <sheetData sheetId="36" refreshError="1"/>
      <sheetData sheetId="37" refreshError="1"/>
      <sheetData sheetId="38" refreshError="1"/>
      <sheetData sheetId="39" refreshError="1"/>
      <sheetData sheetId="40" refreshError="1"/>
      <sheetData sheetId="41" refreshError="1"/>
      <sheetData sheetId="42" refreshError="1"/>
      <sheetData sheetId="43" refreshError="1"/>
      <sheetData sheetId="44" refreshError="1"/>
      <sheetData sheetId="45" refreshError="1"/>
      <sheetData sheetId="46" refreshError="1"/>
      <sheetData sheetId="47" refreshError="1"/>
      <sheetData sheetId="48" refreshError="1"/>
      <sheetData sheetId="49" refreshError="1"/>
      <sheetData sheetId="50" refreshError="1"/>
      <sheetData sheetId="51" refreshError="1"/>
      <sheetData sheetId="52" refreshError="1"/>
      <sheetData sheetId="53" refreshError="1"/>
      <sheetData sheetId="54" refreshError="1"/>
      <sheetData sheetId="55" refreshError="1"/>
      <sheetData sheetId="56" refreshError="1"/>
      <sheetData sheetId="57" refreshError="1"/>
      <sheetData sheetId="58" refreshError="1"/>
      <sheetData sheetId="59" refreshError="1"/>
      <sheetData sheetId="60" refreshError="1"/>
      <sheetData sheetId="61" refreshError="1"/>
      <sheetData sheetId="62" refreshError="1"/>
    </sheetDataSet>
  </externalBook>
</externalLink>
</file>

<file path=xl/externalLinks/externalLink3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Capital_Budget_Wind"/>
      <sheetName val="SE-Property Tax"/>
      <sheetName val="Lease Payment Expense"/>
      <sheetName val="Navigant"/>
      <sheetName val="ProjectInputs"/>
      <sheetName val="Control"/>
      <sheetName val="AnnualProForma"/>
      <sheetName val="Analysis"/>
      <sheetName val="Asset"/>
      <sheetName val="Assetn"/>
      <sheetName val="Chart1"/>
      <sheetName val="NonProjectInputs"/>
      <sheetName val="DepreciationInputs"/>
      <sheetName val="ValidationOptions"/>
      <sheetName val="SimplifiedModelInputs"/>
      <sheetName val="Log"/>
    </sheetNames>
    <sheetDataSet>
      <sheetData sheetId="0" refreshError="1"/>
      <sheetData sheetId="1" refreshError="1"/>
      <sheetData sheetId="2" refreshError="1"/>
      <sheetData sheetId="3" refreshError="1"/>
      <sheetData sheetId="4">
        <row r="3">
          <cell r="C3">
            <v>1</v>
          </cell>
          <cell r="D3">
            <v>2</v>
          </cell>
          <cell r="E3">
            <v>3</v>
          </cell>
          <cell r="F3">
            <v>4</v>
          </cell>
          <cell r="G3">
            <v>5</v>
          </cell>
          <cell r="H3">
            <v>6</v>
          </cell>
          <cell r="I3">
            <v>7</v>
          </cell>
          <cell r="J3">
            <v>8</v>
          </cell>
          <cell r="K3">
            <v>9</v>
          </cell>
          <cell r="L3">
            <v>10</v>
          </cell>
          <cell r="M3">
            <v>11</v>
          </cell>
          <cell r="N3">
            <v>12</v>
          </cell>
          <cell r="O3">
            <v>13</v>
          </cell>
          <cell r="P3">
            <v>14</v>
          </cell>
          <cell r="Q3">
            <v>15</v>
          </cell>
          <cell r="R3">
            <v>16</v>
          </cell>
          <cell r="S3">
            <v>17</v>
          </cell>
          <cell r="T3">
            <v>18</v>
          </cell>
          <cell r="U3">
            <v>19</v>
          </cell>
          <cell r="V3">
            <v>20</v>
          </cell>
          <cell r="W3">
            <v>21</v>
          </cell>
          <cell r="Y3">
            <v>23</v>
          </cell>
          <cell r="Z3">
            <v>24</v>
          </cell>
          <cell r="AA3">
            <v>25</v>
          </cell>
          <cell r="AB3">
            <v>26</v>
          </cell>
          <cell r="AC3">
            <v>27</v>
          </cell>
          <cell r="AD3">
            <v>28</v>
          </cell>
          <cell r="AE3">
            <v>29</v>
          </cell>
          <cell r="AF3">
            <v>30</v>
          </cell>
          <cell r="AG3">
            <v>31</v>
          </cell>
          <cell r="AH3">
            <v>32</v>
          </cell>
          <cell r="AI3">
            <v>33</v>
          </cell>
          <cell r="AJ3">
            <v>34</v>
          </cell>
          <cell r="AK3">
            <v>35</v>
          </cell>
          <cell r="AL3">
            <v>36</v>
          </cell>
          <cell r="AM3">
            <v>37</v>
          </cell>
          <cell r="AN3">
            <v>38</v>
          </cell>
          <cell r="AO3">
            <v>39</v>
          </cell>
          <cell r="AP3">
            <v>40</v>
          </cell>
          <cell r="AQ3">
            <v>41</v>
          </cell>
          <cell r="AR3">
            <v>42</v>
          </cell>
          <cell r="AS3">
            <v>43</v>
          </cell>
          <cell r="AT3">
            <v>44</v>
          </cell>
          <cell r="AU3">
            <v>45</v>
          </cell>
          <cell r="AV3">
            <v>46</v>
          </cell>
          <cell r="AW3">
            <v>47</v>
          </cell>
          <cell r="AX3">
            <v>48</v>
          </cell>
          <cell r="AY3">
            <v>49</v>
          </cell>
          <cell r="AZ3">
            <v>50</v>
          </cell>
          <cell r="BA3">
            <v>51</v>
          </cell>
          <cell r="BB3">
            <v>52</v>
          </cell>
          <cell r="BC3">
            <v>53</v>
          </cell>
          <cell r="BD3">
            <v>54</v>
          </cell>
          <cell r="BE3">
            <v>55</v>
          </cell>
          <cell r="BF3">
            <v>56</v>
          </cell>
        </row>
        <row r="4">
          <cell r="C4" t="str">
            <v xml:space="preserve">Mocksville </v>
          </cell>
          <cell r="D4" t="str">
            <v>Woodleaf</v>
          </cell>
          <cell r="E4" t="str">
            <v>Monroe</v>
          </cell>
          <cell r="F4" t="str">
            <v>NSA Crane</v>
          </cell>
          <cell r="G4" t="str">
            <v>Perry Solar</v>
          </cell>
          <cell r="H4" t="str">
            <v>Duke University CHP</v>
          </cell>
          <cell r="I4" t="str">
            <v>KapStone CHP</v>
          </cell>
          <cell r="J4" t="str">
            <v>Seminole 1</v>
          </cell>
          <cell r="K4" t="str">
            <v>Seminole 2</v>
          </cell>
          <cell r="L4" t="str">
            <v>Seminole 3</v>
          </cell>
          <cell r="M4" t="str">
            <v>Seminole 4</v>
          </cell>
          <cell r="N4" t="str">
            <v>Seminole 1 Aggressive</v>
          </cell>
          <cell r="O4" t="str">
            <v>Seminole 2 Aggressive</v>
          </cell>
          <cell r="P4" t="str">
            <v>Seminole 3 Aggressive</v>
          </cell>
          <cell r="Q4" t="str">
            <v>Seminole 4 Aggressive</v>
          </cell>
          <cell r="R4" t="str">
            <v>Seminole RFP 3rd Party</v>
          </cell>
          <cell r="S4" t="str">
            <v>Seminole RFP 3rd Party Aggressive</v>
          </cell>
          <cell r="T4" t="str">
            <v>Navigant Base Case</v>
          </cell>
          <cell r="U4" t="str">
            <v>Lithium Ion 2 MW / 8 MWH / 95% Efficiency / 10 Year life / 1 cycle per day</v>
          </cell>
          <cell r="V4" t="str">
            <v>Lithium Ion 2 MW / 8 MWH / 95% Efficiency / 10 Year life / 1 cycle per day</v>
          </cell>
          <cell r="W4" t="str">
            <v>Lithium Ion 2 MW / 8 MWH / 95% Efficiency / 10 Year life / 1 cycle per day</v>
          </cell>
          <cell r="Y4" t="str">
            <v>Test DEP NC</v>
          </cell>
          <cell r="Z4" t="str">
            <v>Warsaw</v>
          </cell>
          <cell r="AA4" t="str">
            <v>Elm City</v>
          </cell>
          <cell r="AB4" t="str">
            <v>Fayetteville</v>
          </cell>
          <cell r="AC4" t="str">
            <v>Camp Lejeune</v>
          </cell>
          <cell r="AD4" t="str">
            <v>Canoe Creek</v>
          </cell>
          <cell r="AE4" t="str">
            <v>Perry</v>
          </cell>
          <cell r="AF4" t="str">
            <v>Disney</v>
          </cell>
          <cell r="AG4" t="str">
            <v>Suwanee copied Perry</v>
          </cell>
          <cell r="AH4" t="str">
            <v>Mocksville New Template</v>
          </cell>
          <cell r="AJ4" t="str">
            <v>DEC-Utility Solar-Shared Solar</v>
          </cell>
          <cell r="AK4" t="str">
            <v>DEC-CHP-Clemson</v>
          </cell>
          <cell r="AL4" t="str">
            <v>DEC-Battery Storage-Placeholder</v>
          </cell>
          <cell r="AM4" t="str">
            <v>DEP-Utility Solar-Placeholder</v>
          </cell>
          <cell r="AN4" t="str">
            <v xml:space="preserve">DEP-Utility Solar-Asheville </v>
          </cell>
          <cell r="AO4" t="str">
            <v>DEP-Battery Storage-Asheville Peaker</v>
          </cell>
          <cell r="AP4" t="str">
            <v>DEF-Utility Solar-Central FL</v>
          </cell>
          <cell r="AQ4" t="str">
            <v>DEF-Utility Solar-Suwannee</v>
          </cell>
          <cell r="AR4" t="str">
            <v>DEF-Utility Solar-Mosaic</v>
          </cell>
          <cell r="AS4" t="str">
            <v>DEF-Utility Solar-Placeholder-Site Plan - Phase 1</v>
          </cell>
          <cell r="AT4" t="str">
            <v>DEF-Utility Solar-Placeholder-Site Plan - Phase 2</v>
          </cell>
          <cell r="AU4" t="str">
            <v>DEF-Utility Solar-Placeholder-Site Plan - Phase 3</v>
          </cell>
          <cell r="AV4" t="str">
            <v>DEF-Utility Solar-Placeholder</v>
          </cell>
          <cell r="AW4" t="str">
            <v>DEI-Utility Solar-Placeholder (per IRP)</v>
          </cell>
          <cell r="AX4" t="str">
            <v>DEI-Battery Storage-Distribution Storage</v>
          </cell>
          <cell r="AY4" t="str">
            <v>DEK-Utility Solar-Placeholder</v>
          </cell>
          <cell r="AZ4" t="str">
            <v>Cherry Point CHP</v>
          </cell>
          <cell r="BA4" t="str">
            <v>FL Shared Solar (JF), Base</v>
          </cell>
          <cell r="BB4" t="str">
            <v>DER Test</v>
          </cell>
          <cell r="BC4" t="str">
            <v>NC Test w Adds &amp; Mods</v>
          </cell>
          <cell r="BD4" t="str">
            <v>Kentucky Example</v>
          </cell>
          <cell r="BE4" t="str">
            <v>Ohio Example</v>
          </cell>
          <cell r="BF4" t="str">
            <v>Reedy Creek P II</v>
          </cell>
        </row>
      </sheetData>
      <sheetData sheetId="5">
        <row r="8">
          <cell r="D8" t="str">
            <v>Solar PV</v>
          </cell>
        </row>
        <row r="9">
          <cell r="D9" t="str">
            <v>DEF</v>
          </cell>
        </row>
        <row r="10">
          <cell r="D10" t="str">
            <v>FL</v>
          </cell>
        </row>
        <row r="178">
          <cell r="D178">
            <v>0.96499999999999997</v>
          </cell>
        </row>
      </sheetData>
      <sheetData sheetId="6" refreshError="1"/>
      <sheetData sheetId="7">
        <row r="134">
          <cell r="B134">
            <v>9.0056851322594333E-2</v>
          </cell>
        </row>
        <row r="342">
          <cell r="C342">
            <v>0</v>
          </cell>
        </row>
        <row r="428">
          <cell r="C428">
            <v>0</v>
          </cell>
        </row>
        <row r="512">
          <cell r="C512">
            <v>0</v>
          </cell>
        </row>
      </sheetData>
      <sheetData sheetId="8" refreshError="1"/>
      <sheetData sheetId="9" refreshError="1"/>
      <sheetData sheetId="10" refreshError="1"/>
      <sheetData sheetId="11">
        <row r="4">
          <cell r="B4">
            <v>2015</v>
          </cell>
        </row>
      </sheetData>
      <sheetData sheetId="12">
        <row r="2">
          <cell r="B2" t="str">
            <v>5-yr MACRS</v>
          </cell>
          <cell r="C2" t="str">
            <v>7-yr MACRS</v>
          </cell>
          <cell r="D2" t="str">
            <v>10-yr S/L</v>
          </cell>
          <cell r="E2" t="str">
            <v>15-yr MACRS</v>
          </cell>
          <cell r="F2" t="str">
            <v>20-yr MACRS</v>
          </cell>
          <cell r="G2" t="str">
            <v>39-yr MACRS</v>
          </cell>
          <cell r="H2" t="str">
            <v>Deducted Tax Year 1</v>
          </cell>
          <cell r="I2" t="str">
            <v>Deducted Tax Year 2</v>
          </cell>
        </row>
        <row r="3">
          <cell r="B3" t="str">
            <v>YES</v>
          </cell>
          <cell r="C3" t="str">
            <v>YES</v>
          </cell>
          <cell r="D3" t="str">
            <v>NO</v>
          </cell>
          <cell r="E3" t="str">
            <v>YES</v>
          </cell>
          <cell r="F3" t="str">
            <v>YES</v>
          </cell>
          <cell r="G3" t="str">
            <v>NO</v>
          </cell>
          <cell r="H3" t="str">
            <v>NO</v>
          </cell>
          <cell r="I3" t="str">
            <v>NO</v>
          </cell>
        </row>
        <row r="4">
          <cell r="B4">
            <v>0.2</v>
          </cell>
          <cell r="C4">
            <v>0.1429</v>
          </cell>
          <cell r="D4">
            <v>0.1</v>
          </cell>
          <cell r="E4">
            <v>0.05</v>
          </cell>
          <cell r="F4">
            <v>3.7499999999999999E-2</v>
          </cell>
          <cell r="G4">
            <v>1.0683760683760665E-3</v>
          </cell>
          <cell r="H4">
            <v>1</v>
          </cell>
          <cell r="I4">
            <v>0</v>
          </cell>
        </row>
        <row r="5">
          <cell r="B5">
            <v>0.32</v>
          </cell>
          <cell r="C5">
            <v>0.24490000000000001</v>
          </cell>
          <cell r="D5">
            <v>0.1</v>
          </cell>
          <cell r="E5">
            <v>9.5000000000000001E-2</v>
          </cell>
          <cell r="F5">
            <v>7.2190000000000004E-2</v>
          </cell>
          <cell r="G5">
            <v>2.564102564102564E-2</v>
          </cell>
          <cell r="H5">
            <v>0</v>
          </cell>
          <cell r="I5">
            <v>1</v>
          </cell>
        </row>
        <row r="6">
          <cell r="B6">
            <v>0.192</v>
          </cell>
          <cell r="C6">
            <v>0.1749</v>
          </cell>
          <cell r="D6">
            <v>0.1</v>
          </cell>
          <cell r="E6">
            <v>8.5500000000000007E-2</v>
          </cell>
          <cell r="F6">
            <v>6.6769999999999996E-2</v>
          </cell>
          <cell r="G6">
            <v>2.564102564102564E-2</v>
          </cell>
          <cell r="H6">
            <v>0</v>
          </cell>
          <cell r="I6">
            <v>0</v>
          </cell>
        </row>
        <row r="7">
          <cell r="B7">
            <v>0.1152</v>
          </cell>
          <cell r="C7">
            <v>0.1249</v>
          </cell>
          <cell r="D7">
            <v>0.1</v>
          </cell>
          <cell r="E7">
            <v>7.6999999999999999E-2</v>
          </cell>
          <cell r="F7">
            <v>6.1769999999999999E-2</v>
          </cell>
          <cell r="G7">
            <v>2.564102564102564E-2</v>
          </cell>
          <cell r="H7">
            <v>0</v>
          </cell>
          <cell r="I7">
            <v>0</v>
          </cell>
        </row>
        <row r="8">
          <cell r="B8">
            <v>0.1152</v>
          </cell>
          <cell r="C8">
            <v>8.9300000000000004E-2</v>
          </cell>
          <cell r="D8">
            <v>0.1</v>
          </cell>
          <cell r="E8">
            <v>6.93E-2</v>
          </cell>
          <cell r="F8">
            <v>5.713E-2</v>
          </cell>
          <cell r="G8">
            <v>2.564102564102564E-2</v>
          </cell>
          <cell r="H8">
            <v>0</v>
          </cell>
          <cell r="I8">
            <v>0</v>
          </cell>
        </row>
        <row r="9">
          <cell r="B9">
            <v>5.7599999999999998E-2</v>
          </cell>
          <cell r="C9">
            <v>8.9200000000000002E-2</v>
          </cell>
          <cell r="D9">
            <v>0.1</v>
          </cell>
          <cell r="E9">
            <v>6.2300000000000001E-2</v>
          </cell>
          <cell r="F9">
            <v>5.2850000000000001E-2</v>
          </cell>
          <cell r="G9">
            <v>2.564102564102564E-2</v>
          </cell>
          <cell r="H9">
            <v>0</v>
          </cell>
          <cell r="I9">
            <v>0</v>
          </cell>
        </row>
        <row r="10">
          <cell r="B10">
            <v>0</v>
          </cell>
          <cell r="C10">
            <v>8.9300000000000004E-2</v>
          </cell>
          <cell r="D10">
            <v>0.1</v>
          </cell>
          <cell r="E10">
            <v>5.8999999999999997E-2</v>
          </cell>
          <cell r="F10">
            <v>4.888E-2</v>
          </cell>
          <cell r="G10">
            <v>2.564102564102564E-2</v>
          </cell>
          <cell r="H10">
            <v>0</v>
          </cell>
          <cell r="I10">
            <v>0</v>
          </cell>
        </row>
        <row r="11">
          <cell r="B11">
            <v>0</v>
          </cell>
          <cell r="C11">
            <v>4.4600000000000001E-2</v>
          </cell>
          <cell r="D11">
            <v>0.1</v>
          </cell>
          <cell r="E11">
            <v>5.8999999999999997E-2</v>
          </cell>
          <cell r="F11">
            <v>4.5220000000000003E-2</v>
          </cell>
          <cell r="G11">
            <v>2.564102564102564E-2</v>
          </cell>
          <cell r="H11">
            <v>0</v>
          </cell>
          <cell r="I11">
            <v>0</v>
          </cell>
        </row>
        <row r="12">
          <cell r="B12">
            <v>0</v>
          </cell>
          <cell r="C12">
            <v>0</v>
          </cell>
          <cell r="D12">
            <v>0.1</v>
          </cell>
          <cell r="E12">
            <v>5.91E-2</v>
          </cell>
          <cell r="F12">
            <v>4.462E-2</v>
          </cell>
          <cell r="G12">
            <v>2.564102564102564E-2</v>
          </cell>
          <cell r="H12">
            <v>0</v>
          </cell>
          <cell r="I12">
            <v>0</v>
          </cell>
        </row>
        <row r="13">
          <cell r="B13">
            <v>0</v>
          </cell>
          <cell r="C13">
            <v>0</v>
          </cell>
          <cell r="D13">
            <v>0.1</v>
          </cell>
          <cell r="E13">
            <v>5.8999999999999997E-2</v>
          </cell>
          <cell r="F13">
            <v>4.4609999999999997E-2</v>
          </cell>
          <cell r="G13">
            <v>2.564102564102564E-2</v>
          </cell>
          <cell r="H13">
            <v>0</v>
          </cell>
          <cell r="I13">
            <v>0</v>
          </cell>
        </row>
        <row r="14">
          <cell r="B14">
            <v>0</v>
          </cell>
          <cell r="C14">
            <v>0</v>
          </cell>
          <cell r="D14">
            <v>0</v>
          </cell>
          <cell r="E14">
            <v>5.91E-2</v>
          </cell>
          <cell r="F14">
            <v>4.462E-2</v>
          </cell>
          <cell r="G14">
            <v>2.564102564102564E-2</v>
          </cell>
          <cell r="H14">
            <v>0</v>
          </cell>
          <cell r="I14">
            <v>0</v>
          </cell>
        </row>
        <row r="15">
          <cell r="B15">
            <v>0</v>
          </cell>
          <cell r="C15">
            <v>0</v>
          </cell>
          <cell r="D15">
            <v>0</v>
          </cell>
          <cell r="E15">
            <v>5.8999999999999997E-2</v>
          </cell>
          <cell r="F15">
            <v>4.4609999999999997E-2</v>
          </cell>
          <cell r="G15">
            <v>2.564102564102564E-2</v>
          </cell>
          <cell r="H15">
            <v>0</v>
          </cell>
          <cell r="I15">
            <v>0</v>
          </cell>
        </row>
        <row r="16">
          <cell r="B16">
            <v>0</v>
          </cell>
          <cell r="C16">
            <v>0</v>
          </cell>
          <cell r="D16">
            <v>0</v>
          </cell>
          <cell r="E16">
            <v>5.91E-2</v>
          </cell>
          <cell r="F16">
            <v>4.462E-2</v>
          </cell>
          <cell r="G16">
            <v>2.564102564102564E-2</v>
          </cell>
          <cell r="H16">
            <v>0</v>
          </cell>
          <cell r="I16">
            <v>0</v>
          </cell>
        </row>
        <row r="17">
          <cell r="B17">
            <v>0</v>
          </cell>
          <cell r="C17">
            <v>0</v>
          </cell>
          <cell r="D17">
            <v>0</v>
          </cell>
          <cell r="E17">
            <v>5.8999999999999997E-2</v>
          </cell>
          <cell r="F17">
            <v>4.4609999999999997E-2</v>
          </cell>
          <cell r="G17">
            <v>2.564102564102564E-2</v>
          </cell>
          <cell r="H17">
            <v>0</v>
          </cell>
          <cell r="I17">
            <v>0</v>
          </cell>
        </row>
        <row r="18">
          <cell r="B18">
            <v>0</v>
          </cell>
          <cell r="C18">
            <v>0</v>
          </cell>
          <cell r="D18">
            <v>0</v>
          </cell>
          <cell r="E18">
            <v>5.91E-2</v>
          </cell>
          <cell r="F18">
            <v>4.462E-2</v>
          </cell>
          <cell r="G18">
            <v>2.564102564102564E-2</v>
          </cell>
          <cell r="H18">
            <v>0</v>
          </cell>
          <cell r="I18">
            <v>0</v>
          </cell>
        </row>
        <row r="19">
          <cell r="B19">
            <v>0</v>
          </cell>
          <cell r="C19">
            <v>0</v>
          </cell>
          <cell r="D19">
            <v>0</v>
          </cell>
          <cell r="E19">
            <v>2.9499999999999998E-2</v>
          </cell>
          <cell r="F19">
            <v>4.4609999999999997E-2</v>
          </cell>
          <cell r="G19">
            <v>2.564102564102564E-2</v>
          </cell>
          <cell r="H19">
            <v>0</v>
          </cell>
          <cell r="I19">
            <v>0</v>
          </cell>
        </row>
        <row r="20">
          <cell r="B20">
            <v>0</v>
          </cell>
          <cell r="C20">
            <v>0</v>
          </cell>
          <cell r="D20">
            <v>0</v>
          </cell>
          <cell r="E20">
            <v>0</v>
          </cell>
          <cell r="F20">
            <v>4.462E-2</v>
          </cell>
          <cell r="G20">
            <v>2.564102564102564E-2</v>
          </cell>
          <cell r="H20">
            <v>0</v>
          </cell>
          <cell r="I20">
            <v>0</v>
          </cell>
        </row>
        <row r="21">
          <cell r="B21">
            <v>0</v>
          </cell>
          <cell r="C21">
            <v>0</v>
          </cell>
          <cell r="D21">
            <v>0</v>
          </cell>
          <cell r="E21">
            <v>0</v>
          </cell>
          <cell r="F21">
            <v>4.4609999999999997E-2</v>
          </cell>
          <cell r="G21">
            <v>2.564102564102564E-2</v>
          </cell>
          <cell r="H21">
            <v>0</v>
          </cell>
          <cell r="I21">
            <v>0</v>
          </cell>
        </row>
        <row r="22">
          <cell r="B22">
            <v>0</v>
          </cell>
          <cell r="C22">
            <v>0</v>
          </cell>
          <cell r="D22">
            <v>0</v>
          </cell>
          <cell r="E22">
            <v>0</v>
          </cell>
          <cell r="F22">
            <v>4.462E-2</v>
          </cell>
          <cell r="G22">
            <v>2.564102564102564E-2</v>
          </cell>
          <cell r="H22">
            <v>0</v>
          </cell>
          <cell r="I22">
            <v>0</v>
          </cell>
        </row>
        <row r="23">
          <cell r="B23">
            <v>0</v>
          </cell>
          <cell r="C23">
            <v>0</v>
          </cell>
          <cell r="D23">
            <v>0</v>
          </cell>
          <cell r="E23">
            <v>0</v>
          </cell>
          <cell r="F23">
            <v>4.4609999999999997E-2</v>
          </cell>
          <cell r="G23">
            <v>2.564102564102564E-2</v>
          </cell>
          <cell r="H23">
            <v>0</v>
          </cell>
          <cell r="I23">
            <v>0</v>
          </cell>
        </row>
        <row r="24">
          <cell r="B24">
            <v>0</v>
          </cell>
          <cell r="C24">
            <v>0</v>
          </cell>
          <cell r="D24">
            <v>0</v>
          </cell>
          <cell r="E24">
            <v>0</v>
          </cell>
          <cell r="F24">
            <v>2.231E-2</v>
          </cell>
          <cell r="G24">
            <v>2.564102564102564E-2</v>
          </cell>
          <cell r="H24">
            <v>0</v>
          </cell>
          <cell r="I24">
            <v>0</v>
          </cell>
        </row>
        <row r="25">
          <cell r="B25">
            <v>0</v>
          </cell>
          <cell r="C25">
            <v>0</v>
          </cell>
          <cell r="D25">
            <v>0</v>
          </cell>
          <cell r="E25">
            <v>0</v>
          </cell>
          <cell r="F25">
            <v>0</v>
          </cell>
          <cell r="G25">
            <v>2.564102564102564E-2</v>
          </cell>
          <cell r="H25">
            <v>0</v>
          </cell>
          <cell r="I25">
            <v>0</v>
          </cell>
        </row>
        <row r="26">
          <cell r="B26">
            <v>0</v>
          </cell>
          <cell r="C26">
            <v>0</v>
          </cell>
          <cell r="D26">
            <v>0</v>
          </cell>
          <cell r="E26">
            <v>0</v>
          </cell>
          <cell r="F26">
            <v>0</v>
          </cell>
          <cell r="G26">
            <v>2.564102564102564E-2</v>
          </cell>
          <cell r="H26">
            <v>0</v>
          </cell>
          <cell r="I26">
            <v>0</v>
          </cell>
        </row>
        <row r="27">
          <cell r="B27">
            <v>0</v>
          </cell>
          <cell r="C27">
            <v>0</v>
          </cell>
          <cell r="D27">
            <v>0</v>
          </cell>
          <cell r="E27">
            <v>0</v>
          </cell>
          <cell r="F27">
            <v>0</v>
          </cell>
          <cell r="G27">
            <v>2.564102564102564E-2</v>
          </cell>
          <cell r="H27">
            <v>0</v>
          </cell>
          <cell r="I27">
            <v>0</v>
          </cell>
        </row>
        <row r="28">
          <cell r="B28">
            <v>0</v>
          </cell>
          <cell r="C28">
            <v>0</v>
          </cell>
          <cell r="D28">
            <v>0</v>
          </cell>
          <cell r="E28">
            <v>0</v>
          </cell>
          <cell r="F28">
            <v>0</v>
          </cell>
          <cell r="G28">
            <v>2.564102564102564E-2</v>
          </cell>
          <cell r="H28">
            <v>0</v>
          </cell>
          <cell r="I28">
            <v>0</v>
          </cell>
        </row>
        <row r="29">
          <cell r="B29">
            <v>0</v>
          </cell>
          <cell r="C29">
            <v>0</v>
          </cell>
          <cell r="D29">
            <v>0</v>
          </cell>
          <cell r="E29">
            <v>0</v>
          </cell>
          <cell r="F29">
            <v>0</v>
          </cell>
          <cell r="G29">
            <v>2.564102564102564E-2</v>
          </cell>
          <cell r="H29">
            <v>0</v>
          </cell>
          <cell r="I29">
            <v>0</v>
          </cell>
        </row>
        <row r="30">
          <cell r="B30">
            <v>0</v>
          </cell>
          <cell r="C30">
            <v>0</v>
          </cell>
          <cell r="D30">
            <v>0</v>
          </cell>
          <cell r="E30">
            <v>0</v>
          </cell>
          <cell r="F30">
            <v>0</v>
          </cell>
          <cell r="G30">
            <v>2.564102564102564E-2</v>
          </cell>
          <cell r="H30">
            <v>0</v>
          </cell>
          <cell r="I30">
            <v>0</v>
          </cell>
        </row>
        <row r="31">
          <cell r="B31">
            <v>0</v>
          </cell>
          <cell r="C31">
            <v>0</v>
          </cell>
          <cell r="D31">
            <v>0</v>
          </cell>
          <cell r="E31">
            <v>0</v>
          </cell>
          <cell r="F31">
            <v>0</v>
          </cell>
          <cell r="G31">
            <v>2.564102564102564E-2</v>
          </cell>
          <cell r="H31">
            <v>0</v>
          </cell>
          <cell r="I31">
            <v>0</v>
          </cell>
        </row>
        <row r="32">
          <cell r="B32">
            <v>0</v>
          </cell>
          <cell r="C32">
            <v>0</v>
          </cell>
          <cell r="D32">
            <v>0</v>
          </cell>
          <cell r="E32">
            <v>0</v>
          </cell>
          <cell r="F32">
            <v>0</v>
          </cell>
          <cell r="G32">
            <v>2.564102564102564E-2</v>
          </cell>
          <cell r="H32">
            <v>0</v>
          </cell>
          <cell r="I32">
            <v>0</v>
          </cell>
        </row>
        <row r="33">
          <cell r="B33">
            <v>0</v>
          </cell>
          <cell r="C33">
            <v>0</v>
          </cell>
          <cell r="D33">
            <v>0</v>
          </cell>
          <cell r="E33">
            <v>0</v>
          </cell>
          <cell r="F33">
            <v>0</v>
          </cell>
          <cell r="G33">
            <v>2.564102564102564E-2</v>
          </cell>
          <cell r="H33">
            <v>0</v>
          </cell>
          <cell r="I33">
            <v>0</v>
          </cell>
        </row>
        <row r="34">
          <cell r="B34">
            <v>0</v>
          </cell>
          <cell r="C34">
            <v>0</v>
          </cell>
          <cell r="D34">
            <v>0</v>
          </cell>
          <cell r="E34">
            <v>0</v>
          </cell>
          <cell r="F34">
            <v>0</v>
          </cell>
          <cell r="G34">
            <v>2.564102564102564E-2</v>
          </cell>
          <cell r="H34">
            <v>0</v>
          </cell>
          <cell r="I34">
            <v>0</v>
          </cell>
        </row>
        <row r="35">
          <cell r="B35">
            <v>0</v>
          </cell>
          <cell r="C35">
            <v>0</v>
          </cell>
          <cell r="D35">
            <v>0</v>
          </cell>
          <cell r="E35">
            <v>0</v>
          </cell>
          <cell r="F35">
            <v>0</v>
          </cell>
          <cell r="G35">
            <v>2.564102564102564E-2</v>
          </cell>
          <cell r="H35">
            <v>0</v>
          </cell>
          <cell r="I35">
            <v>0</v>
          </cell>
        </row>
        <row r="36">
          <cell r="B36">
            <v>0</v>
          </cell>
          <cell r="C36">
            <v>0</v>
          </cell>
          <cell r="D36">
            <v>0</v>
          </cell>
          <cell r="E36">
            <v>0</v>
          </cell>
          <cell r="F36">
            <v>0</v>
          </cell>
          <cell r="G36">
            <v>2.564102564102564E-2</v>
          </cell>
          <cell r="H36">
            <v>0</v>
          </cell>
          <cell r="I36">
            <v>0</v>
          </cell>
        </row>
        <row r="37">
          <cell r="B37">
            <v>0</v>
          </cell>
          <cell r="C37">
            <v>0</v>
          </cell>
          <cell r="D37">
            <v>0</v>
          </cell>
          <cell r="E37">
            <v>0</v>
          </cell>
          <cell r="F37">
            <v>0</v>
          </cell>
          <cell r="G37">
            <v>2.564102564102564E-2</v>
          </cell>
          <cell r="H37">
            <v>0</v>
          </cell>
          <cell r="I37">
            <v>0</v>
          </cell>
        </row>
        <row r="38">
          <cell r="B38">
            <v>0</v>
          </cell>
          <cell r="C38">
            <v>0</v>
          </cell>
          <cell r="D38">
            <v>0</v>
          </cell>
          <cell r="E38">
            <v>0</v>
          </cell>
          <cell r="F38">
            <v>0</v>
          </cell>
          <cell r="G38">
            <v>2.564102564102564E-2</v>
          </cell>
          <cell r="H38">
            <v>0</v>
          </cell>
          <cell r="I38">
            <v>0</v>
          </cell>
        </row>
        <row r="39">
          <cell r="B39">
            <v>0</v>
          </cell>
          <cell r="C39">
            <v>0</v>
          </cell>
          <cell r="D39">
            <v>0</v>
          </cell>
          <cell r="E39">
            <v>0</v>
          </cell>
          <cell r="F39">
            <v>0</v>
          </cell>
          <cell r="G39">
            <v>2.564102564102564E-2</v>
          </cell>
          <cell r="H39">
            <v>0</v>
          </cell>
          <cell r="I39">
            <v>0</v>
          </cell>
        </row>
        <row r="40">
          <cell r="B40">
            <v>0</v>
          </cell>
          <cell r="C40">
            <v>0</v>
          </cell>
          <cell r="D40">
            <v>0</v>
          </cell>
          <cell r="E40">
            <v>0</v>
          </cell>
          <cell r="F40">
            <v>0</v>
          </cell>
          <cell r="G40">
            <v>2.564102564102564E-2</v>
          </cell>
          <cell r="H40">
            <v>0</v>
          </cell>
          <cell r="I40">
            <v>0</v>
          </cell>
        </row>
        <row r="41">
          <cell r="B41">
            <v>0</v>
          </cell>
          <cell r="C41">
            <v>0</v>
          </cell>
          <cell r="D41">
            <v>0</v>
          </cell>
          <cell r="E41">
            <v>0</v>
          </cell>
          <cell r="F41">
            <v>0</v>
          </cell>
          <cell r="G41">
            <v>2.564102564102564E-2</v>
          </cell>
          <cell r="H41">
            <v>0</v>
          </cell>
          <cell r="I41">
            <v>0</v>
          </cell>
        </row>
        <row r="42">
          <cell r="B42">
            <v>0</v>
          </cell>
          <cell r="C42">
            <v>0</v>
          </cell>
          <cell r="D42">
            <v>0</v>
          </cell>
          <cell r="E42">
            <v>0</v>
          </cell>
          <cell r="F42">
            <v>0</v>
          </cell>
          <cell r="G42">
            <v>2.564102564102564E-2</v>
          </cell>
          <cell r="H42">
            <v>0</v>
          </cell>
          <cell r="I42">
            <v>0</v>
          </cell>
        </row>
        <row r="43">
          <cell r="B43">
            <v>0</v>
          </cell>
          <cell r="C43">
            <v>0</v>
          </cell>
          <cell r="D43">
            <v>0</v>
          </cell>
          <cell r="E43">
            <v>0</v>
          </cell>
          <cell r="F43">
            <v>0</v>
          </cell>
          <cell r="G43">
            <v>2.4572649572649041E-2</v>
          </cell>
          <cell r="H43">
            <v>0</v>
          </cell>
          <cell r="I43">
            <v>0</v>
          </cell>
        </row>
        <row r="44">
          <cell r="B44">
            <v>0</v>
          </cell>
          <cell r="C44">
            <v>0</v>
          </cell>
          <cell r="D44">
            <v>0</v>
          </cell>
          <cell r="E44">
            <v>0</v>
          </cell>
          <cell r="F44">
            <v>0</v>
          </cell>
          <cell r="G44">
            <v>0</v>
          </cell>
          <cell r="H44">
            <v>0</v>
          </cell>
          <cell r="I44">
            <v>0</v>
          </cell>
        </row>
        <row r="45">
          <cell r="B45">
            <v>0</v>
          </cell>
          <cell r="C45">
            <v>0</v>
          </cell>
          <cell r="D45">
            <v>0</v>
          </cell>
          <cell r="E45">
            <v>0</v>
          </cell>
          <cell r="F45">
            <v>0</v>
          </cell>
          <cell r="G45">
            <v>0</v>
          </cell>
          <cell r="H45">
            <v>0</v>
          </cell>
          <cell r="I45">
            <v>0</v>
          </cell>
        </row>
        <row r="46">
          <cell r="B46">
            <v>0</v>
          </cell>
          <cell r="C46">
            <v>0</v>
          </cell>
          <cell r="D46">
            <v>0</v>
          </cell>
          <cell r="E46">
            <v>0</v>
          </cell>
          <cell r="F46">
            <v>0</v>
          </cell>
          <cell r="G46">
            <v>0</v>
          </cell>
          <cell r="H46">
            <v>0</v>
          </cell>
          <cell r="I46">
            <v>0</v>
          </cell>
        </row>
        <row r="47">
          <cell r="B47">
            <v>0</v>
          </cell>
          <cell r="C47">
            <v>0</v>
          </cell>
          <cell r="D47">
            <v>0</v>
          </cell>
          <cell r="E47">
            <v>0</v>
          </cell>
          <cell r="F47">
            <v>0</v>
          </cell>
          <cell r="G47">
            <v>0</v>
          </cell>
          <cell r="H47">
            <v>0</v>
          </cell>
          <cell r="I47">
            <v>0</v>
          </cell>
        </row>
        <row r="48">
          <cell r="B48">
            <v>0</v>
          </cell>
          <cell r="C48">
            <v>0</v>
          </cell>
          <cell r="D48">
            <v>0</v>
          </cell>
          <cell r="E48">
            <v>0</v>
          </cell>
          <cell r="F48">
            <v>0</v>
          </cell>
          <cell r="G48">
            <v>0</v>
          </cell>
          <cell r="H48">
            <v>0</v>
          </cell>
          <cell r="I48">
            <v>0</v>
          </cell>
        </row>
        <row r="49">
          <cell r="B49">
            <v>0</v>
          </cell>
          <cell r="C49">
            <v>0</v>
          </cell>
          <cell r="D49">
            <v>0</v>
          </cell>
          <cell r="E49">
            <v>0</v>
          </cell>
          <cell r="F49">
            <v>0</v>
          </cell>
          <cell r="G49">
            <v>0</v>
          </cell>
          <cell r="H49">
            <v>0</v>
          </cell>
          <cell r="I49">
            <v>0</v>
          </cell>
        </row>
        <row r="50">
          <cell r="B50">
            <v>0</v>
          </cell>
          <cell r="C50">
            <v>0</v>
          </cell>
          <cell r="D50">
            <v>0</v>
          </cell>
          <cell r="E50">
            <v>0</v>
          </cell>
          <cell r="F50">
            <v>0</v>
          </cell>
          <cell r="G50">
            <v>0</v>
          </cell>
          <cell r="H50">
            <v>0</v>
          </cell>
          <cell r="I50">
            <v>0</v>
          </cell>
        </row>
        <row r="51">
          <cell r="B51">
            <v>0</v>
          </cell>
          <cell r="C51">
            <v>0</v>
          </cell>
          <cell r="D51">
            <v>0</v>
          </cell>
          <cell r="E51">
            <v>0</v>
          </cell>
          <cell r="F51">
            <v>0</v>
          </cell>
          <cell r="G51">
            <v>0</v>
          </cell>
          <cell r="H51">
            <v>0</v>
          </cell>
          <cell r="I51">
            <v>0</v>
          </cell>
        </row>
        <row r="52">
          <cell r="B52">
            <v>0</v>
          </cell>
          <cell r="C52">
            <v>0</v>
          </cell>
          <cell r="D52">
            <v>0</v>
          </cell>
          <cell r="E52">
            <v>0</v>
          </cell>
          <cell r="F52">
            <v>0</v>
          </cell>
          <cell r="G52">
            <v>0</v>
          </cell>
          <cell r="H52">
            <v>0</v>
          </cell>
          <cell r="I52">
            <v>0</v>
          </cell>
        </row>
        <row r="53">
          <cell r="B53">
            <v>0</v>
          </cell>
          <cell r="C53">
            <v>0</v>
          </cell>
          <cell r="D53">
            <v>0</v>
          </cell>
          <cell r="E53">
            <v>0</v>
          </cell>
          <cell r="F53">
            <v>0</v>
          </cell>
          <cell r="G53">
            <v>0</v>
          </cell>
          <cell r="H53">
            <v>0</v>
          </cell>
          <cell r="I53">
            <v>0</v>
          </cell>
        </row>
        <row r="54">
          <cell r="B54">
            <v>0</v>
          </cell>
          <cell r="C54">
            <v>0</v>
          </cell>
          <cell r="D54">
            <v>0</v>
          </cell>
          <cell r="E54">
            <v>0</v>
          </cell>
          <cell r="F54">
            <v>0</v>
          </cell>
          <cell r="G54">
            <v>0</v>
          </cell>
          <cell r="H54">
            <v>0</v>
          </cell>
          <cell r="I54">
            <v>0</v>
          </cell>
        </row>
        <row r="55">
          <cell r="B55">
            <v>0</v>
          </cell>
          <cell r="C55">
            <v>0</v>
          </cell>
          <cell r="D55">
            <v>0</v>
          </cell>
          <cell r="E55">
            <v>0</v>
          </cell>
          <cell r="F55">
            <v>0</v>
          </cell>
          <cell r="G55">
            <v>0</v>
          </cell>
          <cell r="H55">
            <v>0</v>
          </cell>
          <cell r="I55">
            <v>0</v>
          </cell>
        </row>
      </sheetData>
      <sheetData sheetId="13">
        <row r="3">
          <cell r="B3">
            <v>42004</v>
          </cell>
          <cell r="C3">
            <v>41913</v>
          </cell>
        </row>
        <row r="4">
          <cell r="B4">
            <v>42094</v>
          </cell>
          <cell r="C4">
            <v>42005</v>
          </cell>
        </row>
        <row r="5">
          <cell r="B5">
            <v>42185</v>
          </cell>
          <cell r="C5">
            <v>42095</v>
          </cell>
        </row>
        <row r="6">
          <cell r="B6">
            <v>42277</v>
          </cell>
          <cell r="C6">
            <v>42186</v>
          </cell>
        </row>
        <row r="7">
          <cell r="B7">
            <v>42369</v>
          </cell>
          <cell r="C7">
            <v>42278</v>
          </cell>
        </row>
        <row r="8">
          <cell r="B8">
            <v>42460</v>
          </cell>
          <cell r="C8">
            <v>42370</v>
          </cell>
        </row>
        <row r="9">
          <cell r="B9">
            <v>42551</v>
          </cell>
          <cell r="C9">
            <v>42461</v>
          </cell>
        </row>
        <row r="10">
          <cell r="B10">
            <v>42643</v>
          </cell>
          <cell r="C10">
            <v>42552</v>
          </cell>
        </row>
        <row r="11">
          <cell r="B11">
            <v>42735</v>
          </cell>
          <cell r="C11">
            <v>42644</v>
          </cell>
        </row>
        <row r="12">
          <cell r="B12">
            <v>42825</v>
          </cell>
          <cell r="C12">
            <v>42736</v>
          </cell>
        </row>
        <row r="13">
          <cell r="B13">
            <v>42916</v>
          </cell>
          <cell r="C13">
            <v>42826</v>
          </cell>
        </row>
        <row r="14">
          <cell r="B14">
            <v>43008</v>
          </cell>
          <cell r="C14">
            <v>42917</v>
          </cell>
        </row>
        <row r="15">
          <cell r="B15">
            <v>43100</v>
          </cell>
          <cell r="C15">
            <v>43009</v>
          </cell>
        </row>
        <row r="16">
          <cell r="B16">
            <v>43190</v>
          </cell>
          <cell r="C16">
            <v>43101</v>
          </cell>
        </row>
        <row r="17">
          <cell r="B17">
            <v>43281</v>
          </cell>
          <cell r="C17">
            <v>43191</v>
          </cell>
        </row>
        <row r="18">
          <cell r="B18">
            <v>43373</v>
          </cell>
          <cell r="C18">
            <v>43282</v>
          </cell>
        </row>
        <row r="19">
          <cell r="B19">
            <v>43465</v>
          </cell>
          <cell r="C19">
            <v>43374</v>
          </cell>
        </row>
        <row r="20">
          <cell r="B20">
            <v>43555</v>
          </cell>
          <cell r="C20">
            <v>43466</v>
          </cell>
        </row>
        <row r="21">
          <cell r="B21">
            <v>43646</v>
          </cell>
          <cell r="C21">
            <v>43556</v>
          </cell>
        </row>
        <row r="22">
          <cell r="B22">
            <v>43738</v>
          </cell>
          <cell r="C22">
            <v>43647</v>
          </cell>
        </row>
        <row r="23">
          <cell r="B23">
            <v>43830</v>
          </cell>
          <cell r="C23">
            <v>43739</v>
          </cell>
        </row>
        <row r="24">
          <cell r="B24">
            <v>43921</v>
          </cell>
          <cell r="C24">
            <v>43831</v>
          </cell>
        </row>
        <row r="25">
          <cell r="B25">
            <v>44012</v>
          </cell>
          <cell r="C25">
            <v>43922</v>
          </cell>
        </row>
        <row r="26">
          <cell r="B26">
            <v>44104</v>
          </cell>
          <cell r="C26">
            <v>44013</v>
          </cell>
        </row>
        <row r="27">
          <cell r="B27">
            <v>44196</v>
          </cell>
          <cell r="C27">
            <v>44105</v>
          </cell>
        </row>
        <row r="28">
          <cell r="B28">
            <v>44286</v>
          </cell>
          <cell r="C28">
            <v>44197</v>
          </cell>
        </row>
        <row r="29">
          <cell r="B29">
            <v>44377</v>
          </cell>
          <cell r="C29">
            <v>44287</v>
          </cell>
        </row>
        <row r="30">
          <cell r="B30">
            <v>44469</v>
          </cell>
          <cell r="C30">
            <v>44378</v>
          </cell>
        </row>
        <row r="31">
          <cell r="B31">
            <v>44561</v>
          </cell>
          <cell r="C31">
            <v>44470</v>
          </cell>
        </row>
        <row r="32">
          <cell r="B32">
            <v>44651</v>
          </cell>
          <cell r="C32">
            <v>44562</v>
          </cell>
        </row>
        <row r="33">
          <cell r="B33">
            <v>44742</v>
          </cell>
          <cell r="C33">
            <v>44652</v>
          </cell>
        </row>
        <row r="34">
          <cell r="B34">
            <v>44834</v>
          </cell>
          <cell r="C34">
            <v>44743</v>
          </cell>
        </row>
        <row r="35">
          <cell r="B35">
            <v>44926</v>
          </cell>
          <cell r="C35">
            <v>44835</v>
          </cell>
        </row>
        <row r="36">
          <cell r="B36">
            <v>45016</v>
          </cell>
          <cell r="C36">
            <v>44927</v>
          </cell>
        </row>
        <row r="37">
          <cell r="B37">
            <v>45107</v>
          </cell>
          <cell r="C37">
            <v>45017</v>
          </cell>
        </row>
        <row r="38">
          <cell r="B38">
            <v>45199</v>
          </cell>
          <cell r="C38">
            <v>45108</v>
          </cell>
        </row>
        <row r="39">
          <cell r="B39">
            <v>45291</v>
          </cell>
          <cell r="C39">
            <v>45200</v>
          </cell>
        </row>
        <row r="40">
          <cell r="B40">
            <v>45382</v>
          </cell>
          <cell r="C40">
            <v>45292</v>
          </cell>
        </row>
        <row r="41">
          <cell r="B41">
            <v>45473</v>
          </cell>
          <cell r="C41">
            <v>45383</v>
          </cell>
        </row>
        <row r="42">
          <cell r="B42">
            <v>45565</v>
          </cell>
          <cell r="C42">
            <v>45474</v>
          </cell>
        </row>
        <row r="43">
          <cell r="B43">
            <v>45657</v>
          </cell>
          <cell r="C43">
            <v>45566</v>
          </cell>
        </row>
        <row r="44">
          <cell r="B44">
            <v>45747</v>
          </cell>
          <cell r="C44">
            <v>45658</v>
          </cell>
        </row>
        <row r="45">
          <cell r="B45">
            <v>45838</v>
          </cell>
          <cell r="C45">
            <v>45748</v>
          </cell>
        </row>
        <row r="46">
          <cell r="B46">
            <v>45930</v>
          </cell>
          <cell r="C46">
            <v>45839</v>
          </cell>
        </row>
        <row r="47">
          <cell r="B47">
            <v>46022</v>
          </cell>
          <cell r="C47">
            <v>45931</v>
          </cell>
        </row>
        <row r="48">
          <cell r="B48">
            <v>46112</v>
          </cell>
          <cell r="C48">
            <v>46023</v>
          </cell>
        </row>
        <row r="49">
          <cell r="B49">
            <v>46203</v>
          </cell>
          <cell r="C49">
            <v>46113</v>
          </cell>
        </row>
        <row r="50">
          <cell r="B50">
            <v>46295</v>
          </cell>
          <cell r="C50">
            <v>46204</v>
          </cell>
        </row>
        <row r="51">
          <cell r="B51">
            <v>46387</v>
          </cell>
          <cell r="C51">
            <v>46296</v>
          </cell>
        </row>
        <row r="52">
          <cell r="B52">
            <v>46477</v>
          </cell>
          <cell r="C52">
            <v>46388</v>
          </cell>
        </row>
        <row r="53">
          <cell r="B53">
            <v>46568</v>
          </cell>
          <cell r="C53">
            <v>46478</v>
          </cell>
        </row>
        <row r="54">
          <cell r="B54">
            <v>46660</v>
          </cell>
          <cell r="C54">
            <v>46569</v>
          </cell>
        </row>
        <row r="55">
          <cell r="B55">
            <v>46752</v>
          </cell>
          <cell r="C55">
            <v>46661</v>
          </cell>
        </row>
        <row r="56">
          <cell r="B56">
            <v>46843</v>
          </cell>
          <cell r="C56">
            <v>46753</v>
          </cell>
        </row>
        <row r="57">
          <cell r="B57">
            <v>46934</v>
          </cell>
          <cell r="C57">
            <v>46844</v>
          </cell>
        </row>
        <row r="58">
          <cell r="B58">
            <v>47026</v>
          </cell>
          <cell r="C58">
            <v>46935</v>
          </cell>
        </row>
        <row r="59">
          <cell r="B59">
            <v>47118</v>
          </cell>
          <cell r="C59">
            <v>47027</v>
          </cell>
        </row>
        <row r="60">
          <cell r="B60">
            <v>47208</v>
          </cell>
          <cell r="C60">
            <v>47119</v>
          </cell>
        </row>
        <row r="61">
          <cell r="B61">
            <v>47299</v>
          </cell>
          <cell r="C61">
            <v>47209</v>
          </cell>
        </row>
        <row r="62">
          <cell r="B62">
            <v>47391</v>
          </cell>
          <cell r="C62">
            <v>47300</v>
          </cell>
        </row>
        <row r="63">
          <cell r="B63">
            <v>47483</v>
          </cell>
          <cell r="C63">
            <v>47392</v>
          </cell>
        </row>
        <row r="64">
          <cell r="B64">
            <v>47573</v>
          </cell>
          <cell r="C64">
            <v>47484</v>
          </cell>
        </row>
        <row r="65">
          <cell r="B65">
            <v>47664</v>
          </cell>
          <cell r="C65">
            <v>47574</v>
          </cell>
        </row>
        <row r="66">
          <cell r="B66">
            <v>47756</v>
          </cell>
          <cell r="C66">
            <v>47665</v>
          </cell>
        </row>
        <row r="67">
          <cell r="B67">
            <v>47848</v>
          </cell>
          <cell r="C67">
            <v>47757</v>
          </cell>
        </row>
        <row r="68">
          <cell r="B68">
            <v>47938</v>
          </cell>
          <cell r="C68">
            <v>47849</v>
          </cell>
        </row>
        <row r="69">
          <cell r="B69">
            <v>48029</v>
          </cell>
          <cell r="C69">
            <v>47939</v>
          </cell>
        </row>
        <row r="70">
          <cell r="B70">
            <v>48121</v>
          </cell>
          <cell r="C70">
            <v>48030</v>
          </cell>
        </row>
        <row r="71">
          <cell r="B71">
            <v>48213</v>
          </cell>
          <cell r="C71">
            <v>48122</v>
          </cell>
        </row>
        <row r="72">
          <cell r="B72">
            <v>48304</v>
          </cell>
          <cell r="C72">
            <v>48214</v>
          </cell>
        </row>
        <row r="73">
          <cell r="B73">
            <v>48395</v>
          </cell>
          <cell r="C73">
            <v>48305</v>
          </cell>
        </row>
        <row r="74">
          <cell r="B74">
            <v>48487</v>
          </cell>
          <cell r="C74">
            <v>48396</v>
          </cell>
        </row>
        <row r="75">
          <cell r="B75">
            <v>48579</v>
          </cell>
          <cell r="C75">
            <v>48488</v>
          </cell>
        </row>
        <row r="76">
          <cell r="B76">
            <v>48669</v>
          </cell>
          <cell r="C76">
            <v>48580</v>
          </cell>
        </row>
        <row r="77">
          <cell r="B77">
            <v>48760</v>
          </cell>
          <cell r="C77">
            <v>48670</v>
          </cell>
        </row>
        <row r="78">
          <cell r="B78">
            <v>48852</v>
          </cell>
          <cell r="C78">
            <v>48761</v>
          </cell>
        </row>
        <row r="79">
          <cell r="B79">
            <v>48944</v>
          </cell>
          <cell r="C79">
            <v>48853</v>
          </cell>
        </row>
        <row r="80">
          <cell r="B80">
            <v>49034</v>
          </cell>
          <cell r="C80">
            <v>48945</v>
          </cell>
        </row>
        <row r="81">
          <cell r="B81">
            <v>49125</v>
          </cell>
          <cell r="C81">
            <v>49035</v>
          </cell>
        </row>
        <row r="82">
          <cell r="B82">
            <v>49217</v>
          </cell>
          <cell r="C82">
            <v>49126</v>
          </cell>
        </row>
        <row r="83">
          <cell r="B83">
            <v>49309</v>
          </cell>
          <cell r="C83">
            <v>49218</v>
          </cell>
        </row>
        <row r="84">
          <cell r="B84">
            <v>49399</v>
          </cell>
          <cell r="C84">
            <v>49310</v>
          </cell>
        </row>
        <row r="85">
          <cell r="B85">
            <v>49490</v>
          </cell>
          <cell r="C85">
            <v>49400</v>
          </cell>
        </row>
        <row r="86">
          <cell r="B86">
            <v>49582</v>
          </cell>
          <cell r="C86">
            <v>49491</v>
          </cell>
        </row>
        <row r="87">
          <cell r="B87">
            <v>49674</v>
          </cell>
          <cell r="C87">
            <v>49583</v>
          </cell>
        </row>
        <row r="88">
          <cell r="B88">
            <v>49765</v>
          </cell>
          <cell r="C88">
            <v>49675</v>
          </cell>
        </row>
        <row r="89">
          <cell r="B89">
            <v>49856</v>
          </cell>
          <cell r="C89">
            <v>49766</v>
          </cell>
        </row>
        <row r="90">
          <cell r="B90">
            <v>49948</v>
          </cell>
          <cell r="C90">
            <v>49857</v>
          </cell>
        </row>
        <row r="91">
          <cell r="B91">
            <v>50040</v>
          </cell>
          <cell r="C91">
            <v>49949</v>
          </cell>
        </row>
        <row r="92">
          <cell r="B92">
            <v>50130</v>
          </cell>
          <cell r="C92">
            <v>50041</v>
          </cell>
        </row>
        <row r="93">
          <cell r="B93">
            <v>50221</v>
          </cell>
          <cell r="C93">
            <v>50131</v>
          </cell>
        </row>
        <row r="94">
          <cell r="B94">
            <v>50313</v>
          </cell>
          <cell r="C94">
            <v>50222</v>
          </cell>
        </row>
        <row r="95">
          <cell r="B95">
            <v>50405</v>
          </cell>
          <cell r="C95">
            <v>50314</v>
          </cell>
        </row>
        <row r="96">
          <cell r="B96">
            <v>50495</v>
          </cell>
          <cell r="C96">
            <v>50406</v>
          </cell>
        </row>
        <row r="97">
          <cell r="B97">
            <v>50586</v>
          </cell>
          <cell r="C97">
            <v>50496</v>
          </cell>
        </row>
        <row r="98">
          <cell r="B98">
            <v>50678</v>
          </cell>
          <cell r="C98">
            <v>50587</v>
          </cell>
        </row>
        <row r="99">
          <cell r="B99">
            <v>50770</v>
          </cell>
          <cell r="C99">
            <v>50679</v>
          </cell>
        </row>
        <row r="100">
          <cell r="B100">
            <v>50860</v>
          </cell>
          <cell r="C100">
            <v>50771</v>
          </cell>
        </row>
        <row r="101">
          <cell r="B101">
            <v>50951</v>
          </cell>
          <cell r="C101">
            <v>50861</v>
          </cell>
        </row>
        <row r="102">
          <cell r="B102">
            <v>51043</v>
          </cell>
          <cell r="C102">
            <v>50952</v>
          </cell>
        </row>
        <row r="103">
          <cell r="B103">
            <v>51135</v>
          </cell>
          <cell r="C103">
            <v>51044</v>
          </cell>
        </row>
        <row r="104">
          <cell r="B104">
            <v>51226</v>
          </cell>
          <cell r="C104">
            <v>51136</v>
          </cell>
        </row>
        <row r="105">
          <cell r="B105">
            <v>51317</v>
          </cell>
          <cell r="C105">
            <v>51227</v>
          </cell>
        </row>
        <row r="106">
          <cell r="B106">
            <v>51409</v>
          </cell>
          <cell r="C106">
            <v>51318</v>
          </cell>
        </row>
        <row r="107">
          <cell r="B107">
            <v>51501</v>
          </cell>
          <cell r="C107">
            <v>51410</v>
          </cell>
        </row>
        <row r="108">
          <cell r="B108">
            <v>51591</v>
          </cell>
          <cell r="C108">
            <v>51502</v>
          </cell>
        </row>
        <row r="109">
          <cell r="B109">
            <v>51682</v>
          </cell>
          <cell r="C109">
            <v>51592</v>
          </cell>
        </row>
        <row r="110">
          <cell r="B110">
            <v>51774</v>
          </cell>
          <cell r="C110">
            <v>51683</v>
          </cell>
        </row>
        <row r="111">
          <cell r="B111">
            <v>51866</v>
          </cell>
          <cell r="C111">
            <v>51775</v>
          </cell>
        </row>
        <row r="112">
          <cell r="B112">
            <v>51956</v>
          </cell>
          <cell r="C112">
            <v>51867</v>
          </cell>
        </row>
        <row r="113">
          <cell r="B113">
            <v>52047</v>
          </cell>
          <cell r="C113">
            <v>51957</v>
          </cell>
        </row>
        <row r="114">
          <cell r="B114">
            <v>52139</v>
          </cell>
          <cell r="C114">
            <v>52048</v>
          </cell>
        </row>
        <row r="115">
          <cell r="B115">
            <v>52231</v>
          </cell>
          <cell r="C115">
            <v>52140</v>
          </cell>
        </row>
        <row r="116">
          <cell r="B116">
            <v>52321</v>
          </cell>
          <cell r="C116">
            <v>52232</v>
          </cell>
        </row>
        <row r="117">
          <cell r="B117">
            <v>52412</v>
          </cell>
          <cell r="C117">
            <v>52322</v>
          </cell>
        </row>
        <row r="118">
          <cell r="B118">
            <v>52504</v>
          </cell>
          <cell r="C118">
            <v>52413</v>
          </cell>
        </row>
        <row r="119">
          <cell r="B119">
            <v>52596</v>
          </cell>
          <cell r="C119">
            <v>52505</v>
          </cell>
        </row>
        <row r="120">
          <cell r="B120">
            <v>52687</v>
          </cell>
          <cell r="C120">
            <v>52597</v>
          </cell>
        </row>
        <row r="121">
          <cell r="B121">
            <v>52778</v>
          </cell>
          <cell r="C121">
            <v>52688</v>
          </cell>
        </row>
        <row r="122">
          <cell r="B122">
            <v>52870</v>
          </cell>
          <cell r="C122">
            <v>52779</v>
          </cell>
        </row>
        <row r="123">
          <cell r="B123">
            <v>52962</v>
          </cell>
          <cell r="C123">
            <v>52871</v>
          </cell>
        </row>
        <row r="124">
          <cell r="B124">
            <v>53052</v>
          </cell>
          <cell r="C124">
            <v>52963</v>
          </cell>
        </row>
        <row r="125">
          <cell r="B125">
            <v>53143</v>
          </cell>
          <cell r="C125">
            <v>53053</v>
          </cell>
        </row>
        <row r="126">
          <cell r="B126">
            <v>53235</v>
          </cell>
          <cell r="C126">
            <v>53144</v>
          </cell>
        </row>
        <row r="127">
          <cell r="B127">
            <v>53327</v>
          </cell>
          <cell r="C127">
            <v>53236</v>
          </cell>
        </row>
        <row r="128">
          <cell r="B128">
            <v>53417</v>
          </cell>
          <cell r="C128">
            <v>53328</v>
          </cell>
        </row>
        <row r="129">
          <cell r="B129">
            <v>53508</v>
          </cell>
          <cell r="C129">
            <v>53418</v>
          </cell>
        </row>
        <row r="130">
          <cell r="B130">
            <v>53600</v>
          </cell>
          <cell r="C130">
            <v>53509</v>
          </cell>
        </row>
        <row r="131">
          <cell r="B131">
            <v>53692</v>
          </cell>
          <cell r="C131">
            <v>53601</v>
          </cell>
        </row>
        <row r="132">
          <cell r="B132">
            <v>53782</v>
          </cell>
          <cell r="C132">
            <v>53693</v>
          </cell>
        </row>
        <row r="133">
          <cell r="B133">
            <v>53873</v>
          </cell>
          <cell r="C133">
            <v>53783</v>
          </cell>
        </row>
        <row r="134">
          <cell r="B134">
            <v>53965</v>
          </cell>
          <cell r="C134">
            <v>53874</v>
          </cell>
        </row>
        <row r="135">
          <cell r="B135">
            <v>54057</v>
          </cell>
          <cell r="C135">
            <v>53966</v>
          </cell>
        </row>
        <row r="136">
          <cell r="B136">
            <v>54148</v>
          </cell>
          <cell r="C136">
            <v>54058</v>
          </cell>
        </row>
        <row r="137">
          <cell r="B137">
            <v>54239</v>
          </cell>
          <cell r="C137">
            <v>54149</v>
          </cell>
        </row>
        <row r="138">
          <cell r="B138">
            <v>54331</v>
          </cell>
          <cell r="C138">
            <v>54240</v>
          </cell>
        </row>
        <row r="139">
          <cell r="B139">
            <v>54423</v>
          </cell>
          <cell r="C139">
            <v>54332</v>
          </cell>
        </row>
        <row r="140">
          <cell r="B140">
            <v>54513</v>
          </cell>
          <cell r="C140">
            <v>54424</v>
          </cell>
        </row>
        <row r="141">
          <cell r="B141">
            <v>54604</v>
          </cell>
          <cell r="C141">
            <v>54514</v>
          </cell>
        </row>
        <row r="142">
          <cell r="B142">
            <v>54696</v>
          </cell>
          <cell r="C142">
            <v>54605</v>
          </cell>
        </row>
        <row r="143">
          <cell r="B143">
            <v>54788</v>
          </cell>
          <cell r="C143">
            <v>54697</v>
          </cell>
        </row>
        <row r="144">
          <cell r="B144">
            <v>54878</v>
          </cell>
          <cell r="C144">
            <v>54789</v>
          </cell>
        </row>
        <row r="145">
          <cell r="B145">
            <v>54969</v>
          </cell>
          <cell r="C145">
            <v>54879</v>
          </cell>
        </row>
        <row r="146">
          <cell r="B146">
            <v>55061</v>
          </cell>
          <cell r="C146">
            <v>54970</v>
          </cell>
        </row>
        <row r="147">
          <cell r="B147">
            <v>55153</v>
          </cell>
          <cell r="C147">
            <v>55062</v>
          </cell>
        </row>
        <row r="148">
          <cell r="B148">
            <v>55243</v>
          </cell>
          <cell r="C148">
            <v>55154</v>
          </cell>
        </row>
        <row r="149">
          <cell r="B149">
            <v>55334</v>
          </cell>
          <cell r="C149">
            <v>55244</v>
          </cell>
        </row>
        <row r="150">
          <cell r="B150">
            <v>55426</v>
          </cell>
          <cell r="C150">
            <v>55335</v>
          </cell>
        </row>
        <row r="151">
          <cell r="B151">
            <v>55518</v>
          </cell>
          <cell r="C151">
            <v>55427</v>
          </cell>
        </row>
        <row r="152">
          <cell r="B152">
            <v>55609</v>
          </cell>
          <cell r="C152">
            <v>55519</v>
          </cell>
        </row>
        <row r="153">
          <cell r="B153">
            <v>55700</v>
          </cell>
          <cell r="C153">
            <v>55610</v>
          </cell>
        </row>
        <row r="154">
          <cell r="B154">
            <v>55792</v>
          </cell>
          <cell r="C154">
            <v>55701</v>
          </cell>
        </row>
        <row r="155">
          <cell r="B155">
            <v>55884</v>
          </cell>
          <cell r="C155">
            <v>55793</v>
          </cell>
        </row>
        <row r="156">
          <cell r="B156">
            <v>55974</v>
          </cell>
          <cell r="C156">
            <v>55885</v>
          </cell>
        </row>
        <row r="157">
          <cell r="B157">
            <v>56065</v>
          </cell>
          <cell r="C157">
            <v>55975</v>
          </cell>
        </row>
        <row r="158">
          <cell r="B158">
            <v>56157</v>
          </cell>
          <cell r="C158">
            <v>56066</v>
          </cell>
        </row>
        <row r="159">
          <cell r="B159">
            <v>56249</v>
          </cell>
          <cell r="C159">
            <v>56158</v>
          </cell>
        </row>
        <row r="160">
          <cell r="B160">
            <v>56339</v>
          </cell>
          <cell r="C160">
            <v>56250</v>
          </cell>
        </row>
        <row r="161">
          <cell r="B161">
            <v>56430</v>
          </cell>
          <cell r="C161">
            <v>56340</v>
          </cell>
        </row>
        <row r="162">
          <cell r="B162">
            <v>56522</v>
          </cell>
          <cell r="C162">
            <v>56431</v>
          </cell>
        </row>
        <row r="163">
          <cell r="B163">
            <v>56614</v>
          </cell>
          <cell r="C163">
            <v>56523</v>
          </cell>
        </row>
        <row r="164">
          <cell r="B164">
            <v>56704</v>
          </cell>
          <cell r="C164">
            <v>56615</v>
          </cell>
        </row>
        <row r="165">
          <cell r="B165">
            <v>56795</v>
          </cell>
          <cell r="C165">
            <v>56705</v>
          </cell>
        </row>
        <row r="166">
          <cell r="B166">
            <v>56887</v>
          </cell>
          <cell r="C166">
            <v>56796</v>
          </cell>
        </row>
        <row r="169">
          <cell r="B169">
            <v>57161</v>
          </cell>
        </row>
        <row r="170">
          <cell r="B170">
            <v>57253</v>
          </cell>
        </row>
        <row r="173">
          <cell r="B173">
            <v>57526</v>
          </cell>
        </row>
        <row r="174">
          <cell r="B174">
            <v>57618</v>
          </cell>
        </row>
        <row r="175">
          <cell r="B175">
            <v>57710</v>
          </cell>
        </row>
        <row r="178">
          <cell r="B178">
            <v>57983</v>
          </cell>
        </row>
        <row r="179">
          <cell r="B179">
            <v>58075</v>
          </cell>
        </row>
        <row r="180">
          <cell r="B180">
            <v>58165</v>
          </cell>
        </row>
        <row r="181">
          <cell r="B181">
            <v>58256</v>
          </cell>
        </row>
        <row r="182">
          <cell r="B182">
            <v>58348</v>
          </cell>
        </row>
        <row r="183">
          <cell r="B183">
            <v>58440</v>
          </cell>
        </row>
        <row r="186">
          <cell r="B186">
            <v>58714</v>
          </cell>
          <cell r="C186">
            <v>58623</v>
          </cell>
        </row>
        <row r="187">
          <cell r="B187">
            <v>58806</v>
          </cell>
          <cell r="C187">
            <v>58715</v>
          </cell>
        </row>
        <row r="188">
          <cell r="B188">
            <v>58896</v>
          </cell>
          <cell r="C188">
            <v>58807</v>
          </cell>
        </row>
        <row r="189">
          <cell r="B189">
            <v>58987</v>
          </cell>
          <cell r="C189">
            <v>58897</v>
          </cell>
        </row>
        <row r="190">
          <cell r="B190">
            <v>59079</v>
          </cell>
          <cell r="C190">
            <v>58988</v>
          </cell>
        </row>
        <row r="191">
          <cell r="B191">
            <v>59171</v>
          </cell>
          <cell r="C191">
            <v>59080</v>
          </cell>
        </row>
        <row r="192">
          <cell r="B192">
            <v>59261</v>
          </cell>
          <cell r="C192">
            <v>59172</v>
          </cell>
        </row>
        <row r="193">
          <cell r="B193">
            <v>59352</v>
          </cell>
          <cell r="C193">
            <v>59262</v>
          </cell>
        </row>
        <row r="196">
          <cell r="B196">
            <v>59626</v>
          </cell>
          <cell r="C196">
            <v>59537</v>
          </cell>
        </row>
        <row r="197">
          <cell r="B197">
            <v>59717</v>
          </cell>
          <cell r="C197">
            <v>59627</v>
          </cell>
        </row>
        <row r="198">
          <cell r="B198">
            <v>59809</v>
          </cell>
          <cell r="C198">
            <v>59718</v>
          </cell>
        </row>
        <row r="199">
          <cell r="B199">
            <v>59901</v>
          </cell>
          <cell r="C199">
            <v>59810</v>
          </cell>
        </row>
        <row r="200">
          <cell r="B200">
            <v>59992</v>
          </cell>
          <cell r="C200">
            <v>59902</v>
          </cell>
        </row>
        <row r="201">
          <cell r="B201">
            <v>60083</v>
          </cell>
          <cell r="C201">
            <v>59993</v>
          </cell>
        </row>
        <row r="223">
          <cell r="B223">
            <v>62093</v>
          </cell>
        </row>
        <row r="224">
          <cell r="B224">
            <v>62183</v>
          </cell>
        </row>
        <row r="225">
          <cell r="B225">
            <v>62274</v>
          </cell>
        </row>
        <row r="228">
          <cell r="B228">
            <v>62548</v>
          </cell>
        </row>
        <row r="229">
          <cell r="B229">
            <v>62639</v>
          </cell>
        </row>
        <row r="232">
          <cell r="B232">
            <v>62914</v>
          </cell>
        </row>
        <row r="233">
          <cell r="B233">
            <v>63005</v>
          </cell>
        </row>
        <row r="240">
          <cell r="B240">
            <v>63644</v>
          </cell>
        </row>
        <row r="241">
          <cell r="B241">
            <v>63735</v>
          </cell>
        </row>
        <row r="242">
          <cell r="B242">
            <v>63827</v>
          </cell>
        </row>
        <row r="243">
          <cell r="B243">
            <v>63919</v>
          </cell>
        </row>
        <row r="244">
          <cell r="B244">
            <v>64009</v>
          </cell>
        </row>
        <row r="245">
          <cell r="B245">
            <v>64100</v>
          </cell>
        </row>
        <row r="246">
          <cell r="B246">
            <v>64192</v>
          </cell>
        </row>
        <row r="247">
          <cell r="B247">
            <v>64284</v>
          </cell>
        </row>
        <row r="248">
          <cell r="B248">
            <v>73050</v>
          </cell>
        </row>
        <row r="250">
          <cell r="B250" t="str">
            <v>ITC_Treatment_Options</v>
          </cell>
        </row>
        <row r="251">
          <cell r="B251" t="str">
            <v>Normalization</v>
          </cell>
        </row>
        <row r="252">
          <cell r="B252" t="str">
            <v>Flow through</v>
          </cell>
        </row>
        <row r="254">
          <cell r="B254" t="str">
            <v>ITC_Rate_Treatment_Options</v>
          </cell>
        </row>
        <row r="255">
          <cell r="B255" t="str">
            <v>Income</v>
          </cell>
        </row>
        <row r="256">
          <cell r="B256" t="str">
            <v>Ratebase</v>
          </cell>
        </row>
        <row r="257">
          <cell r="B257" t="str">
            <v>Both Income and Ratebase</v>
          </cell>
        </row>
        <row r="259">
          <cell r="B259" t="str">
            <v>ITC_or_PTC</v>
          </cell>
        </row>
        <row r="260">
          <cell r="B260" t="str">
            <v>ITC</v>
          </cell>
        </row>
        <row r="261">
          <cell r="B261" t="str">
            <v>PTC</v>
          </cell>
        </row>
        <row r="262">
          <cell r="B262" t="str">
            <v>Neither</v>
          </cell>
        </row>
        <row r="264">
          <cell r="B264" t="str">
            <v>Territories</v>
          </cell>
        </row>
        <row r="265">
          <cell r="B265" t="str">
            <v>DEC</v>
          </cell>
        </row>
        <row r="266">
          <cell r="B266" t="str">
            <v>DEP</v>
          </cell>
        </row>
        <row r="267">
          <cell r="B267" t="str">
            <v>DEF</v>
          </cell>
        </row>
        <row r="268">
          <cell r="B268" t="str">
            <v>DEI</v>
          </cell>
        </row>
        <row r="269">
          <cell r="B269" t="str">
            <v>DEO</v>
          </cell>
        </row>
        <row r="270">
          <cell r="B270" t="str">
            <v>DEK</v>
          </cell>
        </row>
        <row r="272">
          <cell r="B272" t="str">
            <v>Retail_Jurisdictions</v>
          </cell>
        </row>
        <row r="273">
          <cell r="B273" t="str">
            <v>DEC - NC</v>
          </cell>
        </row>
        <row r="274">
          <cell r="B274" t="str">
            <v>DEC - SC</v>
          </cell>
        </row>
        <row r="275">
          <cell r="B275" t="str">
            <v>DEP - NC</v>
          </cell>
        </row>
        <row r="276">
          <cell r="B276" t="str">
            <v>DEP - SC</v>
          </cell>
        </row>
        <row r="277">
          <cell r="B277" t="str">
            <v>DEF - FL</v>
          </cell>
        </row>
        <row r="278">
          <cell r="B278" t="str">
            <v>DEI - IN</v>
          </cell>
        </row>
        <row r="279">
          <cell r="B279" t="str">
            <v>DEO - OH</v>
          </cell>
        </row>
        <row r="280">
          <cell r="B280" t="str">
            <v>DEK - KY</v>
          </cell>
        </row>
        <row r="282">
          <cell r="B282" t="str">
            <v>Location_State</v>
          </cell>
        </row>
        <row r="283">
          <cell r="B283" t="str">
            <v>FL</v>
          </cell>
        </row>
        <row r="284">
          <cell r="B284" t="str">
            <v>IN</v>
          </cell>
        </row>
        <row r="285">
          <cell r="B285" t="str">
            <v>KY</v>
          </cell>
        </row>
        <row r="286">
          <cell r="B286" t="str">
            <v>NC</v>
          </cell>
        </row>
        <row r="287">
          <cell r="B287" t="str">
            <v>OH</v>
          </cell>
        </row>
        <row r="288">
          <cell r="B288" t="str">
            <v>SC</v>
          </cell>
        </row>
        <row r="291">
          <cell r="B291" t="str">
            <v>Monetization_View</v>
          </cell>
        </row>
        <row r="292">
          <cell r="B292" t="str">
            <v>Project</v>
          </cell>
        </row>
        <row r="293">
          <cell r="B293" t="str">
            <v>Portfolio</v>
          </cell>
        </row>
        <row r="295">
          <cell r="B295" t="str">
            <v>Recognition_of_ETC</v>
          </cell>
        </row>
        <row r="296">
          <cell r="B296" t="str">
            <v>As Utilized</v>
          </cell>
        </row>
        <row r="297">
          <cell r="B297">
            <v>2015</v>
          </cell>
        </row>
        <row r="298">
          <cell r="B298">
            <v>2016</v>
          </cell>
        </row>
        <row r="299">
          <cell r="B299">
            <v>2017</v>
          </cell>
        </row>
        <row r="300">
          <cell r="B300">
            <v>2018</v>
          </cell>
        </row>
        <row r="301">
          <cell r="B301">
            <v>2019</v>
          </cell>
        </row>
        <row r="302">
          <cell r="B302">
            <v>2020</v>
          </cell>
        </row>
        <row r="303">
          <cell r="B303">
            <v>2021</v>
          </cell>
        </row>
        <row r="304">
          <cell r="B304">
            <v>2022</v>
          </cell>
        </row>
        <row r="305">
          <cell r="B305">
            <v>2023</v>
          </cell>
        </row>
        <row r="306">
          <cell r="B306">
            <v>2024</v>
          </cell>
        </row>
        <row r="307">
          <cell r="B307">
            <v>2025</v>
          </cell>
        </row>
        <row r="309">
          <cell r="B309" t="str">
            <v>Property_Taxed_On</v>
          </cell>
        </row>
        <row r="310">
          <cell r="B310" t="str">
            <v>Gross Book Value</v>
          </cell>
        </row>
        <row r="311">
          <cell r="B311" t="str">
            <v>Net Book Value WithOUT Minimum</v>
          </cell>
        </row>
        <row r="312">
          <cell r="B312" t="str">
            <v>Net Book Value WITH Minimum</v>
          </cell>
        </row>
        <row r="313">
          <cell r="B313" t="str">
            <v>NB Value, Net of ITC, WithOUT Minimum</v>
          </cell>
        </row>
        <row r="314">
          <cell r="B314" t="str">
            <v>NB Value, Net of ITC, WITH Minimum</v>
          </cell>
        </row>
        <row r="316">
          <cell r="B316" t="str">
            <v>Yes_No</v>
          </cell>
        </row>
        <row r="317">
          <cell r="B317" t="str">
            <v>YES</v>
          </cell>
        </row>
        <row r="318">
          <cell r="B318" t="str">
            <v>NO</v>
          </cell>
        </row>
        <row r="320">
          <cell r="B320" t="str">
            <v>Basis_For_Pricing_Options</v>
          </cell>
        </row>
        <row r="324">
          <cell r="B324" t="str">
            <v>Rate_Base_Test_Year_and_Timing_Methodology_Options</v>
          </cell>
        </row>
        <row r="337">
          <cell r="B337">
            <v>42735</v>
          </cell>
        </row>
        <row r="340">
          <cell r="B340">
            <v>43008</v>
          </cell>
        </row>
        <row r="341">
          <cell r="B341">
            <v>43100</v>
          </cell>
        </row>
        <row r="342">
          <cell r="B342">
            <v>43190</v>
          </cell>
        </row>
        <row r="343">
          <cell r="B343">
            <v>43281</v>
          </cell>
        </row>
        <row r="344">
          <cell r="B344">
            <v>43373</v>
          </cell>
        </row>
        <row r="345">
          <cell r="B345">
            <v>43465</v>
          </cell>
        </row>
        <row r="346">
          <cell r="B346">
            <v>43555</v>
          </cell>
        </row>
        <row r="347">
          <cell r="B347">
            <v>43646</v>
          </cell>
        </row>
        <row r="348">
          <cell r="B348">
            <v>43738</v>
          </cell>
        </row>
        <row r="349">
          <cell r="B349">
            <v>43830</v>
          </cell>
        </row>
        <row r="350">
          <cell r="B350">
            <v>43921</v>
          </cell>
        </row>
        <row r="351">
          <cell r="B351">
            <v>44012</v>
          </cell>
        </row>
        <row r="352">
          <cell r="B352">
            <v>44104</v>
          </cell>
        </row>
        <row r="353">
          <cell r="B353">
            <v>44196</v>
          </cell>
        </row>
        <row r="354">
          <cell r="B354">
            <v>44286</v>
          </cell>
        </row>
        <row r="355">
          <cell r="B355">
            <v>44377</v>
          </cell>
        </row>
        <row r="358">
          <cell r="B358">
            <v>44651</v>
          </cell>
        </row>
        <row r="359">
          <cell r="B359">
            <v>44742</v>
          </cell>
        </row>
        <row r="360">
          <cell r="B360">
            <v>44834</v>
          </cell>
        </row>
        <row r="363">
          <cell r="B363">
            <v>45107</v>
          </cell>
        </row>
        <row r="364">
          <cell r="B364">
            <v>45199</v>
          </cell>
        </row>
        <row r="367">
          <cell r="B367">
            <v>45473</v>
          </cell>
        </row>
        <row r="368">
          <cell r="B368">
            <v>45565</v>
          </cell>
        </row>
        <row r="369">
          <cell r="B369">
            <v>45657</v>
          </cell>
        </row>
        <row r="370">
          <cell r="B370">
            <v>45747</v>
          </cell>
        </row>
        <row r="373">
          <cell r="B373">
            <v>46022</v>
          </cell>
        </row>
        <row r="374">
          <cell r="B374">
            <v>46112</v>
          </cell>
        </row>
        <row r="375">
          <cell r="B375">
            <v>46203</v>
          </cell>
        </row>
        <row r="376">
          <cell r="B376">
            <v>46295</v>
          </cell>
        </row>
      </sheetData>
      <sheetData sheetId="14">
        <row r="3">
          <cell r="B3">
            <v>0.35</v>
          </cell>
        </row>
      </sheetData>
      <sheetData sheetId="15" refreshError="1"/>
    </sheetDataSet>
  </externalBook>
</externalLink>
</file>

<file path=xl/externalLinks/externalLink4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JF Log"/>
      <sheetName val="ProjectInputs"/>
      <sheetName val="Control"/>
      <sheetName val="Analysis"/>
      <sheetName val="AnnualProForma"/>
      <sheetName val="Asset"/>
      <sheetName val="Assetn"/>
      <sheetName val="NonProjectInputs"/>
      <sheetName val="DepreciationInputs"/>
      <sheetName val="ValidationOptions"/>
      <sheetName val="SimplifiedModelInputs"/>
      <sheetName val="Log"/>
      <sheetName val="Direct G&amp;A"/>
      <sheetName val="Lease Cost"/>
      <sheetName val="Table Example"/>
      <sheetName val="Customer Impact Summary"/>
      <sheetName val="Sensitivities"/>
      <sheetName val="DERMod_Shared Solar_20160822_WO"/>
    </sheetNames>
    <sheetDataSet>
      <sheetData sheetId="0"/>
      <sheetData sheetId="1"/>
      <sheetData sheetId="2"/>
      <sheetData sheetId="3"/>
      <sheetData sheetId="4"/>
      <sheetData sheetId="5"/>
      <sheetData sheetId="6"/>
      <sheetData sheetId="7"/>
      <sheetData sheetId="8"/>
      <sheetData sheetId="9">
        <row r="3">
          <cell r="B3">
            <v>42004</v>
          </cell>
        </row>
        <row r="4">
          <cell r="B4">
            <v>42094</v>
          </cell>
        </row>
        <row r="5">
          <cell r="B5">
            <v>42185</v>
          </cell>
        </row>
        <row r="6">
          <cell r="B6">
            <v>42277</v>
          </cell>
        </row>
        <row r="7">
          <cell r="B7">
            <v>42369</v>
          </cell>
        </row>
        <row r="8">
          <cell r="B8">
            <v>42460</v>
          </cell>
        </row>
        <row r="9">
          <cell r="B9">
            <v>42551</v>
          </cell>
        </row>
        <row r="10">
          <cell r="B10">
            <v>42643</v>
          </cell>
        </row>
        <row r="11">
          <cell r="B11">
            <v>42735</v>
          </cell>
        </row>
        <row r="12">
          <cell r="B12">
            <v>42825</v>
          </cell>
        </row>
        <row r="13">
          <cell r="B13">
            <v>42916</v>
          </cell>
        </row>
        <row r="14">
          <cell r="B14">
            <v>43008</v>
          </cell>
        </row>
        <row r="15">
          <cell r="B15">
            <v>43100</v>
          </cell>
        </row>
        <row r="16">
          <cell r="B16">
            <v>43190</v>
          </cell>
        </row>
        <row r="17">
          <cell r="B17">
            <v>43281</v>
          </cell>
        </row>
        <row r="18">
          <cell r="B18">
            <v>43373</v>
          </cell>
        </row>
        <row r="19">
          <cell r="B19">
            <v>43465</v>
          </cell>
        </row>
        <row r="20">
          <cell r="B20">
            <v>43555</v>
          </cell>
        </row>
        <row r="21">
          <cell r="B21">
            <v>43646</v>
          </cell>
        </row>
        <row r="22">
          <cell r="B22">
            <v>43738</v>
          </cell>
        </row>
        <row r="23">
          <cell r="B23">
            <v>43830</v>
          </cell>
        </row>
        <row r="24">
          <cell r="B24">
            <v>43921</v>
          </cell>
        </row>
        <row r="25">
          <cell r="B25">
            <v>44012</v>
          </cell>
        </row>
        <row r="26">
          <cell r="B26">
            <v>44104</v>
          </cell>
        </row>
        <row r="27">
          <cell r="B27">
            <v>44196</v>
          </cell>
        </row>
        <row r="28">
          <cell r="B28">
            <v>44286</v>
          </cell>
        </row>
        <row r="29">
          <cell r="B29">
            <v>44377</v>
          </cell>
        </row>
        <row r="30">
          <cell r="B30">
            <v>44469</v>
          </cell>
        </row>
        <row r="31">
          <cell r="B31">
            <v>44561</v>
          </cell>
        </row>
        <row r="32">
          <cell r="B32">
            <v>44651</v>
          </cell>
        </row>
        <row r="33">
          <cell r="B33">
            <v>44742</v>
          </cell>
        </row>
        <row r="34">
          <cell r="B34">
            <v>44834</v>
          </cell>
        </row>
        <row r="35">
          <cell r="B35">
            <v>44926</v>
          </cell>
        </row>
        <row r="36">
          <cell r="B36">
            <v>45016</v>
          </cell>
        </row>
        <row r="37">
          <cell r="B37">
            <v>45107</v>
          </cell>
        </row>
        <row r="38">
          <cell r="B38">
            <v>45199</v>
          </cell>
        </row>
        <row r="39">
          <cell r="B39">
            <v>45291</v>
          </cell>
        </row>
        <row r="40">
          <cell r="B40">
            <v>45382</v>
          </cell>
        </row>
        <row r="41">
          <cell r="B41">
            <v>45473</v>
          </cell>
        </row>
        <row r="42">
          <cell r="B42">
            <v>45565</v>
          </cell>
        </row>
        <row r="43">
          <cell r="B43">
            <v>45657</v>
          </cell>
        </row>
        <row r="44">
          <cell r="B44">
            <v>45747</v>
          </cell>
        </row>
        <row r="45">
          <cell r="B45">
            <v>45838</v>
          </cell>
        </row>
        <row r="46">
          <cell r="B46">
            <v>45930</v>
          </cell>
        </row>
        <row r="47">
          <cell r="B47">
            <v>46022</v>
          </cell>
        </row>
        <row r="48">
          <cell r="B48">
            <v>46112</v>
          </cell>
        </row>
        <row r="49">
          <cell r="B49">
            <v>46203</v>
          </cell>
        </row>
        <row r="50">
          <cell r="B50">
            <v>46295</v>
          </cell>
        </row>
        <row r="51">
          <cell r="B51">
            <v>46387</v>
          </cell>
        </row>
        <row r="52">
          <cell r="B52">
            <v>46477</v>
          </cell>
        </row>
        <row r="53">
          <cell r="B53">
            <v>46568</v>
          </cell>
        </row>
        <row r="54">
          <cell r="B54">
            <v>46660</v>
          </cell>
        </row>
        <row r="55">
          <cell r="B55">
            <v>46752</v>
          </cell>
        </row>
        <row r="56">
          <cell r="B56">
            <v>46843</v>
          </cell>
        </row>
        <row r="57">
          <cell r="B57">
            <v>46934</v>
          </cell>
        </row>
        <row r="58">
          <cell r="B58">
            <v>47026</v>
          </cell>
        </row>
        <row r="59">
          <cell r="B59">
            <v>47118</v>
          </cell>
        </row>
        <row r="60">
          <cell r="B60">
            <v>47208</v>
          </cell>
        </row>
        <row r="61">
          <cell r="B61">
            <v>47299</v>
          </cell>
        </row>
        <row r="62">
          <cell r="B62">
            <v>47391</v>
          </cell>
        </row>
        <row r="63">
          <cell r="B63">
            <v>47483</v>
          </cell>
        </row>
        <row r="64">
          <cell r="B64">
            <v>47573</v>
          </cell>
        </row>
        <row r="65">
          <cell r="B65">
            <v>47664</v>
          </cell>
        </row>
        <row r="66">
          <cell r="B66">
            <v>47756</v>
          </cell>
        </row>
        <row r="67">
          <cell r="B67">
            <v>47848</v>
          </cell>
        </row>
        <row r="68">
          <cell r="B68">
            <v>47938</v>
          </cell>
        </row>
        <row r="69">
          <cell r="B69">
            <v>48029</v>
          </cell>
        </row>
        <row r="70">
          <cell r="B70">
            <v>48121</v>
          </cell>
        </row>
        <row r="71">
          <cell r="B71">
            <v>48213</v>
          </cell>
        </row>
        <row r="72">
          <cell r="B72">
            <v>48304</v>
          </cell>
        </row>
        <row r="73">
          <cell r="B73">
            <v>48395</v>
          </cell>
        </row>
        <row r="74">
          <cell r="B74">
            <v>48487</v>
          </cell>
        </row>
        <row r="75">
          <cell r="B75">
            <v>48579</v>
          </cell>
        </row>
        <row r="76">
          <cell r="B76">
            <v>48669</v>
          </cell>
        </row>
        <row r="77">
          <cell r="B77">
            <v>48760</v>
          </cell>
        </row>
        <row r="78">
          <cell r="B78">
            <v>48852</v>
          </cell>
        </row>
        <row r="79">
          <cell r="B79">
            <v>48944</v>
          </cell>
        </row>
        <row r="80">
          <cell r="B80">
            <v>49034</v>
          </cell>
        </row>
        <row r="81">
          <cell r="B81">
            <v>49125</v>
          </cell>
        </row>
        <row r="82">
          <cell r="B82">
            <v>49217</v>
          </cell>
        </row>
        <row r="83">
          <cell r="B83">
            <v>49309</v>
          </cell>
        </row>
        <row r="84">
          <cell r="B84">
            <v>49399</v>
          </cell>
        </row>
        <row r="85">
          <cell r="B85">
            <v>49490</v>
          </cell>
        </row>
        <row r="86">
          <cell r="B86">
            <v>49582</v>
          </cell>
        </row>
        <row r="87">
          <cell r="B87">
            <v>49674</v>
          </cell>
        </row>
        <row r="88">
          <cell r="B88">
            <v>49765</v>
          </cell>
        </row>
        <row r="89">
          <cell r="B89">
            <v>49856</v>
          </cell>
        </row>
        <row r="90">
          <cell r="B90">
            <v>49948</v>
          </cell>
        </row>
        <row r="91">
          <cell r="B91">
            <v>50040</v>
          </cell>
        </row>
        <row r="92">
          <cell r="B92">
            <v>50130</v>
          </cell>
        </row>
        <row r="93">
          <cell r="B93">
            <v>50221</v>
          </cell>
        </row>
        <row r="94">
          <cell r="B94">
            <v>50313</v>
          </cell>
        </row>
        <row r="95">
          <cell r="B95">
            <v>50405</v>
          </cell>
        </row>
        <row r="96">
          <cell r="B96">
            <v>50495</v>
          </cell>
        </row>
        <row r="97">
          <cell r="B97">
            <v>50586</v>
          </cell>
        </row>
        <row r="98">
          <cell r="B98">
            <v>50678</v>
          </cell>
        </row>
        <row r="99">
          <cell r="B99">
            <v>50770</v>
          </cell>
        </row>
        <row r="100">
          <cell r="B100">
            <v>50860</v>
          </cell>
        </row>
        <row r="101">
          <cell r="B101">
            <v>50951</v>
          </cell>
        </row>
        <row r="102">
          <cell r="B102">
            <v>51043</v>
          </cell>
        </row>
        <row r="103">
          <cell r="B103">
            <v>51135</v>
          </cell>
        </row>
        <row r="104">
          <cell r="B104">
            <v>51226</v>
          </cell>
        </row>
        <row r="105">
          <cell r="B105">
            <v>51317</v>
          </cell>
        </row>
        <row r="106">
          <cell r="B106">
            <v>51409</v>
          </cell>
        </row>
        <row r="107">
          <cell r="B107">
            <v>51501</v>
          </cell>
        </row>
        <row r="108">
          <cell r="B108">
            <v>51591</v>
          </cell>
        </row>
        <row r="109">
          <cell r="B109">
            <v>51682</v>
          </cell>
        </row>
        <row r="110">
          <cell r="B110">
            <v>51774</v>
          </cell>
        </row>
        <row r="111">
          <cell r="B111">
            <v>51866</v>
          </cell>
        </row>
        <row r="112">
          <cell r="B112">
            <v>51956</v>
          </cell>
        </row>
        <row r="113">
          <cell r="B113">
            <v>52047</v>
          </cell>
        </row>
        <row r="114">
          <cell r="B114">
            <v>52139</v>
          </cell>
        </row>
        <row r="115">
          <cell r="B115">
            <v>52231</v>
          </cell>
        </row>
        <row r="116">
          <cell r="B116">
            <v>52321</v>
          </cell>
        </row>
        <row r="117">
          <cell r="B117">
            <v>52412</v>
          </cell>
        </row>
        <row r="118">
          <cell r="B118">
            <v>52504</v>
          </cell>
        </row>
        <row r="119">
          <cell r="B119">
            <v>52596</v>
          </cell>
        </row>
        <row r="120">
          <cell r="B120">
            <v>52687</v>
          </cell>
        </row>
        <row r="121">
          <cell r="B121">
            <v>52778</v>
          </cell>
        </row>
        <row r="122">
          <cell r="B122">
            <v>52870</v>
          </cell>
        </row>
        <row r="123">
          <cell r="B123">
            <v>52962</v>
          </cell>
        </row>
        <row r="124">
          <cell r="B124">
            <v>53052</v>
          </cell>
        </row>
        <row r="125">
          <cell r="B125">
            <v>53143</v>
          </cell>
        </row>
        <row r="126">
          <cell r="B126">
            <v>53235</v>
          </cell>
        </row>
        <row r="127">
          <cell r="B127">
            <v>53327</v>
          </cell>
        </row>
        <row r="128">
          <cell r="B128">
            <v>53417</v>
          </cell>
        </row>
        <row r="129">
          <cell r="B129">
            <v>53508</v>
          </cell>
        </row>
        <row r="130">
          <cell r="B130">
            <v>53600</v>
          </cell>
        </row>
        <row r="131">
          <cell r="B131">
            <v>53692</v>
          </cell>
        </row>
        <row r="132">
          <cell r="B132">
            <v>53782</v>
          </cell>
        </row>
        <row r="133">
          <cell r="B133">
            <v>53873</v>
          </cell>
        </row>
        <row r="134">
          <cell r="B134">
            <v>53965</v>
          </cell>
        </row>
        <row r="135">
          <cell r="B135">
            <v>54057</v>
          </cell>
        </row>
        <row r="136">
          <cell r="B136">
            <v>54148</v>
          </cell>
        </row>
        <row r="137">
          <cell r="B137">
            <v>54239</v>
          </cell>
        </row>
        <row r="138">
          <cell r="B138">
            <v>54331</v>
          </cell>
        </row>
        <row r="139">
          <cell r="B139">
            <v>54423</v>
          </cell>
        </row>
        <row r="140">
          <cell r="B140">
            <v>54513</v>
          </cell>
        </row>
        <row r="141">
          <cell r="B141">
            <v>54604</v>
          </cell>
        </row>
        <row r="142">
          <cell r="B142">
            <v>54696</v>
          </cell>
        </row>
        <row r="143">
          <cell r="B143">
            <v>54788</v>
          </cell>
        </row>
        <row r="144">
          <cell r="B144">
            <v>54878</v>
          </cell>
        </row>
        <row r="145">
          <cell r="B145">
            <v>54969</v>
          </cell>
        </row>
        <row r="146">
          <cell r="B146">
            <v>55061</v>
          </cell>
        </row>
        <row r="147">
          <cell r="B147">
            <v>55153</v>
          </cell>
        </row>
        <row r="148">
          <cell r="B148">
            <v>55243</v>
          </cell>
        </row>
        <row r="149">
          <cell r="B149">
            <v>55334</v>
          </cell>
        </row>
        <row r="150">
          <cell r="B150">
            <v>55426</v>
          </cell>
        </row>
        <row r="151">
          <cell r="B151">
            <v>55518</v>
          </cell>
        </row>
        <row r="152">
          <cell r="B152">
            <v>55609</v>
          </cell>
        </row>
        <row r="153">
          <cell r="B153">
            <v>55700</v>
          </cell>
        </row>
        <row r="154">
          <cell r="B154">
            <v>55792</v>
          </cell>
        </row>
        <row r="155">
          <cell r="B155">
            <v>55884</v>
          </cell>
        </row>
        <row r="156">
          <cell r="B156">
            <v>55974</v>
          </cell>
        </row>
        <row r="157">
          <cell r="B157">
            <v>56065</v>
          </cell>
        </row>
        <row r="158">
          <cell r="B158">
            <v>56157</v>
          </cell>
        </row>
        <row r="159">
          <cell r="B159">
            <v>56249</v>
          </cell>
        </row>
        <row r="160">
          <cell r="B160">
            <v>56339</v>
          </cell>
        </row>
        <row r="161">
          <cell r="B161">
            <v>56430</v>
          </cell>
        </row>
        <row r="162">
          <cell r="B162">
            <v>56522</v>
          </cell>
        </row>
        <row r="163">
          <cell r="B163">
            <v>56614</v>
          </cell>
        </row>
        <row r="164">
          <cell r="B164">
            <v>56704</v>
          </cell>
        </row>
        <row r="165">
          <cell r="B165">
            <v>56795</v>
          </cell>
        </row>
        <row r="166">
          <cell r="B166">
            <v>56887</v>
          </cell>
        </row>
      </sheetData>
      <sheetData sheetId="10"/>
      <sheetData sheetId="11"/>
      <sheetData sheetId="12"/>
      <sheetData sheetId="13"/>
      <sheetData sheetId="14"/>
      <sheetData sheetId="15"/>
      <sheetData sheetId="16"/>
      <sheetData sheetId="17" refreshError="1"/>
    </sheetDataSet>
  </externalBook>
</externalLink>
</file>

<file path=xl/externalLinks/externalLink5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INPUT"/>
      <sheetName val="capcost"/>
      <sheetName val="capcr"/>
      <sheetName val="energy"/>
      <sheetName val="workcap"/>
      <sheetName val="SUMM"/>
      <sheetName val="SUMM 30 years"/>
    </sheetNames>
    <sheetDataSet>
      <sheetData sheetId="0"/>
      <sheetData sheetId="1"/>
      <sheetData sheetId="2"/>
      <sheetData sheetId="3"/>
      <sheetData sheetId="4"/>
      <sheetData sheetId="5"/>
      <sheetData sheetId="6"/>
    </sheetDataSet>
  </externalBook>
</externalLink>
</file>

<file path=xl/externalLinks/externalLink6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FL Pricing"/>
      <sheetName val="DataValidation"/>
      <sheetName val="OldScenarios"/>
      <sheetName val="Basis"/>
      <sheetName val="System Marginal Costs"/>
      <sheetName val="DEF Solar Facilities"/>
      <sheetName val="Production Calcs"/>
      <sheetName val="OldOverhead Estimates"/>
    </sheetNames>
    <sheetDataSet>
      <sheetData sheetId="0">
        <row r="9">
          <cell r="D9">
            <v>1</v>
          </cell>
        </row>
      </sheetData>
      <sheetData sheetId="1"/>
      <sheetData sheetId="2"/>
      <sheetData sheetId="3"/>
      <sheetData sheetId="4"/>
      <sheetData sheetId="5"/>
      <sheetData sheetId="6"/>
      <sheetData sheetId="7"/>
    </sheetDataSet>
  </externalBook>
</externalLink>
</file>

<file path=xl/externalLinks/externalLink7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Log"/>
      <sheetName val="ProjectInputs"/>
      <sheetName val="NonProjectInputs"/>
      <sheetName val="Control"/>
      <sheetName val="Analysis"/>
      <sheetName val="Asset"/>
      <sheetName val="Assetn"/>
      <sheetName val="AnnualProForma"/>
      <sheetName val="DepreciationInputs"/>
      <sheetName val="ValidationOptions"/>
      <sheetName val="CapitalBudgetInputs_NSACrane"/>
      <sheetName val="CapitalBudgetInputs_Battery1"/>
      <sheetName val="CapitalBudgetInputs_Battery2"/>
      <sheetName val="CapitalBudgetInputs_Battery3"/>
      <sheetName val="CapitalBudgetInputs_Mocksville"/>
      <sheetName val="CapitalBudgetInputs_Woodleaf"/>
      <sheetName val="CapitalBudgetInputs_Monroe"/>
      <sheetName val="CapitalBudgetInputs_Perry"/>
      <sheetName val="CapitalBudgetInputs_Test"/>
      <sheetName val="InputsForModelForPS"/>
      <sheetName val="Inputs"/>
      <sheetName val="Revenue Requirements"/>
      <sheetName val="Fed ITC"/>
      <sheetName val="NC ETC"/>
      <sheetName val="Dep &amp; Prop Tax"/>
      <sheetName val="Annual Declining Rev Req Jay"/>
    </sheetNames>
    <sheetDataSet>
      <sheetData sheetId="0"/>
      <sheetData sheetId="1">
        <row r="3">
          <cell r="C3">
            <v>1</v>
          </cell>
        </row>
      </sheetData>
      <sheetData sheetId="2">
        <row r="4">
          <cell r="B4">
            <v>2015</v>
          </cell>
        </row>
      </sheetData>
      <sheetData sheetId="3">
        <row r="10">
          <cell r="D10" t="str">
            <v>DEC</v>
          </cell>
        </row>
      </sheetData>
      <sheetData sheetId="4">
        <row r="20">
          <cell r="C20">
            <v>5.890972912311554E-2</v>
          </cell>
        </row>
      </sheetData>
      <sheetData sheetId="5"/>
      <sheetData sheetId="6"/>
      <sheetData sheetId="7"/>
      <sheetData sheetId="8">
        <row r="2">
          <cell r="B2" t="str">
            <v>5-yr MACRS</v>
          </cell>
        </row>
      </sheetData>
      <sheetData sheetId="9">
        <row r="3">
          <cell r="B3">
            <v>42004</v>
          </cell>
        </row>
        <row r="4">
          <cell r="B4">
            <v>42094</v>
          </cell>
        </row>
        <row r="5">
          <cell r="B5">
            <v>42185</v>
          </cell>
        </row>
        <row r="6">
          <cell r="B6">
            <v>42277</v>
          </cell>
        </row>
        <row r="7">
          <cell r="B7">
            <v>42369</v>
          </cell>
        </row>
        <row r="8">
          <cell r="B8">
            <v>42460</v>
          </cell>
        </row>
        <row r="9">
          <cell r="B9">
            <v>42551</v>
          </cell>
        </row>
        <row r="10">
          <cell r="B10">
            <v>42643</v>
          </cell>
        </row>
        <row r="11">
          <cell r="B11">
            <v>42735</v>
          </cell>
        </row>
      </sheetData>
      <sheetData sheetId="10"/>
      <sheetData sheetId="11"/>
      <sheetData sheetId="12"/>
      <sheetData sheetId="13"/>
      <sheetData sheetId="14"/>
      <sheetData sheetId="15"/>
      <sheetData sheetId="16"/>
      <sheetData sheetId="17"/>
      <sheetData sheetId="18"/>
      <sheetData sheetId="19"/>
      <sheetData sheetId="20"/>
      <sheetData sheetId="21"/>
      <sheetData sheetId="22"/>
      <sheetData sheetId="23"/>
      <sheetData sheetId="24"/>
      <sheetData sheetId="25"/>
    </sheetDataSet>
  </externalBook>
</externalLink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3.bin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776358B-D097-40CB-8932-B8DADABCF2BA}">
  <sheetPr codeName="Sheet1"/>
  <dimension ref="A1:BD158"/>
  <sheetViews>
    <sheetView zoomScaleNormal="100" workbookViewId="0">
      <pane xSplit="2" ySplit="2" topLeftCell="C3" activePane="bottomRight" state="frozen"/>
      <selection activeCell="H3" sqref="H3"/>
      <selection pane="topRight" activeCell="H3" sqref="H3"/>
      <selection pane="bottomLeft" activeCell="H3" sqref="H3"/>
      <selection pane="bottomRight" activeCell="A2" sqref="A2:XFD2"/>
    </sheetView>
  </sheetViews>
  <sheetFormatPr defaultRowHeight="14.5" x14ac:dyDescent="0.35"/>
  <cols>
    <col min="1" max="1" width="5" bestFit="1" customWidth="1"/>
    <col min="2" max="2" width="7.90625" bestFit="1" customWidth="1"/>
    <col min="3" max="3" width="24.08984375" customWidth="1"/>
    <col min="4" max="4" width="24.08984375" bestFit="1" customWidth="1"/>
    <col min="5" max="5" width="24.08984375" style="1" bestFit="1" customWidth="1"/>
    <col min="6" max="6" width="27.36328125" style="2" bestFit="1" customWidth="1"/>
    <col min="7" max="8" width="24.08984375" style="1" bestFit="1" customWidth="1"/>
    <col min="9" max="9" width="6.36328125" bestFit="1" customWidth="1"/>
    <col min="10" max="10" width="25.90625" style="2" bestFit="1" customWidth="1"/>
    <col min="11" max="11" width="25.90625" bestFit="1" customWidth="1"/>
    <col min="12" max="12" width="27.36328125" bestFit="1" customWidth="1"/>
    <col min="13" max="14" width="25.90625" bestFit="1" customWidth="1"/>
    <col min="16" max="17" width="24.08984375" bestFit="1" customWidth="1"/>
    <col min="18" max="18" width="27.36328125" bestFit="1" customWidth="1"/>
    <col min="19" max="20" width="24.08984375" bestFit="1" customWidth="1"/>
    <col min="22" max="22" width="27.36328125" bestFit="1" customWidth="1"/>
    <col min="23" max="23" width="22.08984375" bestFit="1" customWidth="1"/>
    <col min="24" max="24" width="27.36328125" bestFit="1" customWidth="1"/>
    <col min="25" max="25" width="12.36328125" bestFit="1" customWidth="1"/>
    <col min="26" max="26" width="13.453125" bestFit="1" customWidth="1"/>
    <col min="28" max="28" width="25.08984375" bestFit="1" customWidth="1"/>
    <col min="29" max="29" width="22.08984375" bestFit="1" customWidth="1"/>
    <col min="30" max="30" width="27.36328125" bestFit="1" customWidth="1"/>
    <col min="31" max="31" width="12.36328125" bestFit="1" customWidth="1"/>
    <col min="32" max="32" width="13.453125" bestFit="1" customWidth="1"/>
    <col min="34" max="34" width="25.90625" bestFit="1" customWidth="1"/>
    <col min="35" max="35" width="22.08984375" bestFit="1" customWidth="1"/>
    <col min="36" max="36" width="27.36328125" bestFit="1" customWidth="1"/>
    <col min="37" max="37" width="12.36328125" bestFit="1" customWidth="1"/>
    <col min="38" max="38" width="13.453125" bestFit="1" customWidth="1"/>
    <col min="40" max="40" width="24.08984375" bestFit="1" customWidth="1"/>
    <col min="41" max="41" width="22.08984375" bestFit="1" customWidth="1"/>
    <col min="42" max="42" width="27.36328125" bestFit="1" customWidth="1"/>
    <col min="43" max="43" width="12.36328125" bestFit="1" customWidth="1"/>
    <col min="44" max="44" width="13.453125" bestFit="1" customWidth="1"/>
    <col min="46" max="46" width="26.90625" bestFit="1" customWidth="1"/>
    <col min="47" max="47" width="22.08984375" bestFit="1" customWidth="1"/>
    <col min="48" max="48" width="27.36328125" bestFit="1" customWidth="1"/>
    <col min="49" max="49" width="12.36328125" bestFit="1" customWidth="1"/>
    <col min="50" max="50" width="13.453125" bestFit="1" customWidth="1"/>
    <col min="52" max="52" width="25.08984375" bestFit="1" customWidth="1"/>
    <col min="53" max="53" width="22.08984375" bestFit="1" customWidth="1"/>
    <col min="54" max="54" width="27.36328125" bestFit="1" customWidth="1"/>
    <col min="55" max="55" width="12.36328125" bestFit="1" customWidth="1"/>
    <col min="56" max="56" width="13.453125" bestFit="1" customWidth="1"/>
  </cols>
  <sheetData>
    <row r="1" spans="1:56" s="1" customFormat="1" x14ac:dyDescent="0.35">
      <c r="C1" s="1" t="s">
        <v>69</v>
      </c>
      <c r="D1" s="1" t="s">
        <v>69</v>
      </c>
      <c r="E1" s="1" t="s">
        <v>69</v>
      </c>
      <c r="F1" s="1" t="s">
        <v>69</v>
      </c>
      <c r="G1" s="1" t="s">
        <v>69</v>
      </c>
      <c r="H1" s="1" t="s">
        <v>69</v>
      </c>
      <c r="J1" s="2" t="s">
        <v>70</v>
      </c>
      <c r="K1" s="2" t="s">
        <v>70</v>
      </c>
      <c r="L1" s="2" t="s">
        <v>70</v>
      </c>
      <c r="M1" s="2" t="s">
        <v>70</v>
      </c>
      <c r="N1" s="2" t="s">
        <v>70</v>
      </c>
      <c r="P1" s="1" t="s">
        <v>71</v>
      </c>
      <c r="Q1" s="1" t="s">
        <v>71</v>
      </c>
      <c r="R1" s="1" t="s">
        <v>71</v>
      </c>
      <c r="S1" s="1" t="s">
        <v>71</v>
      </c>
      <c r="T1" s="1" t="s">
        <v>71</v>
      </c>
      <c r="V1" s="3" t="s">
        <v>72</v>
      </c>
      <c r="AB1" s="3" t="s">
        <v>73</v>
      </c>
      <c r="AH1" s="2" t="s">
        <v>74</v>
      </c>
      <c r="AI1" s="2"/>
      <c r="AJ1" s="2"/>
      <c r="AK1" s="2"/>
      <c r="AL1" s="2"/>
      <c r="AM1" s="2"/>
      <c r="AN1" s="2" t="s">
        <v>75</v>
      </c>
      <c r="AO1" s="2"/>
      <c r="AP1" s="2"/>
      <c r="AQ1" s="2"/>
      <c r="AR1" s="2"/>
      <c r="AS1" s="2"/>
      <c r="AT1" s="2" t="s">
        <v>76</v>
      </c>
      <c r="AU1" s="2"/>
      <c r="AV1" s="2"/>
      <c r="AW1" s="2"/>
      <c r="AX1" s="2"/>
      <c r="AY1" s="2"/>
      <c r="AZ1" s="2" t="s">
        <v>77</v>
      </c>
      <c r="BA1" s="2"/>
      <c r="BB1" s="2"/>
      <c r="BC1" s="2"/>
      <c r="BD1" s="2"/>
    </row>
    <row r="2" spans="1:56" x14ac:dyDescent="0.35">
      <c r="A2" s="4" t="s">
        <v>0</v>
      </c>
      <c r="B2" s="4" t="s">
        <v>1</v>
      </c>
      <c r="C2" s="4" t="s">
        <v>2</v>
      </c>
      <c r="D2" s="5" t="s">
        <v>3</v>
      </c>
      <c r="E2" s="1" t="s">
        <v>4</v>
      </c>
      <c r="F2" s="2" t="s">
        <v>5</v>
      </c>
      <c r="G2" s="6" t="s">
        <v>6</v>
      </c>
      <c r="H2" s="6" t="s">
        <v>7</v>
      </c>
      <c r="J2" s="7" t="s">
        <v>2</v>
      </c>
      <c r="K2" s="1" t="s">
        <v>4</v>
      </c>
      <c r="L2" s="2" t="s">
        <v>5</v>
      </c>
      <c r="M2" s="6" t="s">
        <v>6</v>
      </c>
      <c r="N2" s="6" t="s">
        <v>7</v>
      </c>
      <c r="P2" s="7" t="s">
        <v>2</v>
      </c>
      <c r="Q2" s="1" t="s">
        <v>4</v>
      </c>
      <c r="R2" s="2" t="s">
        <v>5</v>
      </c>
      <c r="S2" s="6" t="s">
        <v>6</v>
      </c>
      <c r="T2" s="6" t="s">
        <v>7</v>
      </c>
      <c r="V2" s="7" t="s">
        <v>2</v>
      </c>
      <c r="W2" s="1" t="s">
        <v>4</v>
      </c>
      <c r="X2" s="2" t="s">
        <v>5</v>
      </c>
      <c r="Y2" s="6" t="s">
        <v>6</v>
      </c>
      <c r="Z2" s="6" t="s">
        <v>7</v>
      </c>
      <c r="AB2" s="7" t="s">
        <v>2</v>
      </c>
      <c r="AC2" s="1" t="s">
        <v>4</v>
      </c>
      <c r="AD2" s="2" t="s">
        <v>5</v>
      </c>
      <c r="AE2" s="6" t="s">
        <v>6</v>
      </c>
      <c r="AF2" s="6" t="s">
        <v>7</v>
      </c>
      <c r="AH2" s="2" t="s">
        <v>2</v>
      </c>
      <c r="AI2" s="2" t="s">
        <v>4</v>
      </c>
      <c r="AJ2" s="2" t="s">
        <v>5</v>
      </c>
      <c r="AK2" s="2" t="s">
        <v>6</v>
      </c>
      <c r="AL2" s="2" t="s">
        <v>7</v>
      </c>
      <c r="AM2" s="2"/>
      <c r="AN2" s="2" t="s">
        <v>2</v>
      </c>
      <c r="AO2" s="2" t="s">
        <v>4</v>
      </c>
      <c r="AP2" s="2" t="s">
        <v>5</v>
      </c>
      <c r="AQ2" s="2" t="s">
        <v>6</v>
      </c>
      <c r="AR2" s="2" t="s">
        <v>7</v>
      </c>
      <c r="AS2" s="2"/>
      <c r="AT2" s="2" t="s">
        <v>2</v>
      </c>
      <c r="AU2" s="2" t="s">
        <v>4</v>
      </c>
      <c r="AV2" s="2" t="s">
        <v>5</v>
      </c>
      <c r="AW2" s="2" t="s">
        <v>6</v>
      </c>
      <c r="AX2" s="2" t="s">
        <v>7</v>
      </c>
      <c r="AY2" s="2"/>
      <c r="AZ2" s="2" t="s">
        <v>2</v>
      </c>
      <c r="BA2" s="2" t="s">
        <v>4</v>
      </c>
      <c r="BB2" s="2" t="s">
        <v>5</v>
      </c>
      <c r="BC2" s="2" t="s">
        <v>6</v>
      </c>
      <c r="BD2" s="2" t="s">
        <v>7</v>
      </c>
    </row>
    <row r="3" spans="1:56" x14ac:dyDescent="0.35">
      <c r="A3">
        <v>2022</v>
      </c>
      <c r="B3">
        <v>1</v>
      </c>
      <c r="C3" s="8">
        <v>2428303.3883062568</v>
      </c>
      <c r="D3" s="9">
        <v>44651</v>
      </c>
      <c r="E3" s="2">
        <v>2518066.2724389229</v>
      </c>
      <c r="F3" s="2">
        <v>4390122.2238916708</v>
      </c>
      <c r="G3" s="10">
        <f>C3-E3</f>
        <v>-89762.884132666048</v>
      </c>
      <c r="H3" s="10">
        <f>C3-F3</f>
        <v>-1961818.835585414</v>
      </c>
      <c r="J3" s="2">
        <v>2678246.9940358978</v>
      </c>
      <c r="K3" s="2">
        <v>2834718.5310861571</v>
      </c>
      <c r="L3" s="2">
        <v>5000519.8516127411</v>
      </c>
      <c r="M3" s="2">
        <f>J3-K3</f>
        <v>-156471.5370502593</v>
      </c>
      <c r="N3" s="2">
        <f>J3-L3</f>
        <v>-2322272.8575768434</v>
      </c>
      <c r="P3" s="2">
        <v>2917111.7208853131</v>
      </c>
      <c r="Q3" s="2">
        <v>3329843.5205205181</v>
      </c>
      <c r="R3" s="2">
        <v>5890345.1926024221</v>
      </c>
      <c r="S3" s="2">
        <f>$P3-$Q3</f>
        <v>-412731.79963520495</v>
      </c>
      <c r="T3" s="2">
        <f>P3-R3</f>
        <v>-2973233.471717109</v>
      </c>
      <c r="V3" s="11">
        <v>3141344.6037389999</v>
      </c>
      <c r="W3" s="2">
        <v>3813155.3153951634</v>
      </c>
      <c r="X3" s="2">
        <v>6788495.1742632892</v>
      </c>
      <c r="Y3" s="2">
        <f>$V3-$W3</f>
        <v>-671810.71165616345</v>
      </c>
      <c r="Z3" s="2">
        <f>$V3-$X3</f>
        <v>-3647150.5705242893</v>
      </c>
      <c r="AB3" s="2">
        <v>3347675.1527571641</v>
      </c>
      <c r="AC3" s="2">
        <v>4320659.3328867787</v>
      </c>
      <c r="AD3" s="2">
        <v>7793428.5773367742</v>
      </c>
      <c r="AE3" s="2">
        <f>$AB3-$AC3</f>
        <v>-972984.18012961466</v>
      </c>
      <c r="AF3" s="2">
        <f>$AB3-$AD3</f>
        <v>-4445753.4245796101</v>
      </c>
      <c r="AH3" s="2">
        <v>2599727.4002178828</v>
      </c>
      <c r="AI3" s="2">
        <v>2696125.8996424954</v>
      </c>
      <c r="AJ3" s="2">
        <v>4760213.1976743452</v>
      </c>
      <c r="AK3" s="2">
        <f>AH3-AI3</f>
        <v>-96398.499424612615</v>
      </c>
      <c r="AL3" s="2">
        <v>-2160485.7974564624</v>
      </c>
      <c r="AM3" s="2"/>
      <c r="AN3" s="2">
        <v>2764775.0884377589</v>
      </c>
      <c r="AO3" s="2">
        <v>2932567.2832296141</v>
      </c>
      <c r="AP3" s="2">
        <v>5098940.4959026957</v>
      </c>
      <c r="AQ3" s="2">
        <f>AN3-AO3</f>
        <v>-167792.19479185529</v>
      </c>
      <c r="AR3" s="2">
        <v>-2334165.4074649368</v>
      </c>
      <c r="AS3" s="2"/>
      <c r="AT3" s="2">
        <v>2924658.8288025204</v>
      </c>
      <c r="AU3" s="2">
        <v>3184612.4711135169</v>
      </c>
      <c r="AV3" s="2">
        <v>5483925.7852504803</v>
      </c>
      <c r="AW3" s="2">
        <v>-259953.64231099654</v>
      </c>
      <c r="AX3" s="2">
        <v>-2559266.9564479599</v>
      </c>
      <c r="AY3" s="2"/>
      <c r="AZ3" s="2">
        <v>3077584.3049528101</v>
      </c>
      <c r="BA3" s="2">
        <v>3441772.3837394076</v>
      </c>
      <c r="BB3" s="2">
        <v>5895946.5015444048</v>
      </c>
      <c r="BC3" s="2">
        <v>-364188.07878659759</v>
      </c>
      <c r="BD3" s="2">
        <v>-2818362.1965915947</v>
      </c>
    </row>
    <row r="4" spans="1:56" x14ac:dyDescent="0.35">
      <c r="A4">
        <v>2022</v>
      </c>
      <c r="B4">
        <v>2</v>
      </c>
      <c r="C4" s="12">
        <v>2169524.3653547028</v>
      </c>
      <c r="D4" s="9">
        <v>44742</v>
      </c>
      <c r="E4" s="2">
        <v>2309512.5668553221</v>
      </c>
      <c r="F4" s="2">
        <v>4315780.4631969947</v>
      </c>
      <c r="G4" s="10">
        <f t="shared" ref="G4:G67" si="0">C4-E4</f>
        <v>-139988.2015006193</v>
      </c>
      <c r="H4" s="10">
        <f t="shared" ref="H4:H67" si="1">C4-F4</f>
        <v>-2146256.0978422919</v>
      </c>
      <c r="I4" s="13">
        <f>IFERROR(($G4/$G3)-1,"")</f>
        <v>0.55953323974887192</v>
      </c>
      <c r="J4" s="14">
        <v>2247621.832443377</v>
      </c>
      <c r="K4" s="2">
        <v>2485914.1537477621</v>
      </c>
      <c r="L4" s="2">
        <v>4914440.1770503437</v>
      </c>
      <c r="M4" s="2">
        <f t="shared" ref="M4:M67" si="2">J4-K4</f>
        <v>-238292.32130438508</v>
      </c>
      <c r="N4" s="2">
        <f t="shared" ref="N4:N67" si="3">J4-L4</f>
        <v>-2666818.3446069667</v>
      </c>
      <c r="P4" s="2">
        <v>2323385.4397985968</v>
      </c>
      <c r="Q4" s="2">
        <v>2933153.7025429648</v>
      </c>
      <c r="R4" s="2">
        <v>5787620.7950196303</v>
      </c>
      <c r="S4" s="2">
        <f t="shared" ref="S4:S67" si="4">$P4-$Q4</f>
        <v>-609768.26274436805</v>
      </c>
      <c r="T4" s="2">
        <f t="shared" ref="T4:T67" si="5">P4-R4</f>
        <v>-3464235.3552210336</v>
      </c>
      <c r="V4" s="11">
        <v>2396099.1574532841</v>
      </c>
      <c r="W4" s="2">
        <v>3388675.9621987175</v>
      </c>
      <c r="X4" s="2">
        <v>6669342.0614674157</v>
      </c>
      <c r="Y4" s="2">
        <f t="shared" ref="Y4:Y67" si="6">$V4-$W4</f>
        <v>-992576.80474543339</v>
      </c>
      <c r="Z4" s="2">
        <f t="shared" ref="Z4:Z67" si="7">$V4-$X4</f>
        <v>-4273242.9040141311</v>
      </c>
      <c r="AB4" s="2">
        <v>2465897.8548852969</v>
      </c>
      <c r="AC4" s="2">
        <v>3912211.7477471274</v>
      </c>
      <c r="AD4" s="2">
        <v>7656198.1091683265</v>
      </c>
      <c r="AE4" s="2">
        <f t="shared" ref="AE4:AE67" si="8">$AB4-$AC4</f>
        <v>-1446313.8928618305</v>
      </c>
      <c r="AF4" s="2">
        <f t="shared" ref="AF4:AF67" si="9">$AB4-$AD4</f>
        <v>-5190300.2542830296</v>
      </c>
      <c r="AH4" s="2">
        <v>2217248.2293170094</v>
      </c>
      <c r="AI4" s="2">
        <v>2368936.471697906</v>
      </c>
      <c r="AJ4" s="2">
        <v>4678715.9645527136</v>
      </c>
      <c r="AK4" s="2">
        <f t="shared" ref="AK4:AK67" si="10">AH4-AI4</f>
        <v>-151688.24238089658</v>
      </c>
      <c r="AL4" s="2">
        <v>-2461467.7352357041</v>
      </c>
      <c r="AM4" s="2"/>
      <c r="AN4" s="2">
        <v>2262874.226278272</v>
      </c>
      <c r="AO4" s="2">
        <v>2518873.6852440899</v>
      </c>
      <c r="AP4" s="2">
        <v>5010996.3832827732</v>
      </c>
      <c r="AQ4" s="2">
        <f t="shared" ref="AQ4:AQ67" si="11">AN4-AO4</f>
        <v>-255999.45896581793</v>
      </c>
      <c r="AR4" s="2">
        <v>-2748122.1570045012</v>
      </c>
      <c r="AS4" s="2"/>
      <c r="AT4" s="2">
        <v>2305950.0020390176</v>
      </c>
      <c r="AU4" s="2">
        <v>2696845.0761266127</v>
      </c>
      <c r="AV4" s="2">
        <v>5388748.5795508288</v>
      </c>
      <c r="AW4" s="2">
        <v>-390895.0740875951</v>
      </c>
      <c r="AX4" s="2">
        <v>-3082798.5775118112</v>
      </c>
      <c r="AY4" s="2"/>
      <c r="AZ4" s="2">
        <v>2347631.8533363151</v>
      </c>
      <c r="BA4" s="2">
        <v>2892677.6586719123</v>
      </c>
      <c r="BB4" s="2">
        <v>5793118.6445424771</v>
      </c>
      <c r="BC4" s="2">
        <v>-545045.80533559714</v>
      </c>
      <c r="BD4" s="2">
        <v>-3445486.791206162</v>
      </c>
    </row>
    <row r="5" spans="1:56" x14ac:dyDescent="0.35">
      <c r="A5">
        <v>2022</v>
      </c>
      <c r="B5">
        <v>3</v>
      </c>
      <c r="C5" s="12">
        <v>2219590.2834296143</v>
      </c>
      <c r="D5" s="9">
        <v>44834</v>
      </c>
      <c r="E5" s="2">
        <v>2349481.4228876745</v>
      </c>
      <c r="F5" s="2">
        <v>4244721.3020644039</v>
      </c>
      <c r="G5" s="10">
        <f t="shared" si="0"/>
        <v>-129891.13945806026</v>
      </c>
      <c r="H5" s="10">
        <f t="shared" si="1"/>
        <v>-2025131.0186347896</v>
      </c>
      <c r="I5" s="13">
        <f t="shared" ref="I5:I68" si="12">IFERROR(($G5/$G4)-1,"")</f>
        <v>-7.2127950315258316E-2</v>
      </c>
      <c r="J5" s="14">
        <v>2295509.1310070194</v>
      </c>
      <c r="K5" s="2">
        <v>2517559.3040387183</v>
      </c>
      <c r="L5" s="2">
        <v>4832476.3982129171</v>
      </c>
      <c r="M5" s="2">
        <f t="shared" si="2"/>
        <v>-222050.17303169891</v>
      </c>
      <c r="N5" s="2">
        <f t="shared" si="3"/>
        <v>-2536967.2672058977</v>
      </c>
      <c r="P5" s="2">
        <v>2366510.963553465</v>
      </c>
      <c r="Q5" s="2">
        <v>2936303.0240186872</v>
      </c>
      <c r="R5" s="2">
        <v>5690058.6289004814</v>
      </c>
      <c r="S5" s="2">
        <f t="shared" si="4"/>
        <v>-569792.06046522222</v>
      </c>
      <c r="T5" s="2">
        <f t="shared" si="5"/>
        <v>-3323547.6653470164</v>
      </c>
      <c r="V5" s="11">
        <v>2431684.5210001101</v>
      </c>
      <c r="W5" s="2">
        <v>3357429.1228552274</v>
      </c>
      <c r="X5" s="2">
        <v>6556273.3353700815</v>
      </c>
      <c r="Y5" s="2">
        <f t="shared" si="6"/>
        <v>-925744.60185511736</v>
      </c>
      <c r="Z5" s="2">
        <f t="shared" si="7"/>
        <v>-4124588.8143699714</v>
      </c>
      <c r="AB5" s="2">
        <v>2491418.8915992775</v>
      </c>
      <c r="AC5" s="2">
        <v>3835736.0175672336</v>
      </c>
      <c r="AD5" s="2">
        <v>7525974.1829333119</v>
      </c>
      <c r="AE5" s="2">
        <f t="shared" si="8"/>
        <v>-1344317.1259679561</v>
      </c>
      <c r="AF5" s="2">
        <f t="shared" si="9"/>
        <v>-5034555.2913340349</v>
      </c>
      <c r="AH5" s="2">
        <v>2268670.616220179</v>
      </c>
      <c r="AI5" s="2">
        <v>2409535.3565605641</v>
      </c>
      <c r="AJ5" s="2">
        <v>4601020.529392031</v>
      </c>
      <c r="AK5" s="2">
        <f t="shared" si="10"/>
        <v>-140864.74034038512</v>
      </c>
      <c r="AL5" s="2">
        <v>-2332349.913171852</v>
      </c>
      <c r="AM5" s="2"/>
      <c r="AN5" s="2">
        <v>2314446.4798211539</v>
      </c>
      <c r="AO5" s="2">
        <v>2553291.8362645805</v>
      </c>
      <c r="AP5" s="2">
        <v>4927292.3468916044</v>
      </c>
      <c r="AQ5" s="2">
        <f t="shared" si="11"/>
        <v>-238845.35644342657</v>
      </c>
      <c r="AR5" s="2">
        <v>-2612845.8670704504</v>
      </c>
      <c r="AS5" s="2"/>
      <c r="AT5" s="2">
        <v>2356321.3717988948</v>
      </c>
      <c r="AU5" s="2">
        <v>2721622.8975755731</v>
      </c>
      <c r="AV5" s="2">
        <v>5298275.5836265702</v>
      </c>
      <c r="AW5" s="2">
        <v>-365301.52577667823</v>
      </c>
      <c r="AX5" s="2">
        <v>-2941954.2118276753</v>
      </c>
      <c r="AY5" s="2"/>
      <c r="AZ5" s="2">
        <v>2394504.921000198</v>
      </c>
      <c r="BA5" s="2">
        <v>2903606.1584168882</v>
      </c>
      <c r="BB5" s="2">
        <v>5695459.1308625825</v>
      </c>
      <c r="BC5" s="2">
        <v>-509101.23741669022</v>
      </c>
      <c r="BD5" s="2">
        <v>-3300954.2098623845</v>
      </c>
    </row>
    <row r="6" spans="1:56" x14ac:dyDescent="0.35">
      <c r="A6">
        <v>2022</v>
      </c>
      <c r="B6">
        <v>4</v>
      </c>
      <c r="C6" s="15">
        <v>1698063.3575846157</v>
      </c>
      <c r="D6" s="9">
        <v>44926</v>
      </c>
      <c r="E6" s="2">
        <v>1777172.2211621082</v>
      </c>
      <c r="F6" s="2">
        <v>4192923.0866639894</v>
      </c>
      <c r="G6" s="10">
        <f t="shared" si="0"/>
        <v>-79108.863577492535</v>
      </c>
      <c r="H6" s="10">
        <f t="shared" si="1"/>
        <v>-2494859.7290793736</v>
      </c>
      <c r="I6" s="13">
        <f t="shared" si="12"/>
        <v>-0.3909602771401085</v>
      </c>
      <c r="J6" s="14">
        <v>1827974.1014629719</v>
      </c>
      <c r="K6" s="2">
        <v>1970198.8542724173</v>
      </c>
      <c r="L6" s="2">
        <v>4775205.6764989048</v>
      </c>
      <c r="M6" s="2">
        <f t="shared" si="2"/>
        <v>-142224.75280944537</v>
      </c>
      <c r="N6" s="2">
        <f t="shared" si="3"/>
        <v>-2947231.5750359329</v>
      </c>
      <c r="P6" s="2">
        <v>1938087.5988275954</v>
      </c>
      <c r="Q6" s="2">
        <v>2320204.8515260671</v>
      </c>
      <c r="R6" s="2">
        <v>5624022.7477767281</v>
      </c>
      <c r="S6" s="2">
        <f t="shared" si="4"/>
        <v>-382117.25269847177</v>
      </c>
      <c r="T6" s="2">
        <f t="shared" si="5"/>
        <v>-3685935.1489491328</v>
      </c>
      <c r="V6" s="11">
        <v>2030406.9996718515</v>
      </c>
      <c r="W6" s="2">
        <v>2652004.9297759165</v>
      </c>
      <c r="X6" s="2">
        <v>6480764.5434656367</v>
      </c>
      <c r="Y6" s="2">
        <f t="shared" si="6"/>
        <v>-621597.93010406499</v>
      </c>
      <c r="Z6" s="2">
        <f t="shared" si="7"/>
        <v>-4450357.5437937854</v>
      </c>
      <c r="AB6" s="2">
        <v>2107289.4666562621</v>
      </c>
      <c r="AC6" s="2">
        <v>3004329.4937430555</v>
      </c>
      <c r="AD6" s="2">
        <v>7439354.5188785624</v>
      </c>
      <c r="AE6" s="2">
        <f t="shared" si="8"/>
        <v>-897040.02708679345</v>
      </c>
      <c r="AF6" s="2">
        <f t="shared" si="9"/>
        <v>-5332065.0522223003</v>
      </c>
      <c r="AH6" s="2">
        <v>1788049.2506809924</v>
      </c>
      <c r="AI6" s="2">
        <v>1872443.22727917</v>
      </c>
      <c r="AJ6" s="2">
        <v>4545969.5792164933</v>
      </c>
      <c r="AK6" s="2">
        <f t="shared" si="10"/>
        <v>-84393.976598177571</v>
      </c>
      <c r="AL6" s="2">
        <v>-2757920.3285355009</v>
      </c>
      <c r="AM6" s="2"/>
      <c r="AN6" s="2">
        <v>1866887.8513578363</v>
      </c>
      <c r="AO6" s="2">
        <v>2014921.1432975242</v>
      </c>
      <c r="AP6" s="2">
        <v>4869091.6250882111</v>
      </c>
      <c r="AQ6" s="2">
        <f t="shared" si="11"/>
        <v>-148033.29193968792</v>
      </c>
      <c r="AR6" s="2">
        <v>-3002203.7737303749</v>
      </c>
      <c r="AS6" s="2"/>
      <c r="AT6" s="2">
        <v>1938412.9271264323</v>
      </c>
      <c r="AU6" s="2">
        <v>2170723.3305133306</v>
      </c>
      <c r="AV6" s="2">
        <v>5236336.0122186393</v>
      </c>
      <c r="AW6" s="2">
        <v>-232310.40338689834</v>
      </c>
      <c r="AX6" s="2">
        <v>-3297923.085092207</v>
      </c>
      <c r="AY6" s="2"/>
      <c r="AZ6" s="2">
        <v>2001680.5917064371</v>
      </c>
      <c r="BA6" s="2">
        <v>2330466.2221048018</v>
      </c>
      <c r="BB6" s="2">
        <v>5629365.8568307441</v>
      </c>
      <c r="BC6" s="2">
        <v>-328785.63039836474</v>
      </c>
      <c r="BD6" s="2">
        <v>-3627685.265124307</v>
      </c>
    </row>
    <row r="7" spans="1:56" x14ac:dyDescent="0.35">
      <c r="A7">
        <v>2023</v>
      </c>
      <c r="B7">
        <v>1</v>
      </c>
      <c r="C7" s="15">
        <v>2420992.592384723</v>
      </c>
      <c r="D7" s="9">
        <v>45016</v>
      </c>
      <c r="E7" s="2">
        <v>2510258.3548865258</v>
      </c>
      <c r="F7" s="2">
        <v>4163826.6606475636</v>
      </c>
      <c r="G7" s="10">
        <f t="shared" si="0"/>
        <v>-89265.762501802761</v>
      </c>
      <c r="H7" s="10">
        <f t="shared" si="1"/>
        <v>-1742834.0682628406</v>
      </c>
      <c r="I7" s="13">
        <f t="shared" si="12"/>
        <v>0.12839141488059491</v>
      </c>
      <c r="J7" s="14">
        <v>2670906.637247744</v>
      </c>
      <c r="K7" s="2">
        <v>2826899.9082397656</v>
      </c>
      <c r="L7" s="2">
        <v>4744028.8647890175</v>
      </c>
      <c r="M7" s="2">
        <f t="shared" si="2"/>
        <v>-155993.27099202154</v>
      </c>
      <c r="N7" s="2">
        <f t="shared" si="3"/>
        <v>-2073122.2275412735</v>
      </c>
      <c r="P7" s="2">
        <v>2904486.0937256198</v>
      </c>
      <c r="Q7" s="2">
        <v>3315606.34929574</v>
      </c>
      <c r="R7" s="2">
        <v>5588657.4564712625</v>
      </c>
      <c r="S7" s="2">
        <f t="shared" si="4"/>
        <v>-411120.25557012018</v>
      </c>
      <c r="T7" s="2">
        <f t="shared" si="5"/>
        <v>-2684171.3627456427</v>
      </c>
      <c r="V7" s="11">
        <v>3124375.6534577385</v>
      </c>
      <c r="W7" s="2">
        <v>3793267.7086449871</v>
      </c>
      <c r="X7" s="2">
        <v>6440252.7105560685</v>
      </c>
      <c r="Y7" s="2">
        <f t="shared" si="6"/>
        <v>-668892.05518724862</v>
      </c>
      <c r="Z7" s="2">
        <f t="shared" si="7"/>
        <v>-3315877.05709833</v>
      </c>
      <c r="AB7" s="2">
        <v>3331205.7669645306</v>
      </c>
      <c r="AC7" s="2">
        <v>4299649.0842939764</v>
      </c>
      <c r="AD7" s="2">
        <v>7392332.548486582</v>
      </c>
      <c r="AE7" s="2">
        <f t="shared" si="8"/>
        <v>-968443.31732944585</v>
      </c>
      <c r="AF7" s="2">
        <f t="shared" si="9"/>
        <v>-4061126.7815220514</v>
      </c>
      <c r="AH7" s="2">
        <v>2591714.5018228753</v>
      </c>
      <c r="AI7" s="2">
        <v>2687869.4655669541</v>
      </c>
      <c r="AJ7" s="2">
        <v>4515707.6176848989</v>
      </c>
      <c r="AK7" s="2">
        <f t="shared" si="10"/>
        <v>-96154.963744078763</v>
      </c>
      <c r="AL7" s="2">
        <v>-1923993.1158620236</v>
      </c>
      <c r="AM7" s="2"/>
      <c r="AN7" s="2">
        <v>2750162.175656348</v>
      </c>
      <c r="AO7" s="2">
        <v>2917460.4482412925</v>
      </c>
      <c r="AP7" s="2">
        <v>4837509.5038512358</v>
      </c>
      <c r="AQ7" s="2">
        <f t="shared" si="11"/>
        <v>-167298.2725849445</v>
      </c>
      <c r="AR7" s="2">
        <v>-2087347.3281948878</v>
      </c>
      <c r="AS7" s="2"/>
      <c r="AT7" s="2">
        <v>2904209.920558501</v>
      </c>
      <c r="AU7" s="2">
        <v>3163255.2984533086</v>
      </c>
      <c r="AV7" s="2">
        <v>5203020.1663348787</v>
      </c>
      <c r="AW7" s="2">
        <v>-259045.37789480761</v>
      </c>
      <c r="AX7" s="2">
        <v>-2298810.2457763776</v>
      </c>
      <c r="AY7" s="2"/>
      <c r="AZ7" s="2">
        <v>3052427.6182433506</v>
      </c>
      <c r="BA7" s="2">
        <v>3415240.6894946666</v>
      </c>
      <c r="BB7" s="2">
        <v>5593970.9437011676</v>
      </c>
      <c r="BC7" s="2">
        <v>-362813.071251316</v>
      </c>
      <c r="BD7" s="2">
        <v>-2541543.3254578169</v>
      </c>
    </row>
    <row r="8" spans="1:56" x14ac:dyDescent="0.35">
      <c r="A8">
        <v>2023</v>
      </c>
      <c r="B8">
        <v>2</v>
      </c>
      <c r="C8" s="15">
        <v>2159080.0232160157</v>
      </c>
      <c r="D8" s="9">
        <v>45107</v>
      </c>
      <c r="E8" s="2">
        <v>2298364.250912251</v>
      </c>
      <c r="F8" s="2">
        <v>4105055.0610440406</v>
      </c>
      <c r="G8" s="10">
        <f t="shared" si="0"/>
        <v>-139284.22769623529</v>
      </c>
      <c r="H8" s="10">
        <f t="shared" si="1"/>
        <v>-1945975.0378280249</v>
      </c>
      <c r="I8" s="13">
        <f t="shared" si="12"/>
        <v>0.5603320219599579</v>
      </c>
      <c r="J8" s="14">
        <v>2241483.7073643636</v>
      </c>
      <c r="K8" s="2">
        <v>2479118.4395740521</v>
      </c>
      <c r="L8" s="2">
        <v>4674877.8394279722</v>
      </c>
      <c r="M8" s="2">
        <f t="shared" si="2"/>
        <v>-237634.73220968852</v>
      </c>
      <c r="N8" s="2">
        <f t="shared" si="3"/>
        <v>-2433394.1320636086</v>
      </c>
      <c r="P8" s="2">
        <v>2313778.9649748295</v>
      </c>
      <c r="Q8" s="2">
        <v>2921087.6340322164</v>
      </c>
      <c r="R8" s="2">
        <v>5504897.1880424125</v>
      </c>
      <c r="S8" s="2">
        <f t="shared" si="4"/>
        <v>-607308.66905738693</v>
      </c>
      <c r="T8" s="2">
        <f t="shared" si="5"/>
        <v>-3191118.2230675831</v>
      </c>
      <c r="V8" s="11">
        <v>2383084.6829102989</v>
      </c>
      <c r="W8" s="2">
        <v>3370421.5572184781</v>
      </c>
      <c r="X8" s="2">
        <v>6342161.8869868321</v>
      </c>
      <c r="Y8" s="2">
        <f t="shared" si="6"/>
        <v>-987336.87430817913</v>
      </c>
      <c r="Z8" s="2">
        <f t="shared" si="7"/>
        <v>-3959077.2040765332</v>
      </c>
      <c r="AB8" s="2">
        <v>2449518.2667497271</v>
      </c>
      <c r="AC8" s="2">
        <v>3886479.5427972716</v>
      </c>
      <c r="AD8" s="2">
        <v>7278547.5738986479</v>
      </c>
      <c r="AE8" s="2">
        <f t="shared" si="8"/>
        <v>-1436961.2760475446</v>
      </c>
      <c r="AF8" s="2">
        <f t="shared" si="9"/>
        <v>-4829029.3071489204</v>
      </c>
      <c r="AH8" s="2">
        <v>2211941.6783000948</v>
      </c>
      <c r="AI8" s="2">
        <v>2363247.534723165</v>
      </c>
      <c r="AJ8" s="2">
        <v>4450599.6339468556</v>
      </c>
      <c r="AK8" s="2">
        <f t="shared" si="10"/>
        <v>-151305.85642307019</v>
      </c>
      <c r="AL8" s="2">
        <v>-2238657.9556467608</v>
      </c>
      <c r="AM8" s="2"/>
      <c r="AN8" s="2">
        <v>2254875.466919343</v>
      </c>
      <c r="AO8" s="2">
        <v>2509948.2562280889</v>
      </c>
      <c r="AP8" s="2">
        <v>4766716.4190271646</v>
      </c>
      <c r="AQ8" s="2">
        <f t="shared" si="11"/>
        <v>-255072.78930874588</v>
      </c>
      <c r="AR8" s="2">
        <v>-2511840.9521078216</v>
      </c>
      <c r="AS8" s="2"/>
      <c r="AT8" s="2">
        <v>2295209.2081689239</v>
      </c>
      <c r="AU8" s="2">
        <v>2684256.5278380085</v>
      </c>
      <c r="AV8" s="2">
        <v>5125870.9152037771</v>
      </c>
      <c r="AW8" s="2">
        <v>-389047.31966908462</v>
      </c>
      <c r="AX8" s="2">
        <v>-2830661.7070348533</v>
      </c>
      <c r="AY8" s="2"/>
      <c r="AZ8" s="2">
        <v>2334423.1629202859</v>
      </c>
      <c r="BA8" s="2">
        <v>2876362.8070473894</v>
      </c>
      <c r="BB8" s="2">
        <v>5510120.1836640043</v>
      </c>
      <c r="BC8" s="2">
        <v>-541939.6441271035</v>
      </c>
      <c r="BD8" s="2">
        <v>-3175697.0207437184</v>
      </c>
    </row>
    <row r="9" spans="1:56" x14ac:dyDescent="0.35">
      <c r="A9">
        <v>2023</v>
      </c>
      <c r="B9">
        <v>3</v>
      </c>
      <c r="C9" s="15">
        <v>2211554.8462612862</v>
      </c>
      <c r="D9" s="9">
        <v>45199</v>
      </c>
      <c r="E9" s="2">
        <v>2340765.9048795677</v>
      </c>
      <c r="F9" s="2">
        <v>4049570.0542610376</v>
      </c>
      <c r="G9" s="10">
        <f t="shared" si="0"/>
        <v>-129211.0586182815</v>
      </c>
      <c r="H9" s="10">
        <f t="shared" si="1"/>
        <v>-1838015.2079997514</v>
      </c>
      <c r="I9" s="13">
        <f t="shared" si="12"/>
        <v>-7.232096012997502E-2</v>
      </c>
      <c r="J9" s="14">
        <v>2291404.550125611</v>
      </c>
      <c r="K9" s="2">
        <v>2512768.8539156499</v>
      </c>
      <c r="L9" s="2">
        <v>4609870.9265230019</v>
      </c>
      <c r="M9" s="2">
        <f t="shared" si="2"/>
        <v>-221364.30379003892</v>
      </c>
      <c r="N9" s="2">
        <f t="shared" si="3"/>
        <v>-2318466.3763973908</v>
      </c>
      <c r="P9" s="2">
        <v>2359525.8136692345</v>
      </c>
      <c r="Q9" s="2">
        <v>2927052.744555355</v>
      </c>
      <c r="R9" s="2">
        <v>5426357.7842272259</v>
      </c>
      <c r="S9" s="2">
        <f t="shared" si="4"/>
        <v>-567526.93088612054</v>
      </c>
      <c r="T9" s="2">
        <f t="shared" si="5"/>
        <v>-3066831.9705579914</v>
      </c>
      <c r="V9" s="11">
        <v>2421895.1581857796</v>
      </c>
      <c r="W9" s="2">
        <v>3343115.6177430917</v>
      </c>
      <c r="X9" s="2">
        <v>6250240.8898244016</v>
      </c>
      <c r="Y9" s="2">
        <f t="shared" si="6"/>
        <v>-921220.45955731208</v>
      </c>
      <c r="Z9" s="2">
        <f t="shared" si="7"/>
        <v>-3828345.731638622</v>
      </c>
      <c r="AB9" s="2">
        <v>2479168.1240328266</v>
      </c>
      <c r="AC9" s="2">
        <v>3815865.7308154441</v>
      </c>
      <c r="AD9" s="2">
        <v>7171881.3875106629</v>
      </c>
      <c r="AE9" s="2">
        <f t="shared" si="8"/>
        <v>-1336697.6067826175</v>
      </c>
      <c r="AF9" s="2">
        <f t="shared" si="9"/>
        <v>-4692713.2634778358</v>
      </c>
      <c r="AH9" s="2">
        <v>2265406.3099786844</v>
      </c>
      <c r="AI9" s="2">
        <v>2405872.9707637252</v>
      </c>
      <c r="AJ9" s="2">
        <v>4389312.5342472736</v>
      </c>
      <c r="AK9" s="2">
        <f t="shared" si="10"/>
        <v>-140466.66078504082</v>
      </c>
      <c r="AL9" s="2">
        <v>-2123906.2242685892</v>
      </c>
      <c r="AM9" s="2"/>
      <c r="AN9" s="2">
        <v>2308726.2527481532</v>
      </c>
      <c r="AO9" s="2">
        <v>2546710.5308836773</v>
      </c>
      <c r="AP9" s="2">
        <v>4700195.2370236106</v>
      </c>
      <c r="AQ9" s="2">
        <f t="shared" si="11"/>
        <v>-237984.27813552413</v>
      </c>
      <c r="AR9" s="2">
        <v>-2391468.9842754574</v>
      </c>
      <c r="AS9" s="2"/>
      <c r="AT9" s="2">
        <v>2348389.2911415314</v>
      </c>
      <c r="AU9" s="2">
        <v>2712120.1915356484</v>
      </c>
      <c r="AV9" s="2">
        <v>5053471.1925531812</v>
      </c>
      <c r="AW9" s="2">
        <v>-363730.90039411699</v>
      </c>
      <c r="AX9" s="2">
        <v>-2705081.9014116498</v>
      </c>
      <c r="AY9" s="2"/>
      <c r="AZ9" s="2">
        <v>2384610.1150898458</v>
      </c>
      <c r="BA9" s="2">
        <v>2891221.6438342137</v>
      </c>
      <c r="BB9" s="2">
        <v>5431496.5777673367</v>
      </c>
      <c r="BC9" s="2">
        <v>-506611.52874436788</v>
      </c>
      <c r="BD9" s="2">
        <v>-3046886.4626774909</v>
      </c>
    </row>
    <row r="10" spans="1:56" x14ac:dyDescent="0.35">
      <c r="A10">
        <v>2023</v>
      </c>
      <c r="B10">
        <v>4</v>
      </c>
      <c r="C10" s="15">
        <v>1683819.6004962472</v>
      </c>
      <c r="D10" s="9">
        <v>45291</v>
      </c>
      <c r="E10" s="2">
        <v>1751811.685534097</v>
      </c>
      <c r="F10" s="2">
        <v>4018137.4370855503</v>
      </c>
      <c r="G10" s="10">
        <f t="shared" si="0"/>
        <v>-67992.085037849844</v>
      </c>
      <c r="H10" s="10">
        <f t="shared" si="1"/>
        <v>-2334317.8365893029</v>
      </c>
      <c r="I10" s="13">
        <f t="shared" si="12"/>
        <v>-0.47379051170292052</v>
      </c>
      <c r="J10" s="14">
        <v>1811633.4431767743</v>
      </c>
      <c r="K10" s="2">
        <v>1943529.555255586</v>
      </c>
      <c r="L10" s="2">
        <v>4573385.8510417994</v>
      </c>
      <c r="M10" s="2">
        <f t="shared" si="2"/>
        <v>-131896.11207881174</v>
      </c>
      <c r="N10" s="2">
        <f t="shared" si="3"/>
        <v>-2761752.4078650251</v>
      </c>
      <c r="P10" s="2">
        <v>1917436.2395441141</v>
      </c>
      <c r="Q10" s="2">
        <v>2286777.9363856111</v>
      </c>
      <c r="R10" s="2">
        <v>5381965.0390940802</v>
      </c>
      <c r="S10" s="2">
        <f t="shared" si="4"/>
        <v>-369341.69684149697</v>
      </c>
      <c r="T10" s="2">
        <f t="shared" si="5"/>
        <v>-3464528.7995499661</v>
      </c>
      <c r="V10" s="11">
        <v>2007447.201563325</v>
      </c>
      <c r="W10" s="2">
        <v>2612280.0051823398</v>
      </c>
      <c r="X10" s="2">
        <v>6197435.5511508407</v>
      </c>
      <c r="Y10" s="2">
        <f t="shared" si="6"/>
        <v>-604832.8036190148</v>
      </c>
      <c r="Z10" s="2">
        <f t="shared" si="7"/>
        <v>-4189988.3495875159</v>
      </c>
      <c r="AB10" s="2">
        <v>2085137.5039986386</v>
      </c>
      <c r="AC10" s="2">
        <v>2957467.3716204632</v>
      </c>
      <c r="AD10" s="2">
        <v>7109310.8585719522</v>
      </c>
      <c r="AE10" s="2">
        <f t="shared" si="8"/>
        <v>-872329.86762182461</v>
      </c>
      <c r="AF10" s="2">
        <f t="shared" si="9"/>
        <v>-5024173.3545733131</v>
      </c>
      <c r="AH10" s="2">
        <v>1771771.543291844</v>
      </c>
      <c r="AI10" s="2">
        <v>1847264.8870301838</v>
      </c>
      <c r="AJ10" s="2">
        <v>4354861.5298713744</v>
      </c>
      <c r="AK10" s="2">
        <f t="shared" si="10"/>
        <v>-75493.343738339841</v>
      </c>
      <c r="AL10" s="2">
        <v>-2583089.9865795304</v>
      </c>
      <c r="AM10" s="2"/>
      <c r="AN10" s="2">
        <v>1845259.1819958354</v>
      </c>
      <c r="AO10" s="2">
        <v>1985924.3213944412</v>
      </c>
      <c r="AP10" s="2">
        <v>4662862.7130488427</v>
      </c>
      <c r="AQ10" s="2">
        <f t="shared" si="11"/>
        <v>-140665.1393986058</v>
      </c>
      <c r="AR10" s="2">
        <v>-2817603.5310530076</v>
      </c>
      <c r="AS10" s="2"/>
      <c r="AT10" s="2">
        <v>1913170.4875891642</v>
      </c>
      <c r="AU10" s="2">
        <v>2137931.750264084</v>
      </c>
      <c r="AV10" s="2">
        <v>5012754.1837369725</v>
      </c>
      <c r="AW10" s="2">
        <v>-224761.2626749198</v>
      </c>
      <c r="AX10" s="2">
        <v>-3099583.6961478083</v>
      </c>
      <c r="AY10" s="2"/>
      <c r="AZ10" s="2">
        <v>1974465.6845436555</v>
      </c>
      <c r="BA10" s="2">
        <v>2294618.4016263913</v>
      </c>
      <c r="BB10" s="2">
        <v>5387052.527869924</v>
      </c>
      <c r="BC10" s="2">
        <v>-320152.71708273585</v>
      </c>
      <c r="BD10" s="2">
        <v>-3412586.8433262687</v>
      </c>
    </row>
    <row r="11" spans="1:56" x14ac:dyDescent="0.35">
      <c r="A11">
        <v>2024</v>
      </c>
      <c r="B11">
        <v>1</v>
      </c>
      <c r="C11" s="15">
        <v>2441767.4522454413</v>
      </c>
      <c r="D11" s="9">
        <v>45382</v>
      </c>
      <c r="E11" s="2">
        <v>2506126.047853379</v>
      </c>
      <c r="F11" s="2">
        <v>4001153.1672669211</v>
      </c>
      <c r="G11" s="10">
        <f t="shared" si="0"/>
        <v>-64358.595607937779</v>
      </c>
      <c r="H11" s="10">
        <f t="shared" si="1"/>
        <v>-1559385.7150214799</v>
      </c>
      <c r="I11" s="13">
        <f t="shared" si="12"/>
        <v>-5.3439888303018934E-2</v>
      </c>
      <c r="J11" s="14">
        <v>2696089.1827942515</v>
      </c>
      <c r="K11" s="2">
        <v>2824770.653192604</v>
      </c>
      <c r="L11" s="2">
        <v>4554685.9681089278</v>
      </c>
      <c r="M11" s="2">
        <f t="shared" si="2"/>
        <v>-128681.47039835248</v>
      </c>
      <c r="N11" s="2">
        <f t="shared" si="3"/>
        <v>-1858596.7853146764</v>
      </c>
      <c r="P11" s="2">
        <v>2927891.275667455</v>
      </c>
      <c r="Q11" s="2">
        <v>3308838.9826704646</v>
      </c>
      <c r="R11" s="2">
        <v>5359732.5178928729</v>
      </c>
      <c r="S11" s="2">
        <f t="shared" si="4"/>
        <v>-380947.70700300951</v>
      </c>
      <c r="T11" s="2">
        <f t="shared" si="5"/>
        <v>-2431841.2422254179</v>
      </c>
      <c r="V11" s="11">
        <v>3145537.1925374735</v>
      </c>
      <c r="W11" s="2">
        <v>3781134.7959568719</v>
      </c>
      <c r="X11" s="2">
        <v>6170817.0486137178</v>
      </c>
      <c r="Y11" s="2">
        <f t="shared" si="6"/>
        <v>-635597.60341939842</v>
      </c>
      <c r="Z11" s="2">
        <f t="shared" si="7"/>
        <v>-3025279.8560762443</v>
      </c>
      <c r="AB11" s="2">
        <v>3351371.9714324474</v>
      </c>
      <c r="AC11" s="2">
        <v>4283062.4525079634</v>
      </c>
      <c r="AD11" s="2">
        <v>7077113.8085594364</v>
      </c>
      <c r="AE11" s="2">
        <f t="shared" si="8"/>
        <v>-931690.48107551597</v>
      </c>
      <c r="AF11" s="2">
        <f t="shared" si="9"/>
        <v>-3725741.8371269889</v>
      </c>
      <c r="AH11" s="2">
        <v>2616738.5703487922</v>
      </c>
      <c r="AI11" s="2">
        <v>2686486.422885648</v>
      </c>
      <c r="AJ11" s="2">
        <v>4336922.5982084963</v>
      </c>
      <c r="AK11" s="2">
        <f t="shared" si="10"/>
        <v>-69747.852536855731</v>
      </c>
      <c r="AL11" s="2">
        <v>-1720184.0278597041</v>
      </c>
      <c r="AM11" s="2"/>
      <c r="AN11" s="2">
        <v>2773173.9603096577</v>
      </c>
      <c r="AO11" s="2">
        <v>2912463.0167887979</v>
      </c>
      <c r="AP11" s="2">
        <v>4643823.8396446873</v>
      </c>
      <c r="AQ11" s="2">
        <f t="shared" si="11"/>
        <v>-139289.05647914018</v>
      </c>
      <c r="AR11" s="2">
        <v>-1870649.8793350295</v>
      </c>
      <c r="AS11" s="2"/>
      <c r="AT11" s="2">
        <v>2925586.3436793932</v>
      </c>
      <c r="AU11" s="2">
        <v>3154993.2232407159</v>
      </c>
      <c r="AV11" s="2">
        <v>4992256.9207320325</v>
      </c>
      <c r="AW11" s="2">
        <v>-229406.87956132274</v>
      </c>
      <c r="AX11" s="2">
        <v>-2066670.5770526393</v>
      </c>
      <c r="AY11" s="2"/>
      <c r="AZ11" s="2">
        <v>3071682.2423946494</v>
      </c>
      <c r="BA11" s="2">
        <v>3403156.2800290543</v>
      </c>
      <c r="BB11" s="2">
        <v>5364794.8626525635</v>
      </c>
      <c r="BC11" s="2">
        <v>-331474.03763440484</v>
      </c>
      <c r="BD11" s="2">
        <v>-2293112.6202579141</v>
      </c>
    </row>
    <row r="12" spans="1:56" x14ac:dyDescent="0.35">
      <c r="A12">
        <v>2024</v>
      </c>
      <c r="B12">
        <v>2</v>
      </c>
      <c r="C12" s="15">
        <v>2146788.3498680992</v>
      </c>
      <c r="D12" s="9">
        <v>45473</v>
      </c>
      <c r="E12" s="2">
        <v>2262306.3603787967</v>
      </c>
      <c r="F12" s="2">
        <v>3951347.4823733941</v>
      </c>
      <c r="G12" s="10">
        <f t="shared" si="0"/>
        <v>-115518.0105106975</v>
      </c>
      <c r="H12" s="10">
        <f t="shared" si="1"/>
        <v>-1804559.1325052949</v>
      </c>
      <c r="I12" s="13">
        <f t="shared" si="12"/>
        <v>0.79491192154680701</v>
      </c>
      <c r="J12" s="14">
        <v>2234712.3968388876</v>
      </c>
      <c r="K12" s="2">
        <v>2446850.402335973</v>
      </c>
      <c r="L12" s="2">
        <v>4495363.992449848</v>
      </c>
      <c r="M12" s="2">
        <f t="shared" si="2"/>
        <v>-212138.0054970854</v>
      </c>
      <c r="N12" s="2">
        <f t="shared" si="3"/>
        <v>-2260651.5956109604</v>
      </c>
      <c r="P12" s="2">
        <v>2304770.2945836349</v>
      </c>
      <c r="Q12" s="2">
        <v>2880774.4629214485</v>
      </c>
      <c r="R12" s="2">
        <v>5287082.9136894885</v>
      </c>
      <c r="S12" s="2">
        <f t="shared" si="4"/>
        <v>-576004.16833781358</v>
      </c>
      <c r="T12" s="2">
        <f t="shared" si="5"/>
        <v>-2982312.6191058536</v>
      </c>
      <c r="V12" s="11">
        <v>2371801.6155012245</v>
      </c>
      <c r="W12" s="2">
        <v>3321299.8262133906</v>
      </c>
      <c r="X12" s="2">
        <v>6085148.955147136</v>
      </c>
      <c r="Y12" s="2">
        <f t="shared" si="6"/>
        <v>-949498.21071216604</v>
      </c>
      <c r="Z12" s="2">
        <f t="shared" si="7"/>
        <v>-3713347.3396459115</v>
      </c>
      <c r="AB12" s="2">
        <v>2436090.9007302532</v>
      </c>
      <c r="AC12" s="2">
        <v>3827104.232286355</v>
      </c>
      <c r="AD12" s="2">
        <v>6977234.6596901808</v>
      </c>
      <c r="AE12" s="2">
        <f t="shared" si="8"/>
        <v>-1391013.3315561018</v>
      </c>
      <c r="AF12" s="2">
        <f t="shared" si="9"/>
        <v>-4541143.7589599276</v>
      </c>
      <c r="AH12" s="2">
        <v>2205875.9807646312</v>
      </c>
      <c r="AI12" s="2">
        <v>2333085.0831048437</v>
      </c>
      <c r="AJ12" s="2">
        <v>4281301.915461747</v>
      </c>
      <c r="AK12" s="2">
        <f t="shared" si="10"/>
        <v>-127209.10234021256</v>
      </c>
      <c r="AL12" s="2">
        <v>-2075425.9346971158</v>
      </c>
      <c r="AM12" s="2"/>
      <c r="AN12" s="2">
        <v>2247335.9622758371</v>
      </c>
      <c r="AO12" s="2">
        <v>2476483.722324688</v>
      </c>
      <c r="AP12" s="2">
        <v>4583000.3911656365</v>
      </c>
      <c r="AQ12" s="2">
        <f t="shared" si="11"/>
        <v>-229147.76004885091</v>
      </c>
      <c r="AR12" s="2">
        <v>-2335664.4288897994</v>
      </c>
      <c r="AS12" s="2"/>
      <c r="AT12" s="2">
        <v>2286091.0200451263</v>
      </c>
      <c r="AU12" s="2">
        <v>2646875.7032606825</v>
      </c>
      <c r="AV12" s="2">
        <v>4925630.2214302719</v>
      </c>
      <c r="AW12" s="2">
        <v>-360784.6832155562</v>
      </c>
      <c r="AX12" s="2">
        <v>-2639539.2013851455</v>
      </c>
      <c r="AY12" s="2"/>
      <c r="AZ12" s="2">
        <v>2323724.3593449765</v>
      </c>
      <c r="BA12" s="2">
        <v>2834666.9580838038</v>
      </c>
      <c r="BB12" s="2">
        <v>5292062.8999164533</v>
      </c>
      <c r="BC12" s="2">
        <v>-510942.59873882728</v>
      </c>
      <c r="BD12" s="2">
        <v>-2968338.5405714768</v>
      </c>
    </row>
    <row r="13" spans="1:56" x14ac:dyDescent="0.35">
      <c r="A13">
        <v>2024</v>
      </c>
      <c r="B13">
        <v>3</v>
      </c>
      <c r="C13" s="15">
        <v>2200255.9782222696</v>
      </c>
      <c r="D13" s="9">
        <v>45565</v>
      </c>
      <c r="E13" s="2">
        <v>2305299.9238745719</v>
      </c>
      <c r="F13" s="2">
        <v>3904926.6351394849</v>
      </c>
      <c r="G13" s="10">
        <f t="shared" si="0"/>
        <v>-105043.94565230235</v>
      </c>
      <c r="H13" s="10">
        <f t="shared" si="1"/>
        <v>-1704670.6569172153</v>
      </c>
      <c r="I13" s="13">
        <f t="shared" si="12"/>
        <v>-9.0670405524558406E-2</v>
      </c>
      <c r="J13" s="14">
        <v>2286482.1521767983</v>
      </c>
      <c r="K13" s="2">
        <v>2482053.8726978824</v>
      </c>
      <c r="L13" s="2">
        <v>4440286.8892656788</v>
      </c>
      <c r="M13" s="2">
        <f t="shared" si="2"/>
        <v>-195571.72052108403</v>
      </c>
      <c r="N13" s="2">
        <f t="shared" si="3"/>
        <v>-2153804.7370888805</v>
      </c>
      <c r="P13" s="2">
        <v>2354232.0229079225</v>
      </c>
      <c r="Q13" s="2">
        <v>2890967.0641178684</v>
      </c>
      <c r="R13" s="2">
        <v>5219758.0923264101</v>
      </c>
      <c r="S13" s="2">
        <f t="shared" si="4"/>
        <v>-536735.04120994592</v>
      </c>
      <c r="T13" s="2">
        <f t="shared" si="5"/>
        <v>-2865526.0694184876</v>
      </c>
      <c r="V13" s="11">
        <v>2416235.4381689439</v>
      </c>
      <c r="W13" s="2">
        <v>3301504.6493629101</v>
      </c>
      <c r="X13" s="2">
        <v>6005757.3897015471</v>
      </c>
      <c r="Y13" s="2">
        <f t="shared" si="6"/>
        <v>-885269.21119396621</v>
      </c>
      <c r="Z13" s="2">
        <f t="shared" si="7"/>
        <v>-3589521.9515326032</v>
      </c>
      <c r="AB13" s="2">
        <v>2473092.2872184995</v>
      </c>
      <c r="AC13" s="2">
        <v>3767725.9041551156</v>
      </c>
      <c r="AD13" s="2">
        <v>6884583.7840226069</v>
      </c>
      <c r="AE13" s="2">
        <f t="shared" si="8"/>
        <v>-1294633.6169366161</v>
      </c>
      <c r="AF13" s="2">
        <f t="shared" si="9"/>
        <v>-4411491.496804107</v>
      </c>
      <c r="AH13" s="2">
        <v>2260486.7823804952</v>
      </c>
      <c r="AI13" s="2">
        <v>2376409.6976623703</v>
      </c>
      <c r="AJ13" s="2">
        <v>4229601.9287152085</v>
      </c>
      <c r="AK13" s="2">
        <f t="shared" si="10"/>
        <v>-115922.91528187506</v>
      </c>
      <c r="AL13" s="2">
        <v>-1969115.1463347133</v>
      </c>
      <c r="AM13" s="2"/>
      <c r="AN13" s="2">
        <v>2303150.0831018863</v>
      </c>
      <c r="AO13" s="2">
        <v>2514907.9824077822</v>
      </c>
      <c r="AP13" s="2">
        <v>4526549.9803462029</v>
      </c>
      <c r="AQ13" s="2">
        <f t="shared" si="11"/>
        <v>-211757.8993058959</v>
      </c>
      <c r="AR13" s="2">
        <v>-2223399.8972443165</v>
      </c>
      <c r="AS13" s="2"/>
      <c r="AT13" s="2">
        <v>2342165.5822118456</v>
      </c>
      <c r="AU13" s="2">
        <v>2677617.0926962546</v>
      </c>
      <c r="AV13" s="2">
        <v>4863855.5863657519</v>
      </c>
      <c r="AW13" s="2">
        <v>-335451.51048440905</v>
      </c>
      <c r="AX13" s="2">
        <v>-2521690.0041539064</v>
      </c>
      <c r="AY13" s="2"/>
      <c r="AZ13" s="2">
        <v>2377792.9042459838</v>
      </c>
      <c r="BA13" s="2">
        <v>2853831.2471583267</v>
      </c>
      <c r="BB13" s="2">
        <v>5224662.0279952083</v>
      </c>
      <c r="BC13" s="2">
        <v>-476038.34291234287</v>
      </c>
      <c r="BD13" s="2">
        <v>-2846869.1237492245</v>
      </c>
    </row>
    <row r="14" spans="1:56" x14ac:dyDescent="0.35">
      <c r="A14">
        <v>2024</v>
      </c>
      <c r="B14">
        <v>4</v>
      </c>
      <c r="C14" s="15">
        <v>1676815.6084756092</v>
      </c>
      <c r="D14" s="9">
        <v>45657</v>
      </c>
      <c r="E14" s="2">
        <v>1742832.7174279408</v>
      </c>
      <c r="F14" s="2">
        <v>3880778.597495025</v>
      </c>
      <c r="G14" s="10">
        <f t="shared" si="0"/>
        <v>-66017.10895233159</v>
      </c>
      <c r="H14" s="10">
        <f t="shared" si="1"/>
        <v>-2203962.9890194158</v>
      </c>
      <c r="I14" s="13">
        <f t="shared" si="12"/>
        <v>-0.37152866314780675</v>
      </c>
      <c r="J14" s="14">
        <v>1805337.230949292</v>
      </c>
      <c r="K14" s="2">
        <v>1935833.6590709665</v>
      </c>
      <c r="L14" s="2">
        <v>4409053.1031527519</v>
      </c>
      <c r="M14" s="2">
        <f t="shared" si="2"/>
        <v>-130496.42812167457</v>
      </c>
      <c r="N14" s="2">
        <f t="shared" si="3"/>
        <v>-2603715.87220346</v>
      </c>
      <c r="P14" s="2">
        <v>1909032.1970596616</v>
      </c>
      <c r="Q14" s="2">
        <v>2276473.7836265699</v>
      </c>
      <c r="R14" s="2">
        <v>5178261.7106578955</v>
      </c>
      <c r="S14" s="2">
        <f t="shared" si="4"/>
        <v>-367441.58656690829</v>
      </c>
      <c r="T14" s="2">
        <f t="shared" si="5"/>
        <v>-3269229.5135982339</v>
      </c>
      <c r="V14" s="11">
        <v>1997364.484282183</v>
      </c>
      <c r="W14" s="2">
        <v>2599707.7501545255</v>
      </c>
      <c r="X14" s="2">
        <v>5953955.881543247</v>
      </c>
      <c r="Y14" s="2">
        <f t="shared" si="6"/>
        <v>-602343.26587234251</v>
      </c>
      <c r="Z14" s="2">
        <f t="shared" si="7"/>
        <v>-3956591.397261064</v>
      </c>
      <c r="AB14" s="2">
        <v>2072898.0446320544</v>
      </c>
      <c r="AC14" s="2">
        <v>2942896.0219901972</v>
      </c>
      <c r="AD14" s="2">
        <v>6821295.9123632284</v>
      </c>
      <c r="AE14" s="2">
        <f t="shared" si="8"/>
        <v>-869997.97735814285</v>
      </c>
      <c r="AF14" s="2">
        <f t="shared" si="9"/>
        <v>-4748397.8677311745</v>
      </c>
      <c r="AH14" s="2">
        <v>1765758.6476241632</v>
      </c>
      <c r="AI14" s="2">
        <v>1839948.0043637089</v>
      </c>
      <c r="AJ14" s="2">
        <v>4201152.1948518306</v>
      </c>
      <c r="AK14" s="2">
        <f t="shared" si="10"/>
        <v>-74189.356739545707</v>
      </c>
      <c r="AL14" s="2">
        <v>-2435393.5472276676</v>
      </c>
      <c r="AM14" s="2"/>
      <c r="AN14" s="2">
        <v>1837150.379679183</v>
      </c>
      <c r="AO14" s="2">
        <v>1976476.543934223</v>
      </c>
      <c r="AP14" s="2">
        <v>4494177.7207567906</v>
      </c>
      <c r="AQ14" s="2">
        <f t="shared" si="11"/>
        <v>-139326.16425504</v>
      </c>
      <c r="AR14" s="2">
        <v>-2657027.3410776076</v>
      </c>
      <c r="AS14" s="2"/>
      <c r="AT14" s="2">
        <v>1903251.8197149402</v>
      </c>
      <c r="AU14" s="2">
        <v>2126912.479850743</v>
      </c>
      <c r="AV14" s="2">
        <v>4827038.6309636794</v>
      </c>
      <c r="AW14" s="2">
        <v>-223660.66013580281</v>
      </c>
      <c r="AX14" s="2">
        <v>-2923786.8112487393</v>
      </c>
      <c r="AY14" s="2"/>
      <c r="AZ14" s="2">
        <v>1963566.3466696497</v>
      </c>
      <c r="BA14" s="2">
        <v>2282471.5101813274</v>
      </c>
      <c r="BB14" s="2">
        <v>5183101.2341188863</v>
      </c>
      <c r="BC14" s="2">
        <v>-318905.16351167765</v>
      </c>
      <c r="BD14" s="2">
        <v>-3219534.8874492366</v>
      </c>
    </row>
    <row r="15" spans="1:56" x14ac:dyDescent="0.35">
      <c r="A15">
        <v>2025</v>
      </c>
      <c r="B15">
        <v>1</v>
      </c>
      <c r="C15" s="15">
        <v>2397016.0343702054</v>
      </c>
      <c r="D15" s="9">
        <v>45747</v>
      </c>
      <c r="E15" s="2">
        <v>2460284.6965766726</v>
      </c>
      <c r="F15" s="2">
        <v>3862953.3751907451</v>
      </c>
      <c r="G15" s="10">
        <f t="shared" si="0"/>
        <v>-63268.662206467241</v>
      </c>
      <c r="H15" s="10">
        <f t="shared" si="1"/>
        <v>-1465937.3408205397</v>
      </c>
      <c r="I15" s="13">
        <f t="shared" si="12"/>
        <v>-4.1632340305130522E-2</v>
      </c>
      <c r="J15" s="14">
        <v>2651803.6389100519</v>
      </c>
      <c r="K15" s="2">
        <v>2778669.5061797644</v>
      </c>
      <c r="L15" s="2">
        <v>4387835.0961439312</v>
      </c>
      <c r="M15" s="2">
        <f t="shared" si="2"/>
        <v>-126865.8672697125</v>
      </c>
      <c r="N15" s="2">
        <f t="shared" si="3"/>
        <v>-1736031.4572338792</v>
      </c>
      <c r="P15" s="2">
        <v>2877927.0652919053</v>
      </c>
      <c r="Q15" s="2">
        <v>3253227.8355987524</v>
      </c>
      <c r="R15" s="2">
        <v>5151405.1155363787</v>
      </c>
      <c r="S15" s="2">
        <f t="shared" si="4"/>
        <v>-375300.77030684706</v>
      </c>
      <c r="T15" s="2">
        <f t="shared" si="5"/>
        <v>-2273478.0502444734</v>
      </c>
      <c r="V15" s="11">
        <v>3089610.6658332832</v>
      </c>
      <c r="W15" s="2">
        <v>3715532.9501612945</v>
      </c>
      <c r="X15" s="2">
        <v>5920857.3001628863</v>
      </c>
      <c r="Y15" s="2">
        <f t="shared" si="6"/>
        <v>-625922.28432801133</v>
      </c>
      <c r="Z15" s="2">
        <f t="shared" si="7"/>
        <v>-2831246.6343296031</v>
      </c>
      <c r="AB15" s="2">
        <v>3290265.5457528029</v>
      </c>
      <c r="AC15" s="2">
        <v>4207812.3871916514</v>
      </c>
      <c r="AD15" s="2">
        <v>6780762.7873023842</v>
      </c>
      <c r="AE15" s="2">
        <f t="shared" si="8"/>
        <v>-917546.84143884853</v>
      </c>
      <c r="AF15" s="2">
        <f t="shared" si="9"/>
        <v>-3490497.2415495813</v>
      </c>
      <c r="AH15" s="2">
        <v>2572661.4297088748</v>
      </c>
      <c r="AI15" s="2">
        <v>2641451.2668554289</v>
      </c>
      <c r="AJ15" s="2">
        <v>4181327.322043356</v>
      </c>
      <c r="AK15" s="2">
        <f t="shared" si="10"/>
        <v>-68789.837146554142</v>
      </c>
      <c r="AL15" s="2">
        <v>-1608665.8923344812</v>
      </c>
      <c r="AM15" s="2"/>
      <c r="AN15" s="2">
        <v>2723732.8843062194</v>
      </c>
      <c r="AO15" s="2">
        <v>2860978.8324637297</v>
      </c>
      <c r="AP15" s="2">
        <v>4472370.7859672224</v>
      </c>
      <c r="AQ15" s="2">
        <f t="shared" si="11"/>
        <v>-137245.94815751025</v>
      </c>
      <c r="AR15" s="2">
        <v>-1748637.901661003</v>
      </c>
      <c r="AS15" s="2"/>
      <c r="AT15" s="2">
        <v>2871093.406803797</v>
      </c>
      <c r="AU15" s="2">
        <v>3096962.8724928638</v>
      </c>
      <c r="AV15" s="2">
        <v>4802839.1488365103</v>
      </c>
      <c r="AW15" s="2">
        <v>-225869.4656890668</v>
      </c>
      <c r="AX15" s="2">
        <v>-1931745.7420327133</v>
      </c>
      <c r="AY15" s="2"/>
      <c r="AZ15" s="2">
        <v>3013104.6912592659</v>
      </c>
      <c r="BA15" s="2">
        <v>3339365.7454840806</v>
      </c>
      <c r="BB15" s="2">
        <v>5156207.193729002</v>
      </c>
      <c r="BC15" s="2">
        <v>-326261.05422481475</v>
      </c>
      <c r="BD15" s="2">
        <v>-2143102.5024697362</v>
      </c>
    </row>
    <row r="16" spans="1:56" x14ac:dyDescent="0.35">
      <c r="A16">
        <v>2025</v>
      </c>
      <c r="B16">
        <v>2</v>
      </c>
      <c r="C16" s="15">
        <v>2133953.1603763788</v>
      </c>
      <c r="D16" s="9">
        <v>45838</v>
      </c>
      <c r="E16" s="2">
        <v>2248935.6057893704</v>
      </c>
      <c r="F16" s="2">
        <v>3812961.0330149289</v>
      </c>
      <c r="G16" s="10">
        <f t="shared" si="0"/>
        <v>-114982.44541299157</v>
      </c>
      <c r="H16" s="10">
        <f t="shared" si="1"/>
        <v>-1679007.8726385501</v>
      </c>
      <c r="I16" s="13">
        <f t="shared" si="12"/>
        <v>0.81736805241376209</v>
      </c>
      <c r="J16" s="14">
        <v>2228969.6268250179</v>
      </c>
      <c r="K16" s="2">
        <v>2440819.5073681506</v>
      </c>
      <c r="L16" s="2">
        <v>4328549.3663034057</v>
      </c>
      <c r="M16" s="2">
        <f t="shared" si="2"/>
        <v>-211849.88054313278</v>
      </c>
      <c r="N16" s="2">
        <f t="shared" si="3"/>
        <v>-2099579.7394783879</v>
      </c>
      <c r="P16" s="2">
        <v>2298400.2413209449</v>
      </c>
      <c r="Q16" s="2">
        <v>2873426.8736389875</v>
      </c>
      <c r="R16" s="2">
        <v>5079071.6529933307</v>
      </c>
      <c r="S16" s="2">
        <f t="shared" si="4"/>
        <v>-575026.63231804268</v>
      </c>
      <c r="T16" s="2">
        <f t="shared" si="5"/>
        <v>-2780671.4116723859</v>
      </c>
      <c r="V16" s="11">
        <v>2364626.2403325541</v>
      </c>
      <c r="W16" s="2">
        <v>3312222.7701431685</v>
      </c>
      <c r="X16" s="2">
        <v>5835752.0338109974</v>
      </c>
      <c r="Y16" s="2">
        <f t="shared" si="6"/>
        <v>-947596.52981061442</v>
      </c>
      <c r="Z16" s="2">
        <f t="shared" si="7"/>
        <v>-3471125.7934784433</v>
      </c>
      <c r="AB16" s="2">
        <v>2428243.4542906024</v>
      </c>
      <c r="AC16" s="2">
        <v>3816120.1256423444</v>
      </c>
      <c r="AD16" s="2">
        <v>6681693.1597200185</v>
      </c>
      <c r="AE16" s="2">
        <f t="shared" si="8"/>
        <v>-1387876.671351742</v>
      </c>
      <c r="AF16" s="2">
        <f t="shared" si="9"/>
        <v>-4253449.7054294161</v>
      </c>
      <c r="AH16" s="2">
        <v>2200195.8424756993</v>
      </c>
      <c r="AI16" s="2">
        <v>2327255.2775682141</v>
      </c>
      <c r="AJ16" s="2">
        <v>4125658.8650452551</v>
      </c>
      <c r="AK16" s="2">
        <f t="shared" si="10"/>
        <v>-127059.43509251485</v>
      </c>
      <c r="AL16" s="2">
        <v>-1925463.0225695558</v>
      </c>
      <c r="AM16" s="2"/>
      <c r="AN16" s="2">
        <v>2241174.5794469374</v>
      </c>
      <c r="AO16" s="2">
        <v>2469987.1314810142</v>
      </c>
      <c r="AP16" s="2">
        <v>4411616.8013061173</v>
      </c>
      <c r="AQ16" s="2">
        <f t="shared" si="11"/>
        <v>-228812.55203407677</v>
      </c>
      <c r="AR16" s="2">
        <v>-2170442.2218591799</v>
      </c>
      <c r="AS16" s="2"/>
      <c r="AT16" s="2">
        <v>2279425.5753045753</v>
      </c>
      <c r="AU16" s="2">
        <v>2639604.865560736</v>
      </c>
      <c r="AV16" s="2">
        <v>4736406.0689077899</v>
      </c>
      <c r="AW16" s="2">
        <v>-360179.29025616078</v>
      </c>
      <c r="AX16" s="2">
        <v>-2456980.4936032146</v>
      </c>
      <c r="AY16" s="2"/>
      <c r="AZ16" s="2">
        <v>2316663.3642198946</v>
      </c>
      <c r="BA16" s="2">
        <v>2826682.7589392322</v>
      </c>
      <c r="BB16" s="2">
        <v>5083793.0076075541</v>
      </c>
      <c r="BC16" s="2">
        <v>-510019.39471933758</v>
      </c>
      <c r="BD16" s="2">
        <v>-2767129.6433876595</v>
      </c>
    </row>
    <row r="17" spans="1:56" x14ac:dyDescent="0.35">
      <c r="A17">
        <v>2025</v>
      </c>
      <c r="B17">
        <v>3</v>
      </c>
      <c r="C17" s="15">
        <v>2188483.1882799529</v>
      </c>
      <c r="D17" s="9">
        <v>45930</v>
      </c>
      <c r="E17" s="2">
        <v>2293017.3444050183</v>
      </c>
      <c r="F17" s="2">
        <v>3766405.152163425</v>
      </c>
      <c r="G17" s="10">
        <f t="shared" si="0"/>
        <v>-104534.1561250654</v>
      </c>
      <c r="H17" s="10">
        <f t="shared" si="1"/>
        <v>-1577921.9638834721</v>
      </c>
      <c r="I17" s="13">
        <f t="shared" si="12"/>
        <v>-9.0868560417185495E-2</v>
      </c>
      <c r="J17" s="14">
        <v>2279051.6438661958</v>
      </c>
      <c r="K17" s="2">
        <v>2474060.6247597858</v>
      </c>
      <c r="L17" s="2">
        <v>4273504.3838031683</v>
      </c>
      <c r="M17" s="2">
        <f t="shared" si="2"/>
        <v>-195008.98089359002</v>
      </c>
      <c r="N17" s="2">
        <f t="shared" si="3"/>
        <v>-1994452.7399369725</v>
      </c>
      <c r="P17" s="2">
        <v>2344293.0580976792</v>
      </c>
      <c r="Q17" s="2">
        <v>2878898.838501805</v>
      </c>
      <c r="R17" s="2">
        <v>5011988.8466802482</v>
      </c>
      <c r="S17" s="2">
        <f t="shared" si="4"/>
        <v>-534605.78040412581</v>
      </c>
      <c r="T17" s="2">
        <f t="shared" si="5"/>
        <v>-2667695.788582569</v>
      </c>
      <c r="V17" s="11">
        <v>2404048.9548432548</v>
      </c>
      <c r="W17" s="2">
        <v>3285015.3986453842</v>
      </c>
      <c r="X17" s="2">
        <v>5756787.475261393</v>
      </c>
      <c r="Y17" s="2">
        <f t="shared" si="6"/>
        <v>-880966.44380212948</v>
      </c>
      <c r="Z17" s="2">
        <f t="shared" si="7"/>
        <v>-3352738.5204181382</v>
      </c>
      <c r="AB17" s="2">
        <v>2458251.2825477505</v>
      </c>
      <c r="AC17" s="2">
        <v>3745322.4630953753</v>
      </c>
      <c r="AD17" s="2">
        <v>6589654.2915122565</v>
      </c>
      <c r="AE17" s="2">
        <f t="shared" si="8"/>
        <v>-1287071.1805476248</v>
      </c>
      <c r="AF17" s="2">
        <f t="shared" si="9"/>
        <v>-4131403.008964506</v>
      </c>
      <c r="AH17" s="2">
        <v>2254139.5835029045</v>
      </c>
      <c r="AI17" s="2">
        <v>2369794.4032289581</v>
      </c>
      <c r="AJ17" s="2">
        <v>4073927.9925379017</v>
      </c>
      <c r="AK17" s="2">
        <f t="shared" si="10"/>
        <v>-115654.81972605363</v>
      </c>
      <c r="AL17" s="2">
        <v>-1819788.4090349972</v>
      </c>
      <c r="AM17" s="2"/>
      <c r="AN17" s="2">
        <v>2295222.6436542533</v>
      </c>
      <c r="AO17" s="2">
        <v>2506341.5985995801</v>
      </c>
      <c r="AP17" s="2">
        <v>4355223.4213026594</v>
      </c>
      <c r="AQ17" s="2">
        <f t="shared" si="11"/>
        <v>-211118.95494532678</v>
      </c>
      <c r="AR17" s="2">
        <v>-2060000.7776484061</v>
      </c>
      <c r="AS17" s="2"/>
      <c r="AT17" s="2">
        <v>2332674.2768814722</v>
      </c>
      <c r="AU17" s="2">
        <v>2666899.8962105708</v>
      </c>
      <c r="AV17" s="2">
        <v>4674781.5689637791</v>
      </c>
      <c r="AW17" s="2">
        <v>-334225.61932909861</v>
      </c>
      <c r="AX17" s="2">
        <v>-2342107.2920823069</v>
      </c>
      <c r="AY17" s="2"/>
      <c r="AZ17" s="2">
        <v>2366798.7429955457</v>
      </c>
      <c r="BA17" s="2">
        <v>2840820.5019168351</v>
      </c>
      <c r="BB17" s="2">
        <v>5016635.3767978754</v>
      </c>
      <c r="BC17" s="2">
        <v>-474021.75892128935</v>
      </c>
      <c r="BD17" s="2">
        <v>-2649836.6338023297</v>
      </c>
    </row>
    <row r="18" spans="1:56" x14ac:dyDescent="0.35">
      <c r="A18">
        <v>2025</v>
      </c>
      <c r="B18">
        <v>4</v>
      </c>
      <c r="C18" s="15">
        <v>1668207.1328021232</v>
      </c>
      <c r="D18" s="9">
        <v>46022</v>
      </c>
      <c r="E18" s="2">
        <v>1719446.5329203985</v>
      </c>
      <c r="F18" s="2">
        <v>3750151.4149012053</v>
      </c>
      <c r="G18" s="10">
        <f t="shared" si="0"/>
        <v>-51239.400118275313</v>
      </c>
      <c r="H18" s="10">
        <f t="shared" si="1"/>
        <v>-2081944.2820990821</v>
      </c>
      <c r="I18" s="13">
        <f t="shared" si="12"/>
        <v>-0.50983102540214575</v>
      </c>
      <c r="J18" s="14">
        <v>1798061.0654188143</v>
      </c>
      <c r="K18" s="2">
        <v>1911568.0487802548</v>
      </c>
      <c r="L18" s="2">
        <v>4252915.0069116736</v>
      </c>
      <c r="M18" s="2">
        <f t="shared" si="2"/>
        <v>-113506.98336144048</v>
      </c>
      <c r="N18" s="2">
        <f t="shared" si="3"/>
        <v>-2454853.9414928593</v>
      </c>
      <c r="P18" s="2">
        <v>1900163.4427124518</v>
      </c>
      <c r="Q18" s="2">
        <v>2246354.9807689833</v>
      </c>
      <c r="R18" s="2">
        <v>4984590.4714665767</v>
      </c>
      <c r="S18" s="2">
        <f t="shared" si="4"/>
        <v>-346191.53805653146</v>
      </c>
      <c r="T18" s="2">
        <f t="shared" si="5"/>
        <v>-3084427.0287541249</v>
      </c>
      <c r="V18" s="11">
        <v>1987378.0973485026</v>
      </c>
      <c r="W18" s="2">
        <v>2564514.663635991</v>
      </c>
      <c r="X18" s="2">
        <v>5722128.064100232</v>
      </c>
      <c r="Y18" s="2">
        <f t="shared" si="6"/>
        <v>-577136.56628748844</v>
      </c>
      <c r="Z18" s="2">
        <f t="shared" si="7"/>
        <v>-3734749.9667517291</v>
      </c>
      <c r="AB18" s="2">
        <v>2062377.651859422</v>
      </c>
      <c r="AC18" s="2">
        <v>2900967.8058967809</v>
      </c>
      <c r="AD18" s="2">
        <v>6546552.9559839945</v>
      </c>
      <c r="AE18" s="2">
        <f t="shared" si="8"/>
        <v>-838590.15403735894</v>
      </c>
      <c r="AF18" s="2">
        <f t="shared" si="9"/>
        <v>-4484175.3041245723</v>
      </c>
      <c r="AH18" s="2">
        <v>1758649.1149141463</v>
      </c>
      <c r="AI18" s="2">
        <v>1817051.1455042432</v>
      </c>
      <c r="AJ18" s="2">
        <v>4055086.0251407316</v>
      </c>
      <c r="AK18" s="2">
        <f t="shared" si="10"/>
        <v>-58402.030590096954</v>
      </c>
      <c r="AL18" s="2">
        <v>-2296436.9102265853</v>
      </c>
      <c r="AM18" s="2"/>
      <c r="AN18" s="2">
        <v>1828167.6712916605</v>
      </c>
      <c r="AO18" s="2">
        <v>1950217.5352496959</v>
      </c>
      <c r="AP18" s="2">
        <v>4333905.4251116076</v>
      </c>
      <c r="AQ18" s="2">
        <f t="shared" si="11"/>
        <v>-122049.86395803536</v>
      </c>
      <c r="AR18" s="2">
        <v>-2505737.7538199471</v>
      </c>
      <c r="AS18" s="2"/>
      <c r="AT18" s="2">
        <v>1893067.9694995247</v>
      </c>
      <c r="AU18" s="2">
        <v>2097587.0907585295</v>
      </c>
      <c r="AV18" s="2">
        <v>4650550.7918311041</v>
      </c>
      <c r="AW18" s="2">
        <v>-204519.12125900481</v>
      </c>
      <c r="AX18" s="2">
        <v>-2757482.8223315794</v>
      </c>
      <c r="AY18" s="2"/>
      <c r="AZ18" s="2">
        <v>1952676.0196337667</v>
      </c>
      <c r="BA18" s="2">
        <v>2250502.539304845</v>
      </c>
      <c r="BB18" s="2">
        <v>4989192.763847013</v>
      </c>
      <c r="BC18" s="2">
        <v>-297826.51967107831</v>
      </c>
      <c r="BD18" s="2">
        <v>-3036516.7442132463</v>
      </c>
    </row>
    <row r="19" spans="1:56" x14ac:dyDescent="0.35">
      <c r="A19">
        <v>2026</v>
      </c>
      <c r="B19">
        <v>1</v>
      </c>
      <c r="C19" s="15">
        <v>2385173.1379347215</v>
      </c>
      <c r="D19" s="9">
        <v>46112</v>
      </c>
      <c r="E19" s="2">
        <v>2423141.7701640464</v>
      </c>
      <c r="F19" s="2">
        <v>3067359.7022255342</v>
      </c>
      <c r="G19" s="10">
        <f t="shared" si="0"/>
        <v>-37968.632229324896</v>
      </c>
      <c r="H19" s="10">
        <f t="shared" si="1"/>
        <v>-682186.5642908127</v>
      </c>
      <c r="I19" s="13">
        <f t="shared" si="12"/>
        <v>-0.25899537969448627</v>
      </c>
      <c r="J19" s="14">
        <v>2643123.2042198041</v>
      </c>
      <c r="K19" s="2">
        <v>2741442.8335130508</v>
      </c>
      <c r="L19" s="2">
        <v>3505657.6920273732</v>
      </c>
      <c r="M19" s="2">
        <f t="shared" si="2"/>
        <v>-98319.62929324666</v>
      </c>
      <c r="N19" s="2">
        <f t="shared" si="3"/>
        <v>-862534.48780756909</v>
      </c>
      <c r="P19" s="2">
        <v>2866011.5225820178</v>
      </c>
      <c r="Q19" s="2">
        <v>3207135.6146358694</v>
      </c>
      <c r="R19" s="2">
        <v>4140862.0460557742</v>
      </c>
      <c r="S19" s="2">
        <f t="shared" si="4"/>
        <v>-341124.09205385158</v>
      </c>
      <c r="T19" s="2">
        <f t="shared" si="5"/>
        <v>-1274850.5234737564</v>
      </c>
      <c r="V19" s="11">
        <v>3075181.034822301</v>
      </c>
      <c r="W19" s="2">
        <v>3661203.4832148845</v>
      </c>
      <c r="X19" s="2">
        <v>4779050.5996620515</v>
      </c>
      <c r="Y19" s="2">
        <f t="shared" si="6"/>
        <v>-586022.44839258352</v>
      </c>
      <c r="Z19" s="2">
        <f t="shared" si="7"/>
        <v>-1703869.5648397505</v>
      </c>
      <c r="AB19" s="2">
        <v>3273547.241158715</v>
      </c>
      <c r="AC19" s="2">
        <v>4144924.5238277307</v>
      </c>
      <c r="AD19" s="2">
        <v>5490703.5279220417</v>
      </c>
      <c r="AE19" s="2">
        <f t="shared" si="8"/>
        <v>-871377.28266901569</v>
      </c>
      <c r="AF19" s="2">
        <f t="shared" si="9"/>
        <v>-2217156.2867633267</v>
      </c>
      <c r="AH19" s="2">
        <v>2564235.1836769581</v>
      </c>
      <c r="AI19" s="2">
        <v>2606042.2062660628</v>
      </c>
      <c r="AJ19" s="2">
        <v>3333415.3480262528</v>
      </c>
      <c r="AK19" s="2">
        <f t="shared" si="10"/>
        <v>-41807.022589104716</v>
      </c>
      <c r="AL19" s="2">
        <v>-769180.16434929473</v>
      </c>
      <c r="AM19" s="2"/>
      <c r="AN19" s="2">
        <v>2712176.0356031624</v>
      </c>
      <c r="AO19" s="2">
        <v>2820051.2535715676</v>
      </c>
      <c r="AP19" s="2">
        <v>3576102.6606875476</v>
      </c>
      <c r="AQ19" s="2">
        <f t="shared" si="11"/>
        <v>-107875.21796840522</v>
      </c>
      <c r="AR19" s="2">
        <v>-863926.62508438528</v>
      </c>
      <c r="AS19" s="2"/>
      <c r="AT19" s="2">
        <v>2856579.8239768632</v>
      </c>
      <c r="AU19" s="2">
        <v>3050412.8691080669</v>
      </c>
      <c r="AV19" s="2">
        <v>3851178.3531372962</v>
      </c>
      <c r="AW19" s="2">
        <v>-193833.04513120372</v>
      </c>
      <c r="AX19" s="2">
        <v>-994598.52916043298</v>
      </c>
      <c r="AY19" s="2"/>
      <c r="AZ19" s="2">
        <v>2996429.9197371141</v>
      </c>
      <c r="BA19" s="2">
        <v>3287869.6815770189</v>
      </c>
      <c r="BB19" s="2">
        <v>4144850.0611021295</v>
      </c>
      <c r="BC19" s="2">
        <v>-291439.76183990482</v>
      </c>
      <c r="BD19" s="2">
        <v>-1148420.1413650154</v>
      </c>
    </row>
    <row r="20" spans="1:56" x14ac:dyDescent="0.35">
      <c r="A20">
        <v>2026</v>
      </c>
      <c r="B20">
        <v>2</v>
      </c>
      <c r="C20" s="15">
        <v>2121805.4732375629</v>
      </c>
      <c r="D20" s="9">
        <v>46203</v>
      </c>
      <c r="E20" s="2">
        <v>2213423.7631680821</v>
      </c>
      <c r="F20" s="2">
        <v>3022355.2653139569</v>
      </c>
      <c r="G20" s="10">
        <f t="shared" si="0"/>
        <v>-91618.289930519182</v>
      </c>
      <c r="H20" s="10">
        <f t="shared" si="1"/>
        <v>-900549.79207639396</v>
      </c>
      <c r="I20" s="13">
        <f t="shared" si="12"/>
        <v>1.4129994827614101</v>
      </c>
      <c r="J20" s="14">
        <v>2223154.9647794077</v>
      </c>
      <c r="K20" s="2">
        <v>2409787.3322243332</v>
      </c>
      <c r="L20" s="2">
        <v>3451820.4747903547</v>
      </c>
      <c r="M20" s="2">
        <f t="shared" si="2"/>
        <v>-186632.36744492548</v>
      </c>
      <c r="N20" s="2">
        <f t="shared" si="3"/>
        <v>-1228665.510010947</v>
      </c>
      <c r="P20" s="2">
        <v>2291378.5564007238</v>
      </c>
      <c r="Q20" s="2">
        <v>2835816.5742487176</v>
      </c>
      <c r="R20" s="2">
        <v>4074661.0677494435</v>
      </c>
      <c r="S20" s="2">
        <f t="shared" si="4"/>
        <v>-544438.01784799388</v>
      </c>
      <c r="T20" s="2">
        <f t="shared" si="5"/>
        <v>-1783282.5113487197</v>
      </c>
      <c r="V20" s="11">
        <v>2356274.4612104041</v>
      </c>
      <c r="W20" s="2">
        <v>3267449.0817487063</v>
      </c>
      <c r="X20" s="2">
        <v>4700778.0697547663</v>
      </c>
      <c r="Y20" s="2">
        <f t="shared" si="6"/>
        <v>-911174.62053830223</v>
      </c>
      <c r="Z20" s="2">
        <f t="shared" si="7"/>
        <v>-2344503.6085443622</v>
      </c>
      <c r="AB20" s="2">
        <v>2418660.0053971424</v>
      </c>
      <c r="AC20" s="2">
        <v>3763098.7321482254</v>
      </c>
      <c r="AD20" s="2">
        <v>5399258.1891224198</v>
      </c>
      <c r="AE20" s="2">
        <f t="shared" si="8"/>
        <v>-1344438.726751083</v>
      </c>
      <c r="AF20" s="2">
        <f t="shared" si="9"/>
        <v>-2980598.1837252774</v>
      </c>
      <c r="AH20" s="2">
        <v>2194798.6348999618</v>
      </c>
      <c r="AI20" s="2">
        <v>2297972.5468975371</v>
      </c>
      <c r="AJ20" s="2">
        <v>3283013.0271853665</v>
      </c>
      <c r="AK20" s="2">
        <f t="shared" si="10"/>
        <v>-103173.91199757531</v>
      </c>
      <c r="AL20" s="2">
        <v>-1088214.3922854047</v>
      </c>
      <c r="AM20" s="2"/>
      <c r="AN20" s="2">
        <v>2234955.5466812695</v>
      </c>
      <c r="AO20" s="2">
        <v>2438168.2043044725</v>
      </c>
      <c r="AP20" s="2">
        <v>3520872.2148188716</v>
      </c>
      <c r="AQ20" s="2">
        <f t="shared" si="11"/>
        <v>-203212.65762320301</v>
      </c>
      <c r="AR20" s="2">
        <v>-1285916.668137602</v>
      </c>
      <c r="AS20" s="2"/>
      <c r="AT20" s="2">
        <v>2272318.4402587432</v>
      </c>
      <c r="AU20" s="2">
        <v>2604755.5345290094</v>
      </c>
      <c r="AV20" s="2">
        <v>3790563.889142815</v>
      </c>
      <c r="AW20" s="2">
        <v>-332437.09427026613</v>
      </c>
      <c r="AX20" s="2">
        <v>-1518245.4488840718</v>
      </c>
      <c r="AY20" s="2"/>
      <c r="AZ20" s="2">
        <v>2308726.5313526262</v>
      </c>
      <c r="BA20" s="2">
        <v>2788546.8992871563</v>
      </c>
      <c r="BB20" s="2">
        <v>4078572.6997829527</v>
      </c>
      <c r="BC20" s="2">
        <v>-479820.36793453014</v>
      </c>
      <c r="BD20" s="2">
        <v>-1769846.1684303265</v>
      </c>
    </row>
    <row r="21" spans="1:56" x14ac:dyDescent="0.35">
      <c r="A21">
        <v>2026</v>
      </c>
      <c r="B21">
        <v>3</v>
      </c>
      <c r="C21" s="15">
        <v>2173861.3947247528</v>
      </c>
      <c r="D21" s="9">
        <v>46295</v>
      </c>
      <c r="E21" s="2">
        <v>2254702.1159110442</v>
      </c>
      <c r="F21" s="2">
        <v>2980881.8387556067</v>
      </c>
      <c r="G21" s="10">
        <f t="shared" si="0"/>
        <v>-80840.721186291426</v>
      </c>
      <c r="H21" s="10">
        <f t="shared" si="1"/>
        <v>-807020.44403085392</v>
      </c>
      <c r="I21" s="13">
        <f t="shared" si="12"/>
        <v>-0.11763555893044031</v>
      </c>
      <c r="J21" s="14">
        <v>2269851.8433992742</v>
      </c>
      <c r="K21" s="2">
        <v>2439310.0782380528</v>
      </c>
      <c r="L21" s="2">
        <v>3402320.0044298833</v>
      </c>
      <c r="M21" s="2">
        <f t="shared" si="2"/>
        <v>-169458.23483877862</v>
      </c>
      <c r="N21" s="2">
        <f t="shared" si="3"/>
        <v>-1132468.1610306092</v>
      </c>
      <c r="P21" s="2">
        <v>2333783.3572243592</v>
      </c>
      <c r="Q21" s="2">
        <v>2837587.7048404547</v>
      </c>
      <c r="R21" s="2">
        <v>4013808.5665517887</v>
      </c>
      <c r="S21" s="2">
        <f t="shared" si="4"/>
        <v>-503804.34761609556</v>
      </c>
      <c r="T21" s="2">
        <f t="shared" si="5"/>
        <v>-1680025.2093274295</v>
      </c>
      <c r="V21" s="11">
        <v>2392507.9442504453</v>
      </c>
      <c r="W21" s="2">
        <v>3237098.4102264154</v>
      </c>
      <c r="X21" s="2">
        <v>4628745.6737116026</v>
      </c>
      <c r="Y21" s="2">
        <f t="shared" si="6"/>
        <v>-844590.46597597003</v>
      </c>
      <c r="Z21" s="2">
        <f t="shared" si="7"/>
        <v>-2236237.7294611572</v>
      </c>
      <c r="AB21" s="2">
        <v>2445855.8292220919</v>
      </c>
      <c r="AC21" s="2">
        <v>3690015.985073593</v>
      </c>
      <c r="AD21" s="2">
        <v>5314944.6409423687</v>
      </c>
      <c r="AE21" s="2">
        <f t="shared" si="8"/>
        <v>-1244160.155851501</v>
      </c>
      <c r="AF21" s="2">
        <f t="shared" si="9"/>
        <v>-2869088.8117202767</v>
      </c>
      <c r="AH21" s="2">
        <v>2245297.5147578125</v>
      </c>
      <c r="AI21" s="2">
        <v>2336678.7997186016</v>
      </c>
      <c r="AJ21" s="2">
        <v>3236643.7436257629</v>
      </c>
      <c r="AK21" s="2">
        <f t="shared" si="10"/>
        <v>-91381.28496078914</v>
      </c>
      <c r="AL21" s="2">
        <v>-991346.22886795038</v>
      </c>
      <c r="AM21" s="2"/>
      <c r="AN21" s="2">
        <v>2285525.4127156283</v>
      </c>
      <c r="AO21" s="2">
        <v>2470700.5759421503</v>
      </c>
      <c r="AP21" s="2">
        <v>3470098.5893034227</v>
      </c>
      <c r="AQ21" s="2">
        <f t="shared" si="11"/>
        <v>-185175.16322652204</v>
      </c>
      <c r="AR21" s="2">
        <v>-1184573.1765877944</v>
      </c>
      <c r="AS21" s="2"/>
      <c r="AT21" s="2">
        <v>2322138.1294842521</v>
      </c>
      <c r="AU21" s="2">
        <v>2628360.9033025955</v>
      </c>
      <c r="AV21" s="2">
        <v>3734855.0287396014</v>
      </c>
      <c r="AW21" s="2">
        <v>-306222.77381834341</v>
      </c>
      <c r="AX21" s="2">
        <v>-1412716.8992553493</v>
      </c>
      <c r="AY21" s="2"/>
      <c r="AZ21" s="2">
        <v>2355401.3561075106</v>
      </c>
      <c r="BA21" s="2">
        <v>2799091.8577601309</v>
      </c>
      <c r="BB21" s="2">
        <v>4017649.725293085</v>
      </c>
      <c r="BC21" s="2">
        <v>-443690.50165262027</v>
      </c>
      <c r="BD21" s="2">
        <v>-1662248.3691855744</v>
      </c>
    </row>
    <row r="22" spans="1:56" x14ac:dyDescent="0.35">
      <c r="A22">
        <v>2026</v>
      </c>
      <c r="B22">
        <v>4</v>
      </c>
      <c r="C22" s="15">
        <v>1662982.6603996465</v>
      </c>
      <c r="D22" s="9">
        <v>46387</v>
      </c>
      <c r="E22" s="2">
        <v>1716062.1024220528</v>
      </c>
      <c r="F22" s="2">
        <v>2948936.6887968145</v>
      </c>
      <c r="G22" s="10">
        <f t="shared" si="0"/>
        <v>-53079.442022406263</v>
      </c>
      <c r="H22" s="10">
        <f t="shared" si="1"/>
        <v>-1285954.028397168</v>
      </c>
      <c r="I22" s="13">
        <f t="shared" si="12"/>
        <v>-0.3434071190422876</v>
      </c>
      <c r="J22" s="14">
        <v>1793989.6540292969</v>
      </c>
      <c r="K22" s="2">
        <v>1908985.3208197239</v>
      </c>
      <c r="L22" s="2">
        <v>3360180.0511644441</v>
      </c>
      <c r="M22" s="2">
        <f t="shared" si="2"/>
        <v>-114995.66679042694</v>
      </c>
      <c r="N22" s="2">
        <f t="shared" si="3"/>
        <v>-1566190.3971351471</v>
      </c>
      <c r="P22" s="2">
        <v>1894646.4432216529</v>
      </c>
      <c r="Q22" s="2">
        <v>2241076.8340784702</v>
      </c>
      <c r="R22" s="2">
        <v>3957610.3278676579</v>
      </c>
      <c r="S22" s="2">
        <f t="shared" si="4"/>
        <v>-346430.39085681736</v>
      </c>
      <c r="T22" s="2">
        <f t="shared" si="5"/>
        <v>-2062963.884646005</v>
      </c>
      <c r="V22" s="11">
        <v>1981168.6382315732</v>
      </c>
      <c r="W22" s="2">
        <v>2556869.0921307686</v>
      </c>
      <c r="X22" s="2">
        <v>4558996.5899242908</v>
      </c>
      <c r="Y22" s="2">
        <f t="shared" si="6"/>
        <v>-575700.45389919542</v>
      </c>
      <c r="Z22" s="2">
        <f t="shared" si="7"/>
        <v>-2577827.9516927176</v>
      </c>
      <c r="AB22" s="2">
        <v>2054341.2311850199</v>
      </c>
      <c r="AC22" s="2">
        <v>2890788.3660846711</v>
      </c>
      <c r="AD22" s="2">
        <v>5230556.4230932333</v>
      </c>
      <c r="AE22" s="2">
        <f t="shared" si="8"/>
        <v>-836447.13489965117</v>
      </c>
      <c r="AF22" s="2">
        <f t="shared" si="9"/>
        <v>-3176215.1919082133</v>
      </c>
      <c r="AH22" s="2">
        <v>1754768.197043594</v>
      </c>
      <c r="AI22" s="2">
        <v>1815199.1450861909</v>
      </c>
      <c r="AJ22" s="2">
        <v>3198450.7565495288</v>
      </c>
      <c r="AK22" s="2">
        <f t="shared" si="10"/>
        <v>-60430.948042596923</v>
      </c>
      <c r="AL22" s="2">
        <v>-1443682.5595059348</v>
      </c>
      <c r="AM22" s="2"/>
      <c r="AN22" s="2">
        <v>1822540.5769109116</v>
      </c>
      <c r="AO22" s="2">
        <v>1946025.4404264642</v>
      </c>
      <c r="AP22" s="2">
        <v>3426363.3938161442</v>
      </c>
      <c r="AQ22" s="2">
        <f t="shared" si="11"/>
        <v>-123484.8635155526</v>
      </c>
      <c r="AR22" s="2">
        <v>-1603822.8169052326</v>
      </c>
      <c r="AS22" s="2"/>
      <c r="AT22" s="2">
        <v>1886245.3541380642</v>
      </c>
      <c r="AU22" s="2">
        <v>2091536.1777669939</v>
      </c>
      <c r="AV22" s="2">
        <v>3684982.9428336327</v>
      </c>
      <c r="AW22" s="2">
        <v>-205290.82362892968</v>
      </c>
      <c r="AX22" s="2">
        <v>-1798737.5886955685</v>
      </c>
      <c r="AY22" s="2"/>
      <c r="AZ22" s="2">
        <v>1945186.5703719654</v>
      </c>
      <c r="BA22" s="2">
        <v>2242655.8169743656</v>
      </c>
      <c r="BB22" s="2">
        <v>3961365.2559470031</v>
      </c>
      <c r="BC22" s="2">
        <v>-297469.24660240021</v>
      </c>
      <c r="BD22" s="2">
        <v>-2016178.6855750377</v>
      </c>
    </row>
    <row r="23" spans="1:56" x14ac:dyDescent="0.35">
      <c r="A23">
        <v>2027</v>
      </c>
      <c r="B23">
        <v>1</v>
      </c>
      <c r="C23" s="15">
        <v>2369817.9490992022</v>
      </c>
      <c r="D23" s="9">
        <v>46477</v>
      </c>
      <c r="E23" s="2">
        <v>2407699.6178617557</v>
      </c>
      <c r="F23" s="2">
        <v>2954333.5746184206</v>
      </c>
      <c r="G23" s="10">
        <f t="shared" si="0"/>
        <v>-37881.668762553483</v>
      </c>
      <c r="H23" s="10">
        <f t="shared" si="1"/>
        <v>-584515.62551921839</v>
      </c>
      <c r="I23" s="13">
        <f t="shared" si="12"/>
        <v>-0.28632127017155518</v>
      </c>
      <c r="J23" s="14">
        <v>2631093.6598892901</v>
      </c>
      <c r="K23" s="2">
        <v>2729318.7724036276</v>
      </c>
      <c r="L23" s="2">
        <v>3361215.1692195744</v>
      </c>
      <c r="M23" s="2">
        <f t="shared" si="2"/>
        <v>-98225.112514337525</v>
      </c>
      <c r="N23" s="2">
        <f t="shared" si="3"/>
        <v>-730121.50933028432</v>
      </c>
      <c r="P23" s="2">
        <v>2851073.2992239962</v>
      </c>
      <c r="Q23" s="2">
        <v>3191305.2477584751</v>
      </c>
      <c r="R23" s="2">
        <v>3952086.8204947067</v>
      </c>
      <c r="S23" s="2">
        <f t="shared" si="4"/>
        <v>-340231.9485344789</v>
      </c>
      <c r="T23" s="2">
        <f t="shared" si="5"/>
        <v>-1101013.5212707105</v>
      </c>
      <c r="V23" s="11">
        <v>3057949.9877538029</v>
      </c>
      <c r="W23" s="2">
        <v>3642026.6427643788</v>
      </c>
      <c r="X23" s="2">
        <v>4546694.0424786173</v>
      </c>
      <c r="Y23" s="2">
        <f t="shared" si="6"/>
        <v>-584076.65501057589</v>
      </c>
      <c r="Z23" s="2">
        <f t="shared" si="7"/>
        <v>-1488744.0547248144</v>
      </c>
      <c r="AB23" s="2">
        <v>3254480.4452072736</v>
      </c>
      <c r="AC23" s="2">
        <v>4122602.394780355</v>
      </c>
      <c r="AD23" s="2">
        <v>5210538.7860258073</v>
      </c>
      <c r="AE23" s="2">
        <f t="shared" si="8"/>
        <v>-868121.94957308145</v>
      </c>
      <c r="AF23" s="2">
        <f t="shared" si="9"/>
        <v>-1956058.3408185337</v>
      </c>
      <c r="AH23" s="2">
        <v>2551990.047449308</v>
      </c>
      <c r="AI23" s="2">
        <v>2593883.6805217154</v>
      </c>
      <c r="AJ23" s="2">
        <v>3201219.6494442811</v>
      </c>
      <c r="AK23" s="2">
        <f t="shared" si="10"/>
        <v>-41893.633072407451</v>
      </c>
      <c r="AL23" s="2">
        <v>-649229.60199497314</v>
      </c>
      <c r="AM23" s="2"/>
      <c r="AN23" s="2">
        <v>2696757.011571805</v>
      </c>
      <c r="AO23" s="2">
        <v>2804573.7936296407</v>
      </c>
      <c r="AP23" s="2">
        <v>3426683.119782242</v>
      </c>
      <c r="AQ23" s="2">
        <f t="shared" si="11"/>
        <v>-107816.78205783572</v>
      </c>
      <c r="AR23" s="2">
        <v>-729926.108210437</v>
      </c>
      <c r="AS23" s="2"/>
      <c r="AT23" s="2">
        <v>2838184.4136586338</v>
      </c>
      <c r="AU23" s="2">
        <v>3031689.5815471113</v>
      </c>
      <c r="AV23" s="2">
        <v>3682478.640291105</v>
      </c>
      <c r="AW23" s="2">
        <v>-193505.16788847744</v>
      </c>
      <c r="AX23" s="2">
        <v>-844294.2266324712</v>
      </c>
      <c r="AY23" s="2"/>
      <c r="AZ23" s="2">
        <v>2975671.5471351799</v>
      </c>
      <c r="BA23" s="2">
        <v>3266442.1003122083</v>
      </c>
      <c r="BB23" s="2">
        <v>3955799.8993984363</v>
      </c>
      <c r="BC23" s="2">
        <v>-290770.55317702843</v>
      </c>
      <c r="BD23" s="2">
        <v>-980128.35226325644</v>
      </c>
    </row>
    <row r="24" spans="1:56" x14ac:dyDescent="0.35">
      <c r="A24">
        <v>2027</v>
      </c>
      <c r="B24">
        <v>2</v>
      </c>
      <c r="C24" s="15">
        <v>2114144.5245333603</v>
      </c>
      <c r="D24" s="9">
        <v>46568</v>
      </c>
      <c r="E24" s="2">
        <v>2205216.2806543675</v>
      </c>
      <c r="F24" s="2">
        <v>2917170.6683842349</v>
      </c>
      <c r="G24" s="10">
        <f t="shared" si="0"/>
        <v>-91071.75612100726</v>
      </c>
      <c r="H24" s="10">
        <f t="shared" si="1"/>
        <v>-803026.14385087462</v>
      </c>
      <c r="I24" s="13">
        <f t="shared" si="12"/>
        <v>1.4041115160964837</v>
      </c>
      <c r="J24" s="14">
        <v>2221884.6631447412</v>
      </c>
      <c r="K24" s="2">
        <v>2408071.5554152075</v>
      </c>
      <c r="L24" s="2">
        <v>3316563.1492798012</v>
      </c>
      <c r="M24" s="2">
        <f t="shared" si="2"/>
        <v>-186186.89227046631</v>
      </c>
      <c r="N24" s="2">
        <f t="shared" si="3"/>
        <v>-1094678.48613506</v>
      </c>
      <c r="P24" s="2">
        <v>2289018.3052249765</v>
      </c>
      <c r="Q24" s="2">
        <v>2832098.4878374808</v>
      </c>
      <c r="R24" s="2">
        <v>3896949.2953822352</v>
      </c>
      <c r="S24" s="2">
        <f t="shared" si="4"/>
        <v>-543080.18261250434</v>
      </c>
      <c r="T24" s="2">
        <f t="shared" si="5"/>
        <v>-1607930.9901572587</v>
      </c>
      <c r="V24" s="11">
        <v>2352836.091578058</v>
      </c>
      <c r="W24" s="2">
        <v>3261439.5185046359</v>
      </c>
      <c r="X24" s="2">
        <v>4481316.6448096987</v>
      </c>
      <c r="Y24" s="2">
        <f t="shared" si="6"/>
        <v>-908603.42692657793</v>
      </c>
      <c r="Z24" s="2">
        <f t="shared" si="7"/>
        <v>-2128480.5532316407</v>
      </c>
      <c r="AB24" s="2">
        <v>2414258.0182709713</v>
      </c>
      <c r="AC24" s="2">
        <v>3754523.0102212103</v>
      </c>
      <c r="AD24" s="2">
        <v>5133985.4662514068</v>
      </c>
      <c r="AE24" s="2">
        <f t="shared" si="8"/>
        <v>-1340264.9919502391</v>
      </c>
      <c r="AF24" s="2">
        <f t="shared" si="9"/>
        <v>-2719727.4479804356</v>
      </c>
      <c r="AH24" s="2">
        <v>2193987.3970690295</v>
      </c>
      <c r="AI24" s="2">
        <v>2296897.5684848265</v>
      </c>
      <c r="AJ24" s="2">
        <v>3159480.2077642661</v>
      </c>
      <c r="AK24" s="2">
        <f t="shared" si="10"/>
        <v>-102910.17141579697</v>
      </c>
      <c r="AL24" s="2">
        <v>-965492.81069523655</v>
      </c>
      <c r="AM24" s="2"/>
      <c r="AN24" s="2">
        <v>2233353.2420426449</v>
      </c>
      <c r="AO24" s="2">
        <v>2436073.9365209448</v>
      </c>
      <c r="AP24" s="2">
        <v>3380849.6604925478</v>
      </c>
      <c r="AQ24" s="2">
        <f t="shared" si="11"/>
        <v>-202720.69447829993</v>
      </c>
      <c r="AR24" s="2">
        <v>-1147496.4184499029</v>
      </c>
      <c r="AS24" s="2"/>
      <c r="AT24" s="2">
        <v>2269911.8796299202</v>
      </c>
      <c r="AU24" s="2">
        <v>2601508.4051790261</v>
      </c>
      <c r="AV24" s="2">
        <v>3632079.2674020557</v>
      </c>
      <c r="AW24" s="2">
        <v>-331596.52554910583</v>
      </c>
      <c r="AX24" s="2">
        <v>-1362167.3877721354</v>
      </c>
      <c r="AY24" s="2"/>
      <c r="AZ24" s="2">
        <v>2305520.4119812897</v>
      </c>
      <c r="BA24" s="2">
        <v>2784039.5755332042</v>
      </c>
      <c r="BB24" s="2">
        <v>3900597.5874126209</v>
      </c>
      <c r="BC24" s="2">
        <v>-478519.16355191451</v>
      </c>
      <c r="BD24" s="2">
        <v>-1595077.1754313312</v>
      </c>
    </row>
    <row r="25" spans="1:56" x14ac:dyDescent="0.35">
      <c r="A25">
        <v>2027</v>
      </c>
      <c r="B25">
        <v>3</v>
      </c>
      <c r="C25" s="15">
        <v>2166378.9108334393</v>
      </c>
      <c r="D25" s="9">
        <v>46660</v>
      </c>
      <c r="E25" s="2">
        <v>2246713.8237213306</v>
      </c>
      <c r="F25" s="2">
        <v>2883864.342004322</v>
      </c>
      <c r="G25" s="10">
        <f t="shared" si="0"/>
        <v>-80334.912887891289</v>
      </c>
      <c r="H25" s="10">
        <f t="shared" si="1"/>
        <v>-717485.43117088266</v>
      </c>
      <c r="I25" s="13">
        <f t="shared" si="12"/>
        <v>-0.11789432520495047</v>
      </c>
      <c r="J25" s="14">
        <v>2268074.8423423162</v>
      </c>
      <c r="K25" s="2">
        <v>2437028.6970565408</v>
      </c>
      <c r="L25" s="2">
        <v>3276448.4674518397</v>
      </c>
      <c r="M25" s="2">
        <f t="shared" si="2"/>
        <v>-168953.85471422458</v>
      </c>
      <c r="N25" s="2">
        <f t="shared" si="3"/>
        <v>-1008373.6251095235</v>
      </c>
      <c r="P25" s="2">
        <v>2330882.7026726548</v>
      </c>
      <c r="Q25" s="2">
        <v>2833160.9672035733</v>
      </c>
      <c r="R25" s="2">
        <v>3847203.9085426573</v>
      </c>
      <c r="S25" s="2">
        <f t="shared" si="4"/>
        <v>-502278.26453091856</v>
      </c>
      <c r="T25" s="2">
        <f t="shared" si="5"/>
        <v>-1516321.2058700025</v>
      </c>
      <c r="V25" s="11">
        <v>2388702.5478915893</v>
      </c>
      <c r="W25" s="2">
        <v>3230518.5622871383</v>
      </c>
      <c r="X25" s="2">
        <v>4422084.7367656259</v>
      </c>
      <c r="Y25" s="2">
        <f t="shared" si="6"/>
        <v>-841816.01439554896</v>
      </c>
      <c r="Z25" s="2">
        <f t="shared" si="7"/>
        <v>-2033382.1888740365</v>
      </c>
      <c r="AB25" s="2">
        <v>2441059.9438882144</v>
      </c>
      <c r="AC25" s="2">
        <v>3680720.8146221437</v>
      </c>
      <c r="AD25" s="2">
        <v>5064330.9874538081</v>
      </c>
      <c r="AE25" s="2">
        <f t="shared" si="8"/>
        <v>-1239660.8707339293</v>
      </c>
      <c r="AF25" s="2">
        <f t="shared" si="9"/>
        <v>-2623271.0435655937</v>
      </c>
      <c r="AH25" s="2">
        <v>2243731.6594754998</v>
      </c>
      <c r="AI25" s="2">
        <v>2334805.615903947</v>
      </c>
      <c r="AJ25" s="2">
        <v>3122021.5031746542</v>
      </c>
      <c r="AK25" s="2">
        <f t="shared" si="10"/>
        <v>-91073.956428447273</v>
      </c>
      <c r="AL25" s="2">
        <v>-878289.84369915444</v>
      </c>
      <c r="AM25" s="2"/>
      <c r="AN25" s="2">
        <v>2283224.6318757636</v>
      </c>
      <c r="AO25" s="2">
        <v>2467826.8712023571</v>
      </c>
      <c r="AP25" s="2">
        <v>3339654.9881237932</v>
      </c>
      <c r="AQ25" s="2">
        <f t="shared" si="11"/>
        <v>-184602.23932659347</v>
      </c>
      <c r="AR25" s="2">
        <v>-1056430.3562480295</v>
      </c>
      <c r="AS25" s="2"/>
      <c r="AT25" s="2">
        <v>2319090.6170382155</v>
      </c>
      <c r="AU25" s="2">
        <v>2624334.1341566779</v>
      </c>
      <c r="AV25" s="2">
        <v>3586697.8536401186</v>
      </c>
      <c r="AW25" s="2">
        <v>-305243.51711846236</v>
      </c>
      <c r="AX25" s="2">
        <v>-1267607.2366019031</v>
      </c>
      <c r="AY25" s="2"/>
      <c r="AZ25" s="2">
        <v>2351702.6272864388</v>
      </c>
      <c r="BA25" s="2">
        <v>2793897.9531981228</v>
      </c>
      <c r="BB25" s="2">
        <v>3850792.4067600891</v>
      </c>
      <c r="BC25" s="2">
        <v>-442195.32591168396</v>
      </c>
      <c r="BD25" s="2">
        <v>-1499089.7794736503</v>
      </c>
    </row>
    <row r="26" spans="1:56" x14ac:dyDescent="0.35">
      <c r="A26">
        <v>2027</v>
      </c>
      <c r="B26">
        <v>4</v>
      </c>
      <c r="C26" s="15">
        <v>1660041.7699494588</v>
      </c>
      <c r="D26" s="9">
        <v>46752</v>
      </c>
      <c r="E26" s="2">
        <v>1698171.1545333781</v>
      </c>
      <c r="F26" s="2">
        <v>2876902.9516669903</v>
      </c>
      <c r="G26" s="10">
        <f t="shared" si="0"/>
        <v>-38129.384583919309</v>
      </c>
      <c r="H26" s="10">
        <f t="shared" si="1"/>
        <v>-1216861.1817175315</v>
      </c>
      <c r="I26" s="13">
        <f t="shared" si="12"/>
        <v>-0.52536969029729952</v>
      </c>
      <c r="J26" s="14">
        <v>1791959.6752888979</v>
      </c>
      <c r="K26" s="2">
        <v>1890770.7648936952</v>
      </c>
      <c r="L26" s="2">
        <v>3266457.6914700801</v>
      </c>
      <c r="M26" s="2">
        <f t="shared" si="2"/>
        <v>-98811.089604797307</v>
      </c>
      <c r="N26" s="2">
        <f t="shared" si="3"/>
        <v>-1474498.0161811821</v>
      </c>
      <c r="P26" s="2">
        <v>1891014.406022344</v>
      </c>
      <c r="Q26" s="2">
        <v>2219406.3267558143</v>
      </c>
      <c r="R26" s="2">
        <v>3832341.840340558</v>
      </c>
      <c r="S26" s="2">
        <f t="shared" si="4"/>
        <v>-328391.92073347024</v>
      </c>
      <c r="T26" s="2">
        <f t="shared" si="5"/>
        <v>-1941327.434318214</v>
      </c>
      <c r="V26" s="11">
        <v>1976549.4254249455</v>
      </c>
      <c r="W26" s="2">
        <v>2532039.4069190561</v>
      </c>
      <c r="X26" s="2">
        <v>4401943.9199571321</v>
      </c>
      <c r="Y26" s="2">
        <f t="shared" si="6"/>
        <v>-555489.98149411054</v>
      </c>
      <c r="Z26" s="2">
        <f t="shared" si="7"/>
        <v>-2425394.4945321865</v>
      </c>
      <c r="AB26" s="2">
        <v>2048859.2312307451</v>
      </c>
      <c r="AC26" s="2">
        <v>2864487.5942136617</v>
      </c>
      <c r="AD26" s="2">
        <v>5037987.7521341387</v>
      </c>
      <c r="AE26" s="2">
        <f t="shared" si="8"/>
        <v>-815628.36298291665</v>
      </c>
      <c r="AF26" s="2">
        <f t="shared" si="9"/>
        <v>-2989128.5209033936</v>
      </c>
      <c r="AH26" s="2">
        <v>1753225.2553331347</v>
      </c>
      <c r="AI26" s="2">
        <v>1797800.9358644923</v>
      </c>
      <c r="AJ26" s="2">
        <v>3113261.0946887676</v>
      </c>
      <c r="AK26" s="2">
        <f t="shared" si="10"/>
        <v>-44575.680531357648</v>
      </c>
      <c r="AL26" s="2">
        <v>-1360035.8393556329</v>
      </c>
      <c r="AM26" s="2"/>
      <c r="AN26" s="2">
        <v>1818916.7193124606</v>
      </c>
      <c r="AO26" s="2">
        <v>1926142.0980780884</v>
      </c>
      <c r="AP26" s="2">
        <v>3329148.241438665</v>
      </c>
      <c r="AQ26" s="2">
        <f t="shared" si="11"/>
        <v>-107225.37876562774</v>
      </c>
      <c r="AR26" s="2">
        <v>-1510231.5221262043</v>
      </c>
      <c r="AS26" s="2"/>
      <c r="AT26" s="2">
        <v>1881153.6162830773</v>
      </c>
      <c r="AU26" s="2">
        <v>2069509.4257658543</v>
      </c>
      <c r="AV26" s="2">
        <v>3574114.4177591586</v>
      </c>
      <c r="AW26" s="2">
        <v>-188355.80948277703</v>
      </c>
      <c r="AX26" s="2">
        <v>-1692960.8014760814</v>
      </c>
      <c r="AY26" s="2"/>
      <c r="AZ26" s="2">
        <v>1938782.9277022213</v>
      </c>
      <c r="BA26" s="2">
        <v>2218545.2456598962</v>
      </c>
      <c r="BB26" s="2">
        <v>3835898.3922577864</v>
      </c>
      <c r="BC26" s="2">
        <v>-279762.31795767485</v>
      </c>
      <c r="BD26" s="2">
        <v>-1897115.464555565</v>
      </c>
    </row>
    <row r="27" spans="1:56" x14ac:dyDescent="0.35">
      <c r="A27">
        <v>2028</v>
      </c>
      <c r="B27">
        <v>1</v>
      </c>
      <c r="C27" s="15">
        <v>2386039.1440485944</v>
      </c>
      <c r="D27" s="9">
        <v>46843</v>
      </c>
      <c r="E27" s="2">
        <v>2424272.8459266298</v>
      </c>
      <c r="F27" s="2">
        <v>2876402.3532169685</v>
      </c>
      <c r="G27" s="10">
        <f t="shared" si="0"/>
        <v>-38233.701878035441</v>
      </c>
      <c r="H27" s="10">
        <f t="shared" si="1"/>
        <v>-490363.20916837407</v>
      </c>
      <c r="I27" s="13">
        <f t="shared" si="12"/>
        <v>2.7358766802685341E-3</v>
      </c>
      <c r="J27" s="14">
        <v>2654758.7282373654</v>
      </c>
      <c r="K27" s="2">
        <v>2754059.010586584</v>
      </c>
      <c r="L27" s="2">
        <v>3264775.7914684694</v>
      </c>
      <c r="M27" s="2">
        <f t="shared" si="2"/>
        <v>-99300.282349218614</v>
      </c>
      <c r="N27" s="2">
        <f t="shared" si="3"/>
        <v>-610017.06323110405</v>
      </c>
      <c r="P27" s="2">
        <v>2875645.7027165089</v>
      </c>
      <c r="Q27" s="2">
        <v>3219226.9301194795</v>
      </c>
      <c r="R27" s="2">
        <v>3828094.8956022356</v>
      </c>
      <c r="S27" s="2">
        <f t="shared" si="4"/>
        <v>-343581.22740297066</v>
      </c>
      <c r="T27" s="2">
        <f t="shared" si="5"/>
        <v>-952449.19288572669</v>
      </c>
      <c r="V27" s="11">
        <v>3083616.4440868837</v>
      </c>
      <c r="W27" s="2">
        <v>3673108.4532186617</v>
      </c>
      <c r="X27" s="2">
        <v>4394437.5524203461</v>
      </c>
      <c r="Y27" s="2">
        <f t="shared" si="6"/>
        <v>-589492.00913177803</v>
      </c>
      <c r="Z27" s="2">
        <f t="shared" si="7"/>
        <v>-1310821.1083334624</v>
      </c>
      <c r="AB27" s="2">
        <v>3281160.1398204737</v>
      </c>
      <c r="AC27" s="2">
        <v>4156811.6763046742</v>
      </c>
      <c r="AD27" s="2">
        <v>5026285.9122498566</v>
      </c>
      <c r="AE27" s="2">
        <f t="shared" si="8"/>
        <v>-875651.53648420051</v>
      </c>
      <c r="AF27" s="2">
        <f t="shared" si="9"/>
        <v>-1745125.7724293829</v>
      </c>
      <c r="AH27" s="2">
        <v>2574986.0074706203</v>
      </c>
      <c r="AI27" s="2">
        <v>2617432.6279843994</v>
      </c>
      <c r="AJ27" s="2">
        <v>3112114.1432617158</v>
      </c>
      <c r="AK27" s="2">
        <f t="shared" si="10"/>
        <v>-42446.620513779111</v>
      </c>
      <c r="AL27" s="2">
        <v>-537128.13579109544</v>
      </c>
      <c r="AM27" s="2"/>
      <c r="AN27" s="2">
        <v>2719940.411630027</v>
      </c>
      <c r="AO27" s="2">
        <v>2829025.4322410761</v>
      </c>
      <c r="AP27" s="2">
        <v>3327224.9127651351</v>
      </c>
      <c r="AQ27" s="2">
        <f t="shared" si="11"/>
        <v>-109085.02061104914</v>
      </c>
      <c r="AR27" s="2">
        <v>-607284.50113510806</v>
      </c>
      <c r="AS27" s="2"/>
      <c r="AT27" s="2">
        <v>2861162.6334563191</v>
      </c>
      <c r="AU27" s="2">
        <v>3056798.0597184738</v>
      </c>
      <c r="AV27" s="2">
        <v>3571138.5328698484</v>
      </c>
      <c r="AW27" s="2">
        <v>-195635.42626215471</v>
      </c>
      <c r="AX27" s="2">
        <v>-709975.89941352932</v>
      </c>
      <c r="AY27" s="2"/>
      <c r="AZ27" s="2">
        <v>2998052.0212193974</v>
      </c>
      <c r="BA27" s="2">
        <v>3291821.415417254</v>
      </c>
      <c r="BB27" s="2">
        <v>3831632.925655283</v>
      </c>
      <c r="BC27" s="2">
        <v>-293769.39419785654</v>
      </c>
      <c r="BD27" s="2">
        <v>-833580.9044358856</v>
      </c>
    </row>
    <row r="28" spans="1:56" x14ac:dyDescent="0.35">
      <c r="A28">
        <v>2028</v>
      </c>
      <c r="B28">
        <v>2</v>
      </c>
      <c r="C28" s="15">
        <v>2106164.6032645316</v>
      </c>
      <c r="D28" s="9">
        <v>46934</v>
      </c>
      <c r="E28" s="2">
        <v>2196703.2765643187</v>
      </c>
      <c r="F28" s="2">
        <v>2839054.6473198887</v>
      </c>
      <c r="G28" s="10">
        <f t="shared" si="0"/>
        <v>-90538.6732997871</v>
      </c>
      <c r="H28" s="10">
        <f t="shared" si="1"/>
        <v>-732890.04405535711</v>
      </c>
      <c r="I28" s="13">
        <f t="shared" si="12"/>
        <v>1.3680331449097767</v>
      </c>
      <c r="J28" s="14">
        <v>2220373.8380106422</v>
      </c>
      <c r="K28" s="2">
        <v>2406177.2833706513</v>
      </c>
      <c r="L28" s="2">
        <v>3219914.0080263345</v>
      </c>
      <c r="M28" s="2">
        <f t="shared" si="2"/>
        <v>-185803.44536000909</v>
      </c>
      <c r="N28" s="2">
        <f t="shared" si="3"/>
        <v>-999540.17001569225</v>
      </c>
      <c r="P28" s="2">
        <v>2286147.3535893345</v>
      </c>
      <c r="Q28" s="2">
        <v>2828037.4405363244</v>
      </c>
      <c r="R28" s="2">
        <v>3772716.2609203323</v>
      </c>
      <c r="S28" s="2">
        <f t="shared" si="4"/>
        <v>-541890.08694698988</v>
      </c>
      <c r="T28" s="2">
        <f t="shared" si="5"/>
        <v>-1486568.9073309978</v>
      </c>
      <c r="V28" s="11">
        <v>2348755.1911056302</v>
      </c>
      <c r="W28" s="2">
        <v>3255145.9047502959</v>
      </c>
      <c r="X28" s="2">
        <v>4328791.4193074573</v>
      </c>
      <c r="Y28" s="2">
        <f t="shared" si="6"/>
        <v>-906390.71364466567</v>
      </c>
      <c r="Z28" s="2">
        <f t="shared" si="7"/>
        <v>-1980036.228201827</v>
      </c>
      <c r="AB28" s="2">
        <v>2408980.9122142741</v>
      </c>
      <c r="AC28" s="2">
        <v>3745628.4501266447</v>
      </c>
      <c r="AD28" s="2">
        <v>4949436.231156949</v>
      </c>
      <c r="AE28" s="2">
        <f t="shared" si="8"/>
        <v>-1336647.5379123706</v>
      </c>
      <c r="AF28" s="2">
        <f t="shared" si="9"/>
        <v>-2540455.3189426749</v>
      </c>
      <c r="AH28" s="2">
        <v>2192732.0929794284</v>
      </c>
      <c r="AI28" s="2">
        <v>2295392.9472688278</v>
      </c>
      <c r="AJ28" s="2">
        <v>3070174.3478024453</v>
      </c>
      <c r="AK28" s="2">
        <f t="shared" si="10"/>
        <v>-102660.85428939946</v>
      </c>
      <c r="AL28" s="2">
        <v>-877442.25482301693</v>
      </c>
      <c r="AM28" s="2"/>
      <c r="AN28" s="2">
        <v>2231261.0725771585</v>
      </c>
      <c r="AO28" s="2">
        <v>2433509.8252839325</v>
      </c>
      <c r="AP28" s="2">
        <v>3281177.9697805471</v>
      </c>
      <c r="AQ28" s="2">
        <f t="shared" si="11"/>
        <v>-202248.75270677404</v>
      </c>
      <c r="AR28" s="2">
        <v>-1049916.8972033886</v>
      </c>
      <c r="AS28" s="2"/>
      <c r="AT28" s="2">
        <v>2267069.7282051295</v>
      </c>
      <c r="AU28" s="2">
        <v>2597855.6140108388</v>
      </c>
      <c r="AV28" s="2">
        <v>3520511.7717992817</v>
      </c>
      <c r="AW28" s="2">
        <v>-330785.88580570929</v>
      </c>
      <c r="AX28" s="2">
        <v>-1253442.0435941522</v>
      </c>
      <c r="AY28" s="2"/>
      <c r="AZ28" s="2">
        <v>2302012.042891195</v>
      </c>
      <c r="BA28" s="2">
        <v>2779276.1441291431</v>
      </c>
      <c r="BB28" s="2">
        <v>3776189.3210013267</v>
      </c>
      <c r="BC28" s="2">
        <v>-477264.10123794805</v>
      </c>
      <c r="BD28" s="2">
        <v>-1474177.2781101316</v>
      </c>
    </row>
    <row r="29" spans="1:56" x14ac:dyDescent="0.35">
      <c r="A29">
        <v>2028</v>
      </c>
      <c r="B29">
        <v>3</v>
      </c>
      <c r="C29" s="15">
        <v>2156816.1062769541</v>
      </c>
      <c r="D29" s="9">
        <v>47026</v>
      </c>
      <c r="E29" s="2">
        <v>2236711.271900476</v>
      </c>
      <c r="F29" s="2">
        <v>2805627.0239316458</v>
      </c>
      <c r="G29" s="10">
        <f t="shared" si="0"/>
        <v>-79895.165623521898</v>
      </c>
      <c r="H29" s="10">
        <f t="shared" si="1"/>
        <v>-648810.91765469173</v>
      </c>
      <c r="I29" s="13">
        <f t="shared" si="12"/>
        <v>-0.11755758382965209</v>
      </c>
      <c r="J29" s="14">
        <v>2264378.3217472173</v>
      </c>
      <c r="K29" s="2">
        <v>2432969.7201515185</v>
      </c>
      <c r="L29" s="2">
        <v>3179659.3063104413</v>
      </c>
      <c r="M29" s="2">
        <f t="shared" si="2"/>
        <v>-168591.39840430114</v>
      </c>
      <c r="N29" s="2">
        <f t="shared" si="3"/>
        <v>-915280.98456322402</v>
      </c>
      <c r="P29" s="2">
        <v>2326189.1942074066</v>
      </c>
      <c r="Q29" s="2">
        <v>2827397.9308454976</v>
      </c>
      <c r="R29" s="2">
        <v>3722807.3446425213</v>
      </c>
      <c r="S29" s="2">
        <f t="shared" si="4"/>
        <v>-501208.73663809104</v>
      </c>
      <c r="T29" s="2">
        <f t="shared" si="5"/>
        <v>-1396618.1504351147</v>
      </c>
      <c r="V29" s="11">
        <v>2383229.8804953052</v>
      </c>
      <c r="W29" s="2">
        <v>3223259.379485039</v>
      </c>
      <c r="X29" s="2">
        <v>4269375.262419248</v>
      </c>
      <c r="Y29" s="2">
        <f t="shared" si="6"/>
        <v>-840029.49898973387</v>
      </c>
      <c r="Z29" s="2">
        <f t="shared" si="7"/>
        <v>-1886145.3819239428</v>
      </c>
      <c r="AB29" s="2">
        <v>2434709.340073091</v>
      </c>
      <c r="AC29" s="2">
        <v>3671635.6529858853</v>
      </c>
      <c r="AD29" s="2">
        <v>4879576.7841093093</v>
      </c>
      <c r="AE29" s="2">
        <f t="shared" si="8"/>
        <v>-1236926.3129127943</v>
      </c>
      <c r="AF29" s="2">
        <f t="shared" si="9"/>
        <v>-2444867.4440362183</v>
      </c>
      <c r="AH29" s="2">
        <v>2240175.8179027485</v>
      </c>
      <c r="AI29" s="2">
        <v>2331030.6920723906</v>
      </c>
      <c r="AJ29" s="2">
        <v>3032582.6806172319</v>
      </c>
      <c r="AK29" s="2">
        <f t="shared" si="10"/>
        <v>-90854.874169642106</v>
      </c>
      <c r="AL29" s="2">
        <v>-792406.8627144834</v>
      </c>
      <c r="AM29" s="2"/>
      <c r="AN29" s="2">
        <v>2279038.2699571494</v>
      </c>
      <c r="AO29" s="2">
        <v>2463221.0042557446</v>
      </c>
      <c r="AP29" s="2">
        <v>3239840.4873794615</v>
      </c>
      <c r="AQ29" s="2">
        <f t="shared" si="11"/>
        <v>-184182.73429859523</v>
      </c>
      <c r="AR29" s="2">
        <v>-960802.21742231213</v>
      </c>
      <c r="AS29" s="2"/>
      <c r="AT29" s="2">
        <v>2313992.8514170442</v>
      </c>
      <c r="AU29" s="2">
        <v>2618498.835947243</v>
      </c>
      <c r="AV29" s="2">
        <v>3474977.1196400477</v>
      </c>
      <c r="AW29" s="2">
        <v>-304505.98453019885</v>
      </c>
      <c r="AX29" s="2">
        <v>-1160984.2682230035</v>
      </c>
      <c r="AY29" s="2"/>
      <c r="AZ29" s="2">
        <v>2345916.4520448847</v>
      </c>
      <c r="BA29" s="2">
        <v>2787006.1187777217</v>
      </c>
      <c r="BB29" s="2">
        <v>3726220.473586529</v>
      </c>
      <c r="BC29" s="2">
        <v>-441089.66673283698</v>
      </c>
      <c r="BD29" s="2">
        <v>-1380304.0215416444</v>
      </c>
    </row>
    <row r="30" spans="1:56" x14ac:dyDescent="0.35">
      <c r="A30">
        <v>2028</v>
      </c>
      <c r="B30">
        <v>4</v>
      </c>
      <c r="C30" s="15">
        <v>1642142.9658661396</v>
      </c>
      <c r="D30" s="9">
        <v>47118</v>
      </c>
      <c r="E30" s="2">
        <v>1682361.8822165707</v>
      </c>
      <c r="F30" s="2">
        <v>2800449.5565107884</v>
      </c>
      <c r="G30" s="10">
        <f t="shared" si="0"/>
        <v>-40218.916350431042</v>
      </c>
      <c r="H30" s="10">
        <f t="shared" si="1"/>
        <v>-1158306.5906446488</v>
      </c>
      <c r="I30" s="13">
        <f t="shared" si="12"/>
        <v>-0.49660388039060266</v>
      </c>
      <c r="J30" s="14">
        <v>1773825.5173448725</v>
      </c>
      <c r="K30" s="2">
        <v>1875007.4417602886</v>
      </c>
      <c r="L30" s="2">
        <v>3171473.0700404351</v>
      </c>
      <c r="M30" s="2">
        <f t="shared" si="2"/>
        <v>-101181.92441541608</v>
      </c>
      <c r="N30" s="2">
        <f t="shared" si="3"/>
        <v>-1397647.5526955626</v>
      </c>
      <c r="P30" s="2">
        <v>1870425.1594553301</v>
      </c>
      <c r="Q30" s="2">
        <v>2199695.4794045333</v>
      </c>
      <c r="R30" s="2">
        <v>3709776.1332869027</v>
      </c>
      <c r="S30" s="2">
        <f t="shared" si="4"/>
        <v>-329270.31994920317</v>
      </c>
      <c r="T30" s="2">
        <f t="shared" si="5"/>
        <v>-1839350.9738315726</v>
      </c>
      <c r="V30" s="11">
        <v>1953990.6970488792</v>
      </c>
      <c r="W30" s="2">
        <v>2508147.6091015106</v>
      </c>
      <c r="X30" s="2">
        <v>4251088.8926353361</v>
      </c>
      <c r="Y30" s="2">
        <f t="shared" si="6"/>
        <v>-554156.91205263138</v>
      </c>
      <c r="Z30" s="2">
        <f t="shared" si="7"/>
        <v>-2297098.1955864569</v>
      </c>
      <c r="AB30" s="2">
        <v>2026241.6274725858</v>
      </c>
      <c r="AC30" s="2">
        <v>2835717.0141009539</v>
      </c>
      <c r="AD30" s="2">
        <v>4855111.9573816527</v>
      </c>
      <c r="AE30" s="2">
        <f t="shared" si="8"/>
        <v>-809475.38662836817</v>
      </c>
      <c r="AF30" s="2">
        <f t="shared" si="9"/>
        <v>-2828870.3299090667</v>
      </c>
      <c r="AH30" s="2">
        <v>1735688.1520949088</v>
      </c>
      <c r="AI30" s="2">
        <v>1782958.9483145268</v>
      </c>
      <c r="AJ30" s="2">
        <v>3025619.0050578704</v>
      </c>
      <c r="AK30" s="2">
        <f t="shared" si="10"/>
        <v>-47270.79621961806</v>
      </c>
      <c r="AL30" s="2">
        <v>-1289930.8529629617</v>
      </c>
      <c r="AM30" s="2"/>
      <c r="AN30" s="2">
        <v>1799138.3096424961</v>
      </c>
      <c r="AO30" s="2">
        <v>1908959.189912084</v>
      </c>
      <c r="AP30" s="2">
        <v>3231141.3787520397</v>
      </c>
      <c r="AQ30" s="2">
        <f t="shared" si="11"/>
        <v>-109820.88026958797</v>
      </c>
      <c r="AR30" s="2">
        <v>-1432003.0691095437</v>
      </c>
      <c r="AS30" s="2"/>
      <c r="AT30" s="2">
        <v>1859559.4559235685</v>
      </c>
      <c r="AU30" s="2">
        <v>2050216.2663184351</v>
      </c>
      <c r="AV30" s="2">
        <v>3464212.9617342716</v>
      </c>
      <c r="AW30" s="2">
        <v>-190656.81039486662</v>
      </c>
      <c r="AX30" s="2">
        <v>-1604653.5058107032</v>
      </c>
      <c r="AY30" s="2"/>
      <c r="AZ30" s="2">
        <v>1915524.5705655057</v>
      </c>
      <c r="BA30" s="2">
        <v>2197403.7988626645</v>
      </c>
      <c r="BB30" s="2">
        <v>3713157.4710590485</v>
      </c>
      <c r="BC30" s="2">
        <v>-281879.22829715884</v>
      </c>
      <c r="BD30" s="2">
        <v>-1797632.9004935429</v>
      </c>
    </row>
    <row r="31" spans="1:56" x14ac:dyDescent="0.35">
      <c r="A31">
        <v>2029</v>
      </c>
      <c r="B31">
        <v>1</v>
      </c>
      <c r="C31" s="15">
        <v>2351588.2177851256</v>
      </c>
      <c r="D31" s="9">
        <v>47208</v>
      </c>
      <c r="E31" s="2">
        <v>2376615.6699909586</v>
      </c>
      <c r="F31" s="2">
        <v>2801077.2282182146</v>
      </c>
      <c r="G31" s="10">
        <f t="shared" si="0"/>
        <v>-25027.452205833048</v>
      </c>
      <c r="H31" s="10">
        <f t="shared" si="1"/>
        <v>-449489.01043308899</v>
      </c>
      <c r="I31" s="13">
        <f t="shared" si="12"/>
        <v>-0.37771937991151716</v>
      </c>
      <c r="J31" s="14">
        <v>2620228.9363360251</v>
      </c>
      <c r="K31" s="2">
        <v>2703875.9109220821</v>
      </c>
      <c r="L31" s="2">
        <v>3170954.2662929674</v>
      </c>
      <c r="M31" s="2">
        <f t="shared" si="2"/>
        <v>-83646.974586057011</v>
      </c>
      <c r="N31" s="2">
        <f t="shared" si="3"/>
        <v>-550725.32995694224</v>
      </c>
      <c r="P31" s="2">
        <v>2834996.8749652752</v>
      </c>
      <c r="Q31" s="2">
        <v>3156799.1013163887</v>
      </c>
      <c r="R31" s="2">
        <v>3706736.014407442</v>
      </c>
      <c r="S31" s="2">
        <f t="shared" si="4"/>
        <v>-321802.22635111352</v>
      </c>
      <c r="T31" s="2">
        <f t="shared" si="5"/>
        <v>-871739.13944216678</v>
      </c>
      <c r="V31" s="11">
        <v>3037279.235692773</v>
      </c>
      <c r="W31" s="2">
        <v>3598687.0763946697</v>
      </c>
      <c r="X31" s="2">
        <v>4244827.8905408829</v>
      </c>
      <c r="Y31" s="2">
        <f t="shared" si="6"/>
        <v>-561407.8407018967</v>
      </c>
      <c r="Z31" s="2">
        <f t="shared" si="7"/>
        <v>-1207548.6548481099</v>
      </c>
      <c r="AB31" s="2">
        <v>3227395.8714129543</v>
      </c>
      <c r="AC31" s="2">
        <v>4067979.4687580052</v>
      </c>
      <c r="AD31" s="2">
        <v>4844694.0223773345</v>
      </c>
      <c r="AE31" s="2">
        <f t="shared" si="8"/>
        <v>-840583.59734505089</v>
      </c>
      <c r="AF31" s="2">
        <f t="shared" si="9"/>
        <v>-1617298.1509643802</v>
      </c>
      <c r="AH31" s="2">
        <v>2541796.3167784065</v>
      </c>
      <c r="AI31" s="2">
        <v>2570127.209700691</v>
      </c>
      <c r="AJ31" s="2">
        <v>3025622.0227452535</v>
      </c>
      <c r="AK31" s="2">
        <f t="shared" si="10"/>
        <v>-28330.892922284547</v>
      </c>
      <c r="AL31" s="2">
        <v>-483825.70596684702</v>
      </c>
      <c r="AM31" s="2"/>
      <c r="AN31" s="2">
        <v>2682059.9532931778</v>
      </c>
      <c r="AO31" s="2">
        <v>2774968.5926836119</v>
      </c>
      <c r="AP31" s="2">
        <v>3230386.3362265676</v>
      </c>
      <c r="AQ31" s="2">
        <f t="shared" si="11"/>
        <v>-92908.639390434138</v>
      </c>
      <c r="AR31" s="2">
        <v>-548326.38293338986</v>
      </c>
      <c r="AS31" s="2"/>
      <c r="AT31" s="2">
        <v>2818495.5724404436</v>
      </c>
      <c r="AU31" s="2">
        <v>2995424.4229124878</v>
      </c>
      <c r="AV31" s="2">
        <v>3462424.7605790356</v>
      </c>
      <c r="AW31" s="2">
        <v>-176928.8504720442</v>
      </c>
      <c r="AX31" s="2">
        <v>-643929.18813859206</v>
      </c>
      <c r="AY31" s="2"/>
      <c r="AZ31" s="2">
        <v>2951419.927778489</v>
      </c>
      <c r="BA31" s="2">
        <v>3223738.1714554066</v>
      </c>
      <c r="BB31" s="2">
        <v>3710099.085748422</v>
      </c>
      <c r="BC31" s="2">
        <v>-272318.24367691763</v>
      </c>
      <c r="BD31" s="2">
        <v>-758679.157969933</v>
      </c>
    </row>
    <row r="32" spans="1:56" x14ac:dyDescent="0.35">
      <c r="A32">
        <v>2029</v>
      </c>
      <c r="B32">
        <v>2</v>
      </c>
      <c r="C32" s="15">
        <v>2093835.5046939179</v>
      </c>
      <c r="D32" s="9">
        <v>47299</v>
      </c>
      <c r="E32" s="2">
        <v>2172717.8275696398</v>
      </c>
      <c r="F32" s="2">
        <v>2763381.1393155921</v>
      </c>
      <c r="G32" s="10">
        <f t="shared" si="0"/>
        <v>-78882.322875721846</v>
      </c>
      <c r="H32" s="10">
        <f t="shared" si="1"/>
        <v>-669545.63462167419</v>
      </c>
      <c r="I32" s="13">
        <f t="shared" si="12"/>
        <v>2.1518319254780982</v>
      </c>
      <c r="J32" s="14">
        <v>2214560.1545304116</v>
      </c>
      <c r="K32" s="2">
        <v>2387718.5794098838</v>
      </c>
      <c r="L32" s="2">
        <v>3125718.6382696666</v>
      </c>
      <c r="M32" s="2">
        <f t="shared" si="2"/>
        <v>-173158.42487947224</v>
      </c>
      <c r="N32" s="2">
        <f t="shared" si="3"/>
        <v>-911158.483739255</v>
      </c>
      <c r="P32" s="2">
        <v>2279440.5746341613</v>
      </c>
      <c r="Q32" s="2">
        <v>2805685.6065646629</v>
      </c>
      <c r="R32" s="2">
        <v>3650951.5639971225</v>
      </c>
      <c r="S32" s="2">
        <f t="shared" si="4"/>
        <v>-526245.03193050157</v>
      </c>
      <c r="T32" s="2">
        <f t="shared" si="5"/>
        <v>-1371510.9893629611</v>
      </c>
      <c r="V32" s="11">
        <v>2341205.6785991793</v>
      </c>
      <c r="W32" s="2">
        <v>3228668.4219077104</v>
      </c>
      <c r="X32" s="2">
        <v>4178747.764796034</v>
      </c>
      <c r="Y32" s="2">
        <f t="shared" si="6"/>
        <v>-887462.74330853112</v>
      </c>
      <c r="Z32" s="2">
        <f t="shared" si="7"/>
        <v>-1837542.0861968547</v>
      </c>
      <c r="AB32" s="2">
        <v>2400564.3201677352</v>
      </c>
      <c r="AC32" s="2">
        <v>3714241.9443081906</v>
      </c>
      <c r="AD32" s="2">
        <v>4767382.1716030901</v>
      </c>
      <c r="AE32" s="2">
        <f t="shared" si="8"/>
        <v>-1313677.6241404554</v>
      </c>
      <c r="AF32" s="2">
        <f t="shared" si="9"/>
        <v>-2366817.8514353549</v>
      </c>
      <c r="AH32" s="2">
        <v>2187185.8164452706</v>
      </c>
      <c r="AI32" s="2">
        <v>2277932.8734377096</v>
      </c>
      <c r="AJ32" s="2">
        <v>2983317.980046412</v>
      </c>
      <c r="AK32" s="2">
        <f t="shared" si="10"/>
        <v>-90747.056992439087</v>
      </c>
      <c r="AL32" s="2">
        <v>-796132.16360114142</v>
      </c>
      <c r="AM32" s="2"/>
      <c r="AN32" s="2">
        <v>2225153.5980497603</v>
      </c>
      <c r="AO32" s="2">
        <v>2414573.2040202022</v>
      </c>
      <c r="AP32" s="2">
        <v>3183961.7542897658</v>
      </c>
      <c r="AQ32" s="2">
        <f t="shared" si="11"/>
        <v>-189419.60597044183</v>
      </c>
      <c r="AR32" s="2">
        <v>-958808.15624000551</v>
      </c>
      <c r="AS32" s="2"/>
      <c r="AT32" s="2">
        <v>2260386.1507300138</v>
      </c>
      <c r="AU32" s="2">
        <v>2577196.3806812624</v>
      </c>
      <c r="AV32" s="2">
        <v>3411406.178807077</v>
      </c>
      <c r="AW32" s="2">
        <v>-316810.2299512485</v>
      </c>
      <c r="AX32" s="2">
        <v>-1151020.0280770632</v>
      </c>
      <c r="AY32" s="2"/>
      <c r="AZ32" s="2">
        <v>2294609.1534303008</v>
      </c>
      <c r="BA32" s="2">
        <v>2756557.1570773255</v>
      </c>
      <c r="BB32" s="2">
        <v>3654249.4786156816</v>
      </c>
      <c r="BC32" s="2">
        <v>-461948.00364702474</v>
      </c>
      <c r="BD32" s="2">
        <v>-1359640.3251853809</v>
      </c>
    </row>
    <row r="33" spans="1:56" x14ac:dyDescent="0.35">
      <c r="A33">
        <v>2029</v>
      </c>
      <c r="B33">
        <v>3</v>
      </c>
      <c r="C33" s="15">
        <v>2146738.093750108</v>
      </c>
      <c r="D33" s="9">
        <v>47391</v>
      </c>
      <c r="E33" s="2">
        <v>2214737.2788172038</v>
      </c>
      <c r="F33" s="2">
        <v>2729695.9101581676</v>
      </c>
      <c r="G33" s="10">
        <f t="shared" si="0"/>
        <v>-67999.185067095794</v>
      </c>
      <c r="H33" s="10">
        <f t="shared" si="1"/>
        <v>-582957.81640805956</v>
      </c>
      <c r="I33" s="13">
        <f t="shared" si="12"/>
        <v>-0.13796675112841572</v>
      </c>
      <c r="J33" s="14">
        <v>2259822.6865618876</v>
      </c>
      <c r="K33" s="2">
        <v>2415491.7126973975</v>
      </c>
      <c r="L33" s="2">
        <v>3085187.2349880347</v>
      </c>
      <c r="M33" s="2">
        <f t="shared" si="2"/>
        <v>-155669.02613550983</v>
      </c>
      <c r="N33" s="2">
        <f t="shared" si="3"/>
        <v>-825364.54842614708</v>
      </c>
      <c r="P33" s="2">
        <v>2320915.8123801416</v>
      </c>
      <c r="Q33" s="2">
        <v>2806285.5228229943</v>
      </c>
      <c r="R33" s="2">
        <v>3600741.9682534216</v>
      </c>
      <c r="S33" s="2">
        <f t="shared" si="4"/>
        <v>-485369.71044285269</v>
      </c>
      <c r="T33" s="2">
        <f t="shared" si="5"/>
        <v>-1279826.15587328</v>
      </c>
      <c r="V33" s="11">
        <v>2376912.8994489568</v>
      </c>
      <c r="W33" s="2">
        <v>3197874.9852975816</v>
      </c>
      <c r="X33" s="2">
        <v>4119009.7961364016</v>
      </c>
      <c r="Y33" s="2">
        <f t="shared" si="6"/>
        <v>-820962.08584862482</v>
      </c>
      <c r="Z33" s="2">
        <f t="shared" si="7"/>
        <v>-1742096.8966874448</v>
      </c>
      <c r="AB33" s="2">
        <v>2427563.9112065658</v>
      </c>
      <c r="AC33" s="2">
        <v>3641593.3246427835</v>
      </c>
      <c r="AD33" s="2">
        <v>4697179.7803326575</v>
      </c>
      <c r="AE33" s="2">
        <f t="shared" si="8"/>
        <v>-1214029.4134362177</v>
      </c>
      <c r="AF33" s="2">
        <f t="shared" si="9"/>
        <v>-2269615.8691260917</v>
      </c>
      <c r="AH33" s="2">
        <v>2235914.1258206428</v>
      </c>
      <c r="AI33" s="2">
        <v>2314557.1968625858</v>
      </c>
      <c r="AJ33" s="2">
        <v>2945456.8091576616</v>
      </c>
      <c r="AK33" s="2">
        <f t="shared" si="10"/>
        <v>-78643.07104194304</v>
      </c>
      <c r="AL33" s="2">
        <v>-709542.68333701883</v>
      </c>
      <c r="AM33" s="2"/>
      <c r="AN33" s="2">
        <v>2274127.3885166747</v>
      </c>
      <c r="AO33" s="2">
        <v>2445173.229865334</v>
      </c>
      <c r="AP33" s="2">
        <v>3142344.7246009875</v>
      </c>
      <c r="AQ33" s="2">
        <f t="shared" si="11"/>
        <v>-171045.84134865925</v>
      </c>
      <c r="AR33" s="2">
        <v>-868217.33608431276</v>
      </c>
      <c r="AS33" s="2"/>
      <c r="AT33" s="2">
        <v>2308712.7218972398</v>
      </c>
      <c r="AU33" s="2">
        <v>2598957.9197685933</v>
      </c>
      <c r="AV33" s="2">
        <v>3365581.3432550598</v>
      </c>
      <c r="AW33" s="2">
        <v>-290245.19787135348</v>
      </c>
      <c r="AX33" s="2">
        <v>-1056868.62135782</v>
      </c>
      <c r="AY33" s="2"/>
      <c r="AZ33" s="2">
        <v>2340108.1319349832</v>
      </c>
      <c r="BA33" s="2">
        <v>2765642.9636766752</v>
      </c>
      <c r="BB33" s="2">
        <v>3603979.8116747979</v>
      </c>
      <c r="BC33" s="2">
        <v>-425534.83174169203</v>
      </c>
      <c r="BD33" s="2">
        <v>-1263871.6797398147</v>
      </c>
    </row>
    <row r="34" spans="1:56" x14ac:dyDescent="0.35">
      <c r="A34">
        <v>2029</v>
      </c>
      <c r="B34">
        <v>4</v>
      </c>
      <c r="C34" s="15">
        <v>1635373.9875316406</v>
      </c>
      <c r="D34" s="9">
        <v>47483</v>
      </c>
      <c r="E34" s="2">
        <v>1673890.8721111794</v>
      </c>
      <c r="F34" s="2">
        <v>2726367.8557581892</v>
      </c>
      <c r="G34" s="10">
        <f t="shared" si="0"/>
        <v>-38516.884579538833</v>
      </c>
      <c r="H34" s="10">
        <f t="shared" si="1"/>
        <v>-1090993.8682265487</v>
      </c>
      <c r="I34" s="13">
        <f t="shared" si="12"/>
        <v>-0.43356843848152504</v>
      </c>
      <c r="J34" s="14">
        <v>1768210.148792634</v>
      </c>
      <c r="K34" s="2">
        <v>1867545.794716845</v>
      </c>
      <c r="L34" s="2">
        <v>3078871.4613498831</v>
      </c>
      <c r="M34" s="2">
        <f t="shared" si="2"/>
        <v>-99335.645924211014</v>
      </c>
      <c r="N34" s="2">
        <f t="shared" si="3"/>
        <v>-1310661.3125572491</v>
      </c>
      <c r="P34" s="2">
        <v>1863510.9415639953</v>
      </c>
      <c r="Q34" s="2">
        <v>2190109.1742792409</v>
      </c>
      <c r="R34" s="2">
        <v>3589608.0929240808</v>
      </c>
      <c r="S34" s="2">
        <f t="shared" si="4"/>
        <v>-326598.23271524557</v>
      </c>
      <c r="T34" s="2">
        <f t="shared" si="5"/>
        <v>-1726097.1513600855</v>
      </c>
      <c r="V34" s="11">
        <v>1945605.9122085937</v>
      </c>
      <c r="W34" s="2">
        <v>2496105.943792196</v>
      </c>
      <c r="X34" s="2">
        <v>4102644.8545566434</v>
      </c>
      <c r="Y34" s="2">
        <f t="shared" si="6"/>
        <v>-550500.03158360231</v>
      </c>
      <c r="Z34" s="2">
        <f t="shared" si="7"/>
        <v>-2157038.94234805</v>
      </c>
      <c r="AB34" s="2">
        <v>2015936.5568101183</v>
      </c>
      <c r="AC34" s="2">
        <v>2821316.0573125002</v>
      </c>
      <c r="AD34" s="2">
        <v>4674660.8563721981</v>
      </c>
      <c r="AE34" s="2">
        <f t="shared" si="8"/>
        <v>-805379.50050238194</v>
      </c>
      <c r="AF34" s="2">
        <f t="shared" si="9"/>
        <v>-2658724.2995620798</v>
      </c>
      <c r="AH34" s="2">
        <v>1730302.3129931702</v>
      </c>
      <c r="AI34" s="2">
        <v>1776152.0288294642</v>
      </c>
      <c r="AJ34" s="2">
        <v>2940355.6252383189</v>
      </c>
      <c r="AK34" s="2">
        <f t="shared" si="10"/>
        <v>-45849.715836293995</v>
      </c>
      <c r="AL34" s="2">
        <v>-1210053.3122451487</v>
      </c>
      <c r="AM34" s="2"/>
      <c r="AN34" s="2">
        <v>1792317.4201075519</v>
      </c>
      <c r="AO34" s="2">
        <v>1900553.6695195681</v>
      </c>
      <c r="AP34" s="2">
        <v>3135519.2422256414</v>
      </c>
      <c r="AQ34" s="2">
        <f t="shared" si="11"/>
        <v>-108236.24941201624</v>
      </c>
      <c r="AR34" s="2">
        <v>-1343201.8221180895</v>
      </c>
      <c r="AS34" s="2"/>
      <c r="AT34" s="2">
        <v>1851688.2641462593</v>
      </c>
      <c r="AU34" s="2">
        <v>2040525.5077157805</v>
      </c>
      <c r="AV34" s="2">
        <v>3356702.6972598899</v>
      </c>
      <c r="AW34" s="2">
        <v>-188837.24356952123</v>
      </c>
      <c r="AX34" s="2">
        <v>-1505014.4331136306</v>
      </c>
      <c r="AY34" s="2"/>
      <c r="AZ34" s="2">
        <v>1906991.4423478348</v>
      </c>
      <c r="BA34" s="2">
        <v>2186429.3054788411</v>
      </c>
      <c r="BB34" s="2">
        <v>3592814.3035928616</v>
      </c>
      <c r="BC34" s="2">
        <v>-279437.86313100625</v>
      </c>
      <c r="BD34" s="2">
        <v>-1685822.8612450268</v>
      </c>
    </row>
    <row r="35" spans="1:56" x14ac:dyDescent="0.35">
      <c r="A35">
        <v>2030</v>
      </c>
      <c r="B35">
        <v>1</v>
      </c>
      <c r="C35" s="15">
        <v>2339955.0252137654</v>
      </c>
      <c r="D35" s="9">
        <v>47573</v>
      </c>
      <c r="E35" s="2">
        <v>2364852.9739604546</v>
      </c>
      <c r="F35" s="2">
        <v>2728284.0653821416</v>
      </c>
      <c r="G35" s="10">
        <f t="shared" si="0"/>
        <v>-24897.94874668913</v>
      </c>
      <c r="H35" s="10">
        <f t="shared" si="1"/>
        <v>-388329.04016837617</v>
      </c>
      <c r="I35" s="13">
        <f t="shared" si="12"/>
        <v>-0.35358352529073533</v>
      </c>
      <c r="J35" s="14">
        <v>2612113.569715179</v>
      </c>
      <c r="K35" s="2">
        <v>2695565.9144768496</v>
      </c>
      <c r="L35" s="2">
        <v>3079676.7150254864</v>
      </c>
      <c r="M35" s="2">
        <f t="shared" si="2"/>
        <v>-83452.344761670567</v>
      </c>
      <c r="N35" s="2">
        <f t="shared" si="3"/>
        <v>-467563.14531030739</v>
      </c>
      <c r="P35" s="2">
        <v>2824169.137234143</v>
      </c>
      <c r="Q35" s="2">
        <v>3144939.4608645486</v>
      </c>
      <c r="R35" s="2">
        <v>3587936.6319453679</v>
      </c>
      <c r="S35" s="2">
        <f t="shared" si="4"/>
        <v>-320770.32363040559</v>
      </c>
      <c r="T35" s="2">
        <f t="shared" si="5"/>
        <v>-763767.49471122492</v>
      </c>
      <c r="V35" s="11">
        <v>3023951.2928011292</v>
      </c>
      <c r="W35" s="2">
        <v>3583196.0773748644</v>
      </c>
      <c r="X35" s="2">
        <v>4097791.8177313274</v>
      </c>
      <c r="Y35" s="2">
        <f t="shared" si="6"/>
        <v>-559244.7845737352</v>
      </c>
      <c r="Z35" s="2">
        <f t="shared" si="7"/>
        <v>-1073840.5249301982</v>
      </c>
      <c r="AB35" s="2">
        <v>3211636.6920893919</v>
      </c>
      <c r="AC35" s="2">
        <v>4048505.6175075648</v>
      </c>
      <c r="AD35" s="2">
        <v>4665690.1941512469</v>
      </c>
      <c r="AE35" s="2">
        <f t="shared" si="8"/>
        <v>-836868.92541817296</v>
      </c>
      <c r="AF35" s="2">
        <f t="shared" si="9"/>
        <v>-1454053.502061855</v>
      </c>
      <c r="AH35" s="2">
        <v>2534493.5742543195</v>
      </c>
      <c r="AI35" s="2">
        <v>2562816.7339654001</v>
      </c>
      <c r="AJ35" s="2">
        <v>2941669.3118297397</v>
      </c>
      <c r="AK35" s="2">
        <f t="shared" si="10"/>
        <v>-28323.159711080603</v>
      </c>
      <c r="AL35" s="2">
        <v>-407175.73757542018</v>
      </c>
      <c r="AM35" s="2"/>
      <c r="AN35" s="2">
        <v>2672773.319403003</v>
      </c>
      <c r="AO35" s="2">
        <v>2765529.3576179715</v>
      </c>
      <c r="AP35" s="2">
        <v>3136093.5503598596</v>
      </c>
      <c r="AQ35" s="2">
        <f t="shared" si="11"/>
        <v>-92756.038214968517</v>
      </c>
      <c r="AR35" s="2">
        <v>-463320.23095685663</v>
      </c>
      <c r="AS35" s="2"/>
      <c r="AT35" s="2">
        <v>2806605.2078256416</v>
      </c>
      <c r="AU35" s="2">
        <v>2983090.4628690314</v>
      </c>
      <c r="AV35" s="2">
        <v>3356263.6306311842</v>
      </c>
      <c r="AW35" s="2">
        <v>-176485.25504338974</v>
      </c>
      <c r="AX35" s="2">
        <v>-549658.42280554259</v>
      </c>
      <c r="AY35" s="2"/>
      <c r="AZ35" s="2">
        <v>2938164.5656154249</v>
      </c>
      <c r="BA35" s="2">
        <v>3209763.1325879702</v>
      </c>
      <c r="BB35" s="2">
        <v>3591124.8367038192</v>
      </c>
      <c r="BC35" s="2">
        <v>-271598.56697254535</v>
      </c>
      <c r="BD35" s="2">
        <v>-652960.27108839434</v>
      </c>
    </row>
    <row r="36" spans="1:56" x14ac:dyDescent="0.35">
      <c r="A36">
        <v>2030</v>
      </c>
      <c r="B36">
        <v>2</v>
      </c>
      <c r="C36" s="15">
        <v>2081936.2231538107</v>
      </c>
      <c r="D36" s="9">
        <v>47664</v>
      </c>
      <c r="E36" s="2">
        <v>2160474.1880557365</v>
      </c>
      <c r="F36" s="2">
        <v>2690119.1760013825</v>
      </c>
      <c r="G36" s="10">
        <f t="shared" si="0"/>
        <v>-78537.964901925763</v>
      </c>
      <c r="H36" s="10">
        <f t="shared" si="1"/>
        <v>-608182.95284757181</v>
      </c>
      <c r="I36" s="13">
        <f t="shared" si="12"/>
        <v>2.1543949945824172</v>
      </c>
      <c r="J36" s="14">
        <v>2208322.2039980646</v>
      </c>
      <c r="K36" s="2">
        <v>2381191.5607664119</v>
      </c>
      <c r="L36" s="2">
        <v>3033946.3126048292</v>
      </c>
      <c r="M36" s="2">
        <f t="shared" si="2"/>
        <v>-172869.35676834732</v>
      </c>
      <c r="N36" s="2">
        <f t="shared" si="3"/>
        <v>-825624.10860676458</v>
      </c>
      <c r="P36" s="2">
        <v>2271468.795439302</v>
      </c>
      <c r="Q36" s="2">
        <v>2796401.3081293297</v>
      </c>
      <c r="R36" s="2">
        <v>3531624.7928483542</v>
      </c>
      <c r="S36" s="2">
        <f t="shared" si="4"/>
        <v>-524932.51269002771</v>
      </c>
      <c r="T36" s="2">
        <f t="shared" si="5"/>
        <v>-1260155.9974090522</v>
      </c>
      <c r="V36" s="11">
        <v>2331569.990905995</v>
      </c>
      <c r="W36" s="2">
        <v>3216304.0644917497</v>
      </c>
      <c r="X36" s="2">
        <v>4031155.5598514285</v>
      </c>
      <c r="Y36" s="2">
        <f t="shared" si="6"/>
        <v>-884734.07358575473</v>
      </c>
      <c r="Z36" s="2">
        <f t="shared" si="7"/>
        <v>-1699585.5689454335</v>
      </c>
      <c r="AB36" s="2">
        <v>2389213.5392369232</v>
      </c>
      <c r="AC36" s="2">
        <v>3698097.9431145103</v>
      </c>
      <c r="AD36" s="2">
        <v>4587793.4679394308</v>
      </c>
      <c r="AE36" s="2">
        <f t="shared" si="8"/>
        <v>-1308884.4038775871</v>
      </c>
      <c r="AF36" s="2">
        <f t="shared" si="9"/>
        <v>-2198579.9287025076</v>
      </c>
      <c r="AH36" s="2">
        <v>2181555.6729839155</v>
      </c>
      <c r="AI36" s="2">
        <v>2272192.185766418</v>
      </c>
      <c r="AJ36" s="2">
        <v>2898880.2851854367</v>
      </c>
      <c r="AK36" s="2">
        <f t="shared" si="10"/>
        <v>-90636.512782502454</v>
      </c>
      <c r="AL36" s="2">
        <v>-717324.61220152117</v>
      </c>
      <c r="AM36" s="2"/>
      <c r="AN36" s="2">
        <v>2218236.9153283373</v>
      </c>
      <c r="AO36" s="2">
        <v>2407271.0016183578</v>
      </c>
      <c r="AP36" s="2">
        <v>3089170.323312059</v>
      </c>
      <c r="AQ36" s="2">
        <f t="shared" si="11"/>
        <v>-189034.0862900205</v>
      </c>
      <c r="AR36" s="2">
        <v>-870933.4079837217</v>
      </c>
      <c r="AS36" s="2"/>
      <c r="AT36" s="2">
        <v>2252666.1652823822</v>
      </c>
      <c r="AU36" s="2">
        <v>2568691.7812539004</v>
      </c>
      <c r="AV36" s="2">
        <v>3304731.9366931655</v>
      </c>
      <c r="AW36" s="2">
        <v>-316025.61597151821</v>
      </c>
      <c r="AX36" s="2">
        <v>-1052065.7714107833</v>
      </c>
      <c r="AY36" s="2"/>
      <c r="AZ36" s="2">
        <v>2285789.2421751237</v>
      </c>
      <c r="BA36" s="2">
        <v>2746369.3304529614</v>
      </c>
      <c r="BB36" s="2">
        <v>3534747.6503781714</v>
      </c>
      <c r="BC36" s="2">
        <v>-460580.08827783773</v>
      </c>
      <c r="BD36" s="2">
        <v>-1248958.4082030477</v>
      </c>
    </row>
    <row r="37" spans="1:56" x14ac:dyDescent="0.35">
      <c r="A37">
        <v>2030</v>
      </c>
      <c r="B37">
        <v>3</v>
      </c>
      <c r="C37" s="15">
        <v>2135067.9148136606</v>
      </c>
      <c r="D37" s="9">
        <v>47756</v>
      </c>
      <c r="E37" s="2">
        <v>2202759.8810517904</v>
      </c>
      <c r="F37" s="2">
        <v>2656084.2761971913</v>
      </c>
      <c r="G37" s="10">
        <f t="shared" si="0"/>
        <v>-67691.966238129884</v>
      </c>
      <c r="H37" s="10">
        <f t="shared" si="1"/>
        <v>-521016.36138353078</v>
      </c>
      <c r="I37" s="13">
        <f t="shared" si="12"/>
        <v>-0.13809879944482661</v>
      </c>
      <c r="J37" s="14">
        <v>2254624.3776363092</v>
      </c>
      <c r="K37" s="2">
        <v>2410019.6268672287</v>
      </c>
      <c r="L37" s="2">
        <v>2993045.7578518568</v>
      </c>
      <c r="M37" s="2">
        <f t="shared" si="2"/>
        <v>-155395.24923091941</v>
      </c>
      <c r="N37" s="2">
        <f t="shared" si="3"/>
        <v>-738421.38021554751</v>
      </c>
      <c r="P37" s="2">
        <v>2315692.6934648938</v>
      </c>
      <c r="Q37" s="2">
        <v>2800128.7079517799</v>
      </c>
      <c r="R37" s="2">
        <v>3481021.584456021</v>
      </c>
      <c r="S37" s="2">
        <f t="shared" si="4"/>
        <v>-484436.0144868861</v>
      </c>
      <c r="T37" s="2">
        <f t="shared" si="5"/>
        <v>-1165328.8909911271</v>
      </c>
      <c r="V37" s="11">
        <v>2371661.0859776828</v>
      </c>
      <c r="W37" s="2">
        <v>3190985.9689351097</v>
      </c>
      <c r="X37" s="2">
        <v>3971002.4205847736</v>
      </c>
      <c r="Y37" s="2">
        <f t="shared" si="6"/>
        <v>-819324.88295742683</v>
      </c>
      <c r="Z37" s="2">
        <f t="shared" si="7"/>
        <v>-1599341.3346070908</v>
      </c>
      <c r="AB37" s="2">
        <v>2422340.2583083287</v>
      </c>
      <c r="AC37" s="2">
        <v>3633868.3969813348</v>
      </c>
      <c r="AD37" s="2">
        <v>4517154.3482494215</v>
      </c>
      <c r="AE37" s="2">
        <f t="shared" si="8"/>
        <v>-1211528.1386730061</v>
      </c>
      <c r="AF37" s="2">
        <f t="shared" si="9"/>
        <v>-2094814.0899410928</v>
      </c>
      <c r="AH37" s="2">
        <v>2230549.3426697571</v>
      </c>
      <c r="AI37" s="2">
        <v>2309065.2177973036</v>
      </c>
      <c r="AJ37" s="2">
        <v>2860657.305808261</v>
      </c>
      <c r="AK37" s="2">
        <f t="shared" si="10"/>
        <v>-78515.875127546489</v>
      </c>
      <c r="AL37" s="2">
        <v>-630107.96313850395</v>
      </c>
      <c r="AM37" s="2"/>
      <c r="AN37" s="2">
        <v>2268646.8005040223</v>
      </c>
      <c r="AO37" s="2">
        <v>2439370.3691226323</v>
      </c>
      <c r="AP37" s="2">
        <v>3047181.2390603763</v>
      </c>
      <c r="AQ37" s="2">
        <f t="shared" si="11"/>
        <v>-170723.56861861004</v>
      </c>
      <c r="AR37" s="2">
        <v>-778534.43855635403</v>
      </c>
      <c r="AS37" s="2"/>
      <c r="AT37" s="2">
        <v>2303023.1698998855</v>
      </c>
      <c r="AU37" s="2">
        <v>2592676.5499239611</v>
      </c>
      <c r="AV37" s="2">
        <v>3258524.1960801543</v>
      </c>
      <c r="AW37" s="2">
        <v>-289653.38002407551</v>
      </c>
      <c r="AX37" s="2">
        <v>-955501.02618026873</v>
      </c>
      <c r="AY37" s="2"/>
      <c r="AZ37" s="2">
        <v>2334194.6397929131</v>
      </c>
      <c r="BA37" s="2">
        <v>2758805.9941947162</v>
      </c>
      <c r="BB37" s="2">
        <v>3484084.2279064176</v>
      </c>
      <c r="BC37" s="2">
        <v>-424611.35440180311</v>
      </c>
      <c r="BD37" s="2">
        <v>-1149889.5881135045</v>
      </c>
    </row>
    <row r="38" spans="1:56" x14ac:dyDescent="0.35">
      <c r="A38">
        <v>2030</v>
      </c>
      <c r="B38">
        <v>4</v>
      </c>
      <c r="C38" s="15">
        <v>1627135.7697242326</v>
      </c>
      <c r="D38" s="9">
        <v>47848</v>
      </c>
      <c r="E38" s="2">
        <v>1665311.28968346</v>
      </c>
      <c r="F38" s="2">
        <v>2652097.7997310502</v>
      </c>
      <c r="G38" s="10">
        <f t="shared" si="0"/>
        <v>-38175.519959227415</v>
      </c>
      <c r="H38" s="10">
        <f t="shared" si="1"/>
        <v>-1024962.0300068175</v>
      </c>
      <c r="I38" s="13">
        <f t="shared" si="12"/>
        <v>-0.4360406104184974</v>
      </c>
      <c r="J38" s="14">
        <v>1761112.7001705361</v>
      </c>
      <c r="K38" s="2">
        <v>1860153.3938004393</v>
      </c>
      <c r="L38" s="2">
        <v>2986093.0491459863</v>
      </c>
      <c r="M38" s="2">
        <f t="shared" si="2"/>
        <v>-99040.693629903253</v>
      </c>
      <c r="N38" s="2">
        <f t="shared" si="3"/>
        <v>-1224980.3489754503</v>
      </c>
      <c r="P38" s="2">
        <v>1855299.0660410367</v>
      </c>
      <c r="Q38" s="2">
        <v>2180865.8953325371</v>
      </c>
      <c r="R38" s="2">
        <v>3469278.2101202533</v>
      </c>
      <c r="S38" s="2">
        <f t="shared" si="4"/>
        <v>-325566.82929150038</v>
      </c>
      <c r="T38" s="2">
        <f t="shared" si="5"/>
        <v>-1613979.1440792165</v>
      </c>
      <c r="V38" s="11">
        <v>1936195.8440099019</v>
      </c>
      <c r="W38" s="2">
        <v>2484876.6222848198</v>
      </c>
      <c r="X38" s="2">
        <v>3954052.580582228</v>
      </c>
      <c r="Y38" s="2">
        <f t="shared" si="6"/>
        <v>-548680.77827491798</v>
      </c>
      <c r="Z38" s="2">
        <f t="shared" si="7"/>
        <v>-2017856.7365723262</v>
      </c>
      <c r="AB38" s="2">
        <v>2005679.5997910551</v>
      </c>
      <c r="AC38" s="2">
        <v>2808456.5111304657</v>
      </c>
      <c r="AD38" s="2">
        <v>4494075.5206025867</v>
      </c>
      <c r="AE38" s="2">
        <f t="shared" si="8"/>
        <v>-802776.91133941058</v>
      </c>
      <c r="AF38" s="2">
        <f t="shared" si="9"/>
        <v>-2488395.9208115316</v>
      </c>
      <c r="AH38" s="2">
        <v>1723629.5117337992</v>
      </c>
      <c r="AI38" s="2">
        <v>1768950.5870605127</v>
      </c>
      <c r="AJ38" s="2">
        <v>2854911.0498532173</v>
      </c>
      <c r="AK38" s="2">
        <f t="shared" si="10"/>
        <v>-45321.075326713501</v>
      </c>
      <c r="AL38" s="2">
        <v>-1131281.5381194181</v>
      </c>
      <c r="AM38" s="2"/>
      <c r="AN38" s="2">
        <v>1784299.7296155996</v>
      </c>
      <c r="AO38" s="2">
        <v>1892059.4738089903</v>
      </c>
      <c r="AP38" s="2">
        <v>3039722.0512292385</v>
      </c>
      <c r="AQ38" s="2">
        <f t="shared" si="11"/>
        <v>-107759.74419339071</v>
      </c>
      <c r="AR38" s="2">
        <v>-1255422.3216136389</v>
      </c>
      <c r="AS38" s="2"/>
      <c r="AT38" s="2">
        <v>1842715.0299234348</v>
      </c>
      <c r="AU38" s="2">
        <v>2030853.8038293773</v>
      </c>
      <c r="AV38" s="2">
        <v>3249023.978808986</v>
      </c>
      <c r="AW38" s="2">
        <v>-188138.77390594245</v>
      </c>
      <c r="AX38" s="2">
        <v>-1406308.9488855512</v>
      </c>
      <c r="AY38" s="2"/>
      <c r="AZ38" s="2">
        <v>1897183.2037260914</v>
      </c>
      <c r="BA38" s="2">
        <v>2175596.4201132716</v>
      </c>
      <c r="BB38" s="2">
        <v>3472309.3825682504</v>
      </c>
      <c r="BC38" s="2">
        <v>-278413.21638718015</v>
      </c>
      <c r="BD38" s="2">
        <v>-1575126.178842159</v>
      </c>
    </row>
    <row r="39" spans="1:56" x14ac:dyDescent="0.35">
      <c r="A39">
        <v>2031</v>
      </c>
      <c r="B39">
        <v>1</v>
      </c>
      <c r="C39" s="15">
        <v>2325998.4642390301</v>
      </c>
      <c r="D39" s="9">
        <v>47938</v>
      </c>
      <c r="E39" s="2">
        <v>2350850.910746689</v>
      </c>
      <c r="F39" s="2">
        <v>2654192.2020145673</v>
      </c>
      <c r="G39" s="10">
        <f t="shared" si="0"/>
        <v>-24852.446507658809</v>
      </c>
      <c r="H39" s="10">
        <f t="shared" si="1"/>
        <v>-328193.73777553719</v>
      </c>
      <c r="I39" s="13">
        <f t="shared" si="12"/>
        <v>-0.34899520598011613</v>
      </c>
      <c r="J39" s="14">
        <v>2602048.2533763978</v>
      </c>
      <c r="K39" s="2">
        <v>2685437.8976303455</v>
      </c>
      <c r="L39" s="2">
        <v>2987112.728489913</v>
      </c>
      <c r="M39" s="2">
        <f t="shared" si="2"/>
        <v>-83389.644253947772</v>
      </c>
      <c r="N39" s="2">
        <f t="shared" si="3"/>
        <v>-385064.47511351528</v>
      </c>
      <c r="P39" s="2">
        <v>2812150.1397225442</v>
      </c>
      <c r="Q39" s="2">
        <v>3132240.7588787144</v>
      </c>
      <c r="R39" s="2">
        <v>3467866.6710162312</v>
      </c>
      <c r="S39" s="2">
        <f t="shared" si="4"/>
        <v>-320090.61915617017</v>
      </c>
      <c r="T39" s="2">
        <f t="shared" si="5"/>
        <v>-655716.53129368694</v>
      </c>
      <c r="V39" s="11">
        <v>3010422.6607106333</v>
      </c>
      <c r="W39" s="2">
        <v>3568251.1269556535</v>
      </c>
      <c r="X39" s="2">
        <v>3949499.5621541096</v>
      </c>
      <c r="Y39" s="2">
        <f t="shared" si="6"/>
        <v>-557828.46624502027</v>
      </c>
      <c r="Z39" s="2">
        <f t="shared" si="7"/>
        <v>-939076.90144347632</v>
      </c>
      <c r="AB39" s="2">
        <v>3196321.0720008798</v>
      </c>
      <c r="AC39" s="2">
        <v>4030854.2797614187</v>
      </c>
      <c r="AD39" s="2">
        <v>4485444.9731555041</v>
      </c>
      <c r="AE39" s="2">
        <f t="shared" si="8"/>
        <v>-834533.20776053891</v>
      </c>
      <c r="AF39" s="2">
        <f t="shared" si="9"/>
        <v>-1289123.9011546243</v>
      </c>
      <c r="AH39" s="2">
        <v>2524524.932908047</v>
      </c>
      <c r="AI39" s="2">
        <v>2552921.7965392941</v>
      </c>
      <c r="AJ39" s="2">
        <v>2856425.5046600783</v>
      </c>
      <c r="AK39" s="2">
        <f t="shared" si="10"/>
        <v>-28396.863631247077</v>
      </c>
      <c r="AL39" s="2">
        <v>-331900.57175203133</v>
      </c>
      <c r="AM39" s="2"/>
      <c r="AN39" s="2">
        <v>2660555.1992194899</v>
      </c>
      <c r="AO39" s="2">
        <v>2753219.8427365068</v>
      </c>
      <c r="AP39" s="2">
        <v>3040516.1845883047</v>
      </c>
      <c r="AQ39" s="2">
        <f t="shared" si="11"/>
        <v>-92664.643517016899</v>
      </c>
      <c r="AR39" s="2">
        <v>-379960.98536881479</v>
      </c>
      <c r="AS39" s="2"/>
      <c r="AT39" s="2">
        <v>2792316.8280187342</v>
      </c>
      <c r="AU39" s="2">
        <v>2968463.2139169755</v>
      </c>
      <c r="AV39" s="2">
        <v>3248824.9186202032</v>
      </c>
      <c r="AW39" s="2">
        <v>-176146.38589824131</v>
      </c>
      <c r="AX39" s="2">
        <v>-456508.09060146892</v>
      </c>
      <c r="AY39" s="2"/>
      <c r="AZ39" s="2">
        <v>2922329.0957798413</v>
      </c>
      <c r="BA39" s="2">
        <v>3193287.6733765649</v>
      </c>
      <c r="BB39" s="2">
        <v>3470880.1033059917</v>
      </c>
      <c r="BC39" s="2">
        <v>-270958.57759672357</v>
      </c>
      <c r="BD39" s="2">
        <v>-548551.00752615044</v>
      </c>
    </row>
    <row r="40" spans="1:56" x14ac:dyDescent="0.35">
      <c r="A40">
        <v>2031</v>
      </c>
      <c r="B40">
        <v>2</v>
      </c>
      <c r="C40" s="15">
        <v>2070772.5534188428</v>
      </c>
      <c r="D40" s="9">
        <v>48029</v>
      </c>
      <c r="E40" s="2">
        <v>2148944.2180979303</v>
      </c>
      <c r="F40" s="2">
        <v>2616178.4145715609</v>
      </c>
      <c r="G40" s="10">
        <f t="shared" si="0"/>
        <v>-78171.664679087466</v>
      </c>
      <c r="H40" s="10">
        <f t="shared" si="1"/>
        <v>-545405.86115271808</v>
      </c>
      <c r="I40" s="13">
        <f t="shared" si="12"/>
        <v>2.1454313624615269</v>
      </c>
      <c r="J40" s="14">
        <v>2204125.3964868542</v>
      </c>
      <c r="K40" s="2">
        <v>2376756.2794781174</v>
      </c>
      <c r="L40" s="2">
        <v>2941506.9377214909</v>
      </c>
      <c r="M40" s="2">
        <f t="shared" si="2"/>
        <v>-172630.88299126318</v>
      </c>
      <c r="N40" s="2">
        <f t="shared" si="3"/>
        <v>-737381.54123463668</v>
      </c>
      <c r="P40" s="2">
        <v>2267200.644478017</v>
      </c>
      <c r="Q40" s="2">
        <v>2791332.6586662801</v>
      </c>
      <c r="R40" s="2">
        <v>3411646.1807154678</v>
      </c>
      <c r="S40" s="2">
        <f t="shared" si="4"/>
        <v>-524132.0141882631</v>
      </c>
      <c r="T40" s="2">
        <f t="shared" si="5"/>
        <v>-1144445.5362374508</v>
      </c>
      <c r="V40" s="11">
        <v>2327066.8943728097</v>
      </c>
      <c r="W40" s="2">
        <v>3210339.8422678611</v>
      </c>
      <c r="X40" s="2">
        <v>3882925.3377598813</v>
      </c>
      <c r="Y40" s="2">
        <f t="shared" si="6"/>
        <v>-883272.94789505145</v>
      </c>
      <c r="Z40" s="2">
        <f t="shared" si="7"/>
        <v>-1555858.4433870716</v>
      </c>
      <c r="AB40" s="2">
        <v>2384409.659688944</v>
      </c>
      <c r="AC40" s="2">
        <v>3690942.2652314403</v>
      </c>
      <c r="AD40" s="2">
        <v>4407580.9649729431</v>
      </c>
      <c r="AE40" s="2">
        <f t="shared" si="8"/>
        <v>-1306532.6055424963</v>
      </c>
      <c r="AF40" s="2">
        <f t="shared" si="9"/>
        <v>-2023171.3052839991</v>
      </c>
      <c r="AH40" s="2">
        <v>2177406.7220732681</v>
      </c>
      <c r="AI40" s="2">
        <v>2267939.3119087196</v>
      </c>
      <c r="AJ40" s="2">
        <v>2813771.0747654736</v>
      </c>
      <c r="AK40" s="2">
        <f t="shared" si="10"/>
        <v>-90532.58983545145</v>
      </c>
      <c r="AL40" s="2">
        <v>-636364.35269220546</v>
      </c>
      <c r="AM40" s="2"/>
      <c r="AN40" s="2">
        <v>2213881.4581660423</v>
      </c>
      <c r="AO40" s="2">
        <v>2402654.7598286718</v>
      </c>
      <c r="AP40" s="2">
        <v>2993713.6215199968</v>
      </c>
      <c r="AQ40" s="2">
        <f t="shared" si="11"/>
        <v>-188773.30166262947</v>
      </c>
      <c r="AR40" s="2">
        <v>-779832.16335395444</v>
      </c>
      <c r="AS40" s="2"/>
      <c r="AT40" s="2">
        <v>2248175.7464984255</v>
      </c>
      <c r="AU40" s="2">
        <v>2563738.5521713546</v>
      </c>
      <c r="AV40" s="2">
        <v>3197399.1339364136</v>
      </c>
      <c r="AW40" s="2">
        <v>-315562.80567292916</v>
      </c>
      <c r="AX40" s="2">
        <v>-949223.38743798807</v>
      </c>
      <c r="AY40" s="2"/>
      <c r="AZ40" s="2">
        <v>2281105.0932067488</v>
      </c>
      <c r="BA40" s="2">
        <v>2740976.416127169</v>
      </c>
      <c r="BB40" s="2">
        <v>3414594.0714810952</v>
      </c>
      <c r="BC40" s="2">
        <v>-459871.32292042021</v>
      </c>
      <c r="BD40" s="2">
        <v>-1133488.9782743463</v>
      </c>
    </row>
    <row r="41" spans="1:56" x14ac:dyDescent="0.35">
      <c r="A41">
        <v>2031</v>
      </c>
      <c r="B41">
        <v>3</v>
      </c>
      <c r="C41" s="15">
        <v>2123643.9230952151</v>
      </c>
      <c r="D41" s="9">
        <v>48121</v>
      </c>
      <c r="E41" s="2">
        <v>2191023.6323272074</v>
      </c>
      <c r="F41" s="2">
        <v>2582380.0033686617</v>
      </c>
      <c r="G41" s="10">
        <f t="shared" si="0"/>
        <v>-67379.709231992252</v>
      </c>
      <c r="H41" s="10">
        <f t="shared" si="1"/>
        <v>-458736.08027344663</v>
      </c>
      <c r="I41" s="13">
        <f t="shared" si="12"/>
        <v>-0.13805456863939969</v>
      </c>
      <c r="J41" s="14">
        <v>2247546.8312025503</v>
      </c>
      <c r="K41" s="2">
        <v>2402534.2809587591</v>
      </c>
      <c r="L41" s="2">
        <v>2900823.0042408304</v>
      </c>
      <c r="M41" s="2">
        <f t="shared" si="2"/>
        <v>-154987.44975620881</v>
      </c>
      <c r="N41" s="2">
        <f t="shared" si="3"/>
        <v>-653276.1730382801</v>
      </c>
      <c r="P41" s="2">
        <v>2306572.349735681</v>
      </c>
      <c r="Q41" s="2">
        <v>2789268.045838532</v>
      </c>
      <c r="R41" s="2">
        <v>3361234.6469137482</v>
      </c>
      <c r="S41" s="2">
        <f t="shared" si="4"/>
        <v>-482695.69610285107</v>
      </c>
      <c r="T41" s="2">
        <f t="shared" si="5"/>
        <v>-1054662.2971780673</v>
      </c>
      <c r="V41" s="11">
        <v>2360511.1532842675</v>
      </c>
      <c r="W41" s="2">
        <v>3176198.0630025035</v>
      </c>
      <c r="X41" s="2">
        <v>3822941.8869730262</v>
      </c>
      <c r="Y41" s="2">
        <f t="shared" si="6"/>
        <v>-815686.90971823595</v>
      </c>
      <c r="Z41" s="2">
        <f t="shared" si="7"/>
        <v>-1462430.7336887587</v>
      </c>
      <c r="AB41" s="2">
        <v>2409334.156705936</v>
      </c>
      <c r="AC41" s="2">
        <v>3614638.3556376533</v>
      </c>
      <c r="AD41" s="2">
        <v>4337089.5475060865</v>
      </c>
      <c r="AE41" s="2">
        <f t="shared" si="8"/>
        <v>-1205304.1989317173</v>
      </c>
      <c r="AF41" s="2">
        <f t="shared" si="9"/>
        <v>-1927755.3908001506</v>
      </c>
      <c r="AH41" s="2">
        <v>2224278.2400016366</v>
      </c>
      <c r="AI41" s="2">
        <v>2302631.41883842</v>
      </c>
      <c r="AJ41" s="2">
        <v>2775772.205339714</v>
      </c>
      <c r="AK41" s="2">
        <f t="shared" si="10"/>
        <v>-78353.178836783394</v>
      </c>
      <c r="AL41" s="2">
        <v>-551493.9653380774</v>
      </c>
      <c r="AM41" s="2"/>
      <c r="AN41" s="2">
        <v>2261252.9314359725</v>
      </c>
      <c r="AO41" s="2">
        <v>2431510.1706518731</v>
      </c>
      <c r="AP41" s="2">
        <v>2951938.1978424024</v>
      </c>
      <c r="AQ41" s="2">
        <f t="shared" si="11"/>
        <v>-170257.23921590066</v>
      </c>
      <c r="AR41" s="2">
        <v>-690685.26640642993</v>
      </c>
      <c r="AS41" s="2"/>
      <c r="AT41" s="2">
        <v>2294341.4004451246</v>
      </c>
      <c r="AU41" s="2">
        <v>2583031.7977660405</v>
      </c>
      <c r="AV41" s="2">
        <v>3151393.9880603366</v>
      </c>
      <c r="AW41" s="2">
        <v>-288690.39732091594</v>
      </c>
      <c r="AX41" s="2">
        <v>-857052.58761521196</v>
      </c>
      <c r="AY41" s="2"/>
      <c r="AZ41" s="2">
        <v>2324495.7150013624</v>
      </c>
      <c r="BA41" s="2">
        <v>2747517.9033037769</v>
      </c>
      <c r="BB41" s="2">
        <v>3364122.1778809107</v>
      </c>
      <c r="BC41" s="2">
        <v>-423022.18830241449</v>
      </c>
      <c r="BD41" s="2">
        <v>-1039626.4628795483</v>
      </c>
    </row>
    <row r="42" spans="1:56" x14ac:dyDescent="0.35">
      <c r="A42">
        <v>2031</v>
      </c>
      <c r="B42">
        <v>4</v>
      </c>
      <c r="C42" s="15">
        <v>1618782.3415832142</v>
      </c>
      <c r="D42" s="9">
        <v>48213</v>
      </c>
      <c r="E42" s="2">
        <v>1656333.9470516848</v>
      </c>
      <c r="F42" s="2">
        <v>2578030.9560725973</v>
      </c>
      <c r="G42" s="10">
        <f t="shared" si="0"/>
        <v>-37551.605468470603</v>
      </c>
      <c r="H42" s="10">
        <f t="shared" si="1"/>
        <v>-959248.61448938306</v>
      </c>
      <c r="I42" s="13">
        <f t="shared" si="12"/>
        <v>-0.44268673913123835</v>
      </c>
      <c r="J42" s="14">
        <v>1754060.7970126471</v>
      </c>
      <c r="K42" s="2">
        <v>1851038.2738032369</v>
      </c>
      <c r="L42" s="2">
        <v>2596496.5730974851</v>
      </c>
      <c r="M42" s="2">
        <f t="shared" si="2"/>
        <v>-96977.476790589746</v>
      </c>
      <c r="N42" s="2">
        <f t="shared" si="3"/>
        <v>-842435.77608483797</v>
      </c>
      <c r="P42" s="2">
        <v>1847318.3598388704</v>
      </c>
      <c r="Q42" s="2">
        <v>2168141.9307105592</v>
      </c>
      <c r="R42" s="2">
        <v>2611571.3770409804</v>
      </c>
      <c r="S42" s="2">
        <f t="shared" si="4"/>
        <v>-320823.57087168889</v>
      </c>
      <c r="T42" s="2">
        <f t="shared" si="5"/>
        <v>-764253.01720211003</v>
      </c>
      <c r="V42" s="11">
        <v>1927328.4124136425</v>
      </c>
      <c r="W42" s="2">
        <v>2469056.3407857474</v>
      </c>
      <c r="X42" s="2">
        <v>2617415.3970751632</v>
      </c>
      <c r="Y42" s="2">
        <f t="shared" si="6"/>
        <v>-541727.92837210489</v>
      </c>
      <c r="Z42" s="2">
        <f t="shared" si="7"/>
        <v>-690086.98466152069</v>
      </c>
      <c r="AB42" s="2">
        <v>1996501.778027582</v>
      </c>
      <c r="AC42" s="2">
        <v>2787826.1743120267</v>
      </c>
      <c r="AD42" s="2">
        <v>2616318.1236297591</v>
      </c>
      <c r="AE42" s="2">
        <f t="shared" si="8"/>
        <v>-791324.39628444472</v>
      </c>
      <c r="AF42" s="2">
        <f t="shared" si="9"/>
        <v>-619816.34560217708</v>
      </c>
      <c r="AH42" s="2">
        <v>1716562.6019536944</v>
      </c>
      <c r="AI42" s="2">
        <v>1760702.0627979266</v>
      </c>
      <c r="AJ42" s="2">
        <v>2590211.3099970142</v>
      </c>
      <c r="AK42" s="2">
        <f t="shared" si="10"/>
        <v>-44139.460844232235</v>
      </c>
      <c r="AL42" s="2">
        <v>-873648.70804331987</v>
      </c>
      <c r="AM42" s="2"/>
      <c r="AN42" s="2">
        <v>1776166.112649438</v>
      </c>
      <c r="AO42" s="2">
        <v>1881644.9203235963</v>
      </c>
      <c r="AP42" s="2">
        <v>2598756.8243793799</v>
      </c>
      <c r="AQ42" s="2">
        <f t="shared" si="11"/>
        <v>-105478.80767415836</v>
      </c>
      <c r="AR42" s="2">
        <v>-822590.71172994189</v>
      </c>
      <c r="AS42" s="2"/>
      <c r="AT42" s="2">
        <v>1833709.1016360223</v>
      </c>
      <c r="AU42" s="2">
        <v>2018387.4914876642</v>
      </c>
      <c r="AV42" s="2">
        <v>2606080.0757386554</v>
      </c>
      <c r="AW42" s="2">
        <v>-184678.38985164184</v>
      </c>
      <c r="AX42" s="2">
        <v>-772370.97410263307</v>
      </c>
      <c r="AY42" s="2"/>
      <c r="AZ42" s="2">
        <v>1887400.0665869054</v>
      </c>
      <c r="BA42" s="2">
        <v>2161142.0127059221</v>
      </c>
      <c r="BB42" s="2">
        <v>2611633.0187438009</v>
      </c>
      <c r="BC42" s="2">
        <v>-273741.94611901673</v>
      </c>
      <c r="BD42" s="2">
        <v>-724232.95215689554</v>
      </c>
    </row>
    <row r="43" spans="1:56" x14ac:dyDescent="0.35">
      <c r="A43">
        <v>2032</v>
      </c>
      <c r="B43">
        <v>1</v>
      </c>
      <c r="C43" s="15">
        <v>2343180.6499882052</v>
      </c>
      <c r="D43" s="9">
        <v>48304</v>
      </c>
      <c r="E43" s="2">
        <v>2355978.7809220827</v>
      </c>
      <c r="F43" s="2">
        <v>2579760.81582664</v>
      </c>
      <c r="G43" s="10">
        <f t="shared" si="0"/>
        <v>-12798.130933877546</v>
      </c>
      <c r="H43" s="10">
        <f t="shared" si="1"/>
        <v>-236580.16583843483</v>
      </c>
      <c r="I43" s="13">
        <f t="shared" si="12"/>
        <v>-0.65918551885555943</v>
      </c>
      <c r="J43" s="14">
        <v>2625685.1788274627</v>
      </c>
      <c r="K43" s="2">
        <v>2695951.0914541599</v>
      </c>
      <c r="L43" s="2">
        <v>2601793.855434957</v>
      </c>
      <c r="M43" s="2">
        <f t="shared" si="2"/>
        <v>-70265.912626697216</v>
      </c>
      <c r="N43" s="2">
        <f t="shared" si="3"/>
        <v>23891.323392505758</v>
      </c>
      <c r="P43" s="2">
        <v>2836079.1557357479</v>
      </c>
      <c r="Q43" s="2">
        <v>3142987.9459122345</v>
      </c>
      <c r="R43" s="2">
        <v>2621314.4906462058</v>
      </c>
      <c r="S43" s="2">
        <f t="shared" si="4"/>
        <v>-306908.7901764866</v>
      </c>
      <c r="T43" s="2">
        <f t="shared" si="5"/>
        <v>214764.66508954205</v>
      </c>
      <c r="V43" s="11">
        <v>3035208.0843581464</v>
      </c>
      <c r="W43" s="2">
        <v>3579613.4943443607</v>
      </c>
      <c r="X43" s="2">
        <v>2631045.2833743752</v>
      </c>
      <c r="Y43" s="2">
        <f t="shared" si="6"/>
        <v>-544405.40998621425</v>
      </c>
      <c r="Z43" s="2">
        <f t="shared" si="7"/>
        <v>404162.80098377122</v>
      </c>
      <c r="AB43" s="2">
        <v>3221494.4080679147</v>
      </c>
      <c r="AC43" s="2">
        <v>4042203.4098840477</v>
      </c>
      <c r="AD43" s="2">
        <v>2633805.0886911098</v>
      </c>
      <c r="AE43" s="2">
        <f t="shared" si="8"/>
        <v>-820709.00181613304</v>
      </c>
      <c r="AF43" s="2">
        <f t="shared" si="9"/>
        <v>587689.31937680487</v>
      </c>
      <c r="AH43" s="2">
        <v>2547677.9153242302</v>
      </c>
      <c r="AI43" s="2">
        <v>2563123.2309547407</v>
      </c>
      <c r="AJ43" s="2">
        <v>2594166.6775071565</v>
      </c>
      <c r="AK43" s="2">
        <f t="shared" si="10"/>
        <v>-15445.315630510449</v>
      </c>
      <c r="AL43" s="2">
        <v>-46488.762182926293</v>
      </c>
      <c r="AM43" s="2"/>
      <c r="AN43" s="2">
        <v>2683122.8285113014</v>
      </c>
      <c r="AO43" s="2">
        <v>2762490.693803295</v>
      </c>
      <c r="AP43" s="2">
        <v>2604583.7118872339</v>
      </c>
      <c r="AQ43" s="2">
        <f t="shared" si="11"/>
        <v>-79367.865291993599</v>
      </c>
      <c r="AR43" s="2">
        <v>78539.116624067537</v>
      </c>
      <c r="AS43" s="2"/>
      <c r="AT43" s="2">
        <v>2814879.7963534356</v>
      </c>
      <c r="AU43" s="2">
        <v>2977503.0029662116</v>
      </c>
      <c r="AV43" s="2">
        <v>2613881.7172905975</v>
      </c>
      <c r="AW43" s="2">
        <v>-162623.20661277603</v>
      </c>
      <c r="AX43" s="2">
        <v>200998.07906283811</v>
      </c>
      <c r="AY43" s="2"/>
      <c r="AZ43" s="2">
        <v>2943936.5554526346</v>
      </c>
      <c r="BA43" s="2">
        <v>3201045.8441506084</v>
      </c>
      <c r="BB43" s="2">
        <v>2621401.9903641152</v>
      </c>
      <c r="BC43" s="2">
        <v>-257109.28869797383</v>
      </c>
      <c r="BD43" s="2">
        <v>322534.56508851936</v>
      </c>
    </row>
    <row r="44" spans="1:56" x14ac:dyDescent="0.35">
      <c r="A44">
        <v>2032</v>
      </c>
      <c r="B44">
        <v>2</v>
      </c>
      <c r="C44" s="15">
        <v>2061816.8114706008</v>
      </c>
      <c r="D44" s="9">
        <v>48395</v>
      </c>
      <c r="E44" s="2">
        <v>2128462.939123034</v>
      </c>
      <c r="F44" s="2">
        <v>2540833.6953168185</v>
      </c>
      <c r="G44" s="10">
        <f t="shared" si="0"/>
        <v>-66646.127652433235</v>
      </c>
      <c r="H44" s="10">
        <f t="shared" si="1"/>
        <v>-479016.88384621777</v>
      </c>
      <c r="I44" s="13">
        <f t="shared" si="12"/>
        <v>4.2074891245264796</v>
      </c>
      <c r="J44" s="14">
        <v>2201493.1442386182</v>
      </c>
      <c r="K44" s="2">
        <v>2361443.7089840961</v>
      </c>
      <c r="L44" s="2">
        <v>2559852.8993625734</v>
      </c>
      <c r="M44" s="2">
        <f t="shared" si="2"/>
        <v>-159950.56474547787</v>
      </c>
      <c r="N44" s="2">
        <f t="shared" si="3"/>
        <v>-358359.7551239552</v>
      </c>
      <c r="P44" s="2">
        <v>2263526.0679338174</v>
      </c>
      <c r="Q44" s="2">
        <v>2771931.339473465</v>
      </c>
      <c r="R44" s="2">
        <v>2575555.5505135842</v>
      </c>
      <c r="S44" s="2">
        <f t="shared" si="4"/>
        <v>-508405.2715396476</v>
      </c>
      <c r="T44" s="2">
        <f t="shared" si="5"/>
        <v>-312029.48257976677</v>
      </c>
      <c r="V44" s="11">
        <v>2322542.7829678673</v>
      </c>
      <c r="W44" s="2">
        <v>3186765.1550987288</v>
      </c>
      <c r="X44" s="2">
        <v>2581890.0610966245</v>
      </c>
      <c r="Y44" s="2">
        <f t="shared" si="6"/>
        <v>-864222.37213086151</v>
      </c>
      <c r="Z44" s="2">
        <f t="shared" si="7"/>
        <v>-259347.27812875714</v>
      </c>
      <c r="AB44" s="2">
        <v>2378957.6185464915</v>
      </c>
      <c r="AC44" s="2">
        <v>3662319.5667986376</v>
      </c>
      <c r="AD44" s="2">
        <v>2581223.8903363841</v>
      </c>
      <c r="AE44" s="2">
        <f t="shared" si="8"/>
        <v>-1283361.9482521461</v>
      </c>
      <c r="AF44" s="2">
        <f t="shared" si="9"/>
        <v>-202266.27178989258</v>
      </c>
      <c r="AH44" s="2">
        <v>2175208.2843837077</v>
      </c>
      <c r="AI44" s="2">
        <v>2253794.6202207291</v>
      </c>
      <c r="AJ44" s="2">
        <v>2553364.5074196821</v>
      </c>
      <c r="AK44" s="2">
        <f t="shared" si="10"/>
        <v>-78586.33583702147</v>
      </c>
      <c r="AL44" s="2">
        <v>-378156.22303597443</v>
      </c>
      <c r="AM44" s="2"/>
      <c r="AN44" s="2">
        <v>2210978.1954589873</v>
      </c>
      <c r="AO44" s="2">
        <v>2386881.7370915618</v>
      </c>
      <c r="AP44" s="2">
        <v>2562191.6004963536</v>
      </c>
      <c r="AQ44" s="2">
        <f t="shared" si="11"/>
        <v>-175903.54163257452</v>
      </c>
      <c r="AR44" s="2">
        <v>-351213.40503736632</v>
      </c>
      <c r="AS44" s="2"/>
      <c r="AT44" s="2">
        <v>2244821.0670439745</v>
      </c>
      <c r="AU44" s="2">
        <v>2546362.1886334307</v>
      </c>
      <c r="AV44" s="2">
        <v>2569798.6972170291</v>
      </c>
      <c r="AW44" s="2">
        <v>-301541.12158945622</v>
      </c>
      <c r="AX44" s="2">
        <v>-324977.63017305452</v>
      </c>
      <c r="AY44" s="2"/>
      <c r="AZ44" s="2">
        <v>2277117.8101680875</v>
      </c>
      <c r="BA44" s="2">
        <v>2721613.3049478265</v>
      </c>
      <c r="BB44" s="2">
        <v>2575620.6376321432</v>
      </c>
      <c r="BC44" s="2">
        <v>-444495.49477973906</v>
      </c>
      <c r="BD44" s="2">
        <v>-298502.82746405574</v>
      </c>
    </row>
    <row r="45" spans="1:56" x14ac:dyDescent="0.35">
      <c r="A45">
        <v>2032</v>
      </c>
      <c r="B45">
        <v>3</v>
      </c>
      <c r="C45" s="15">
        <v>2112758.3315798426</v>
      </c>
      <c r="D45" s="9">
        <v>48487</v>
      </c>
      <c r="E45" s="2">
        <v>2168516.1453584293</v>
      </c>
      <c r="F45" s="2">
        <v>2506202.5052502542</v>
      </c>
      <c r="G45" s="10">
        <f t="shared" si="0"/>
        <v>-55757.813778586686</v>
      </c>
      <c r="H45" s="10">
        <f t="shared" si="1"/>
        <v>-393444.17367041158</v>
      </c>
      <c r="I45" s="13">
        <f t="shared" si="12"/>
        <v>-0.16337504154225257</v>
      </c>
      <c r="J45" s="14">
        <v>2242157.4111726629</v>
      </c>
      <c r="K45" s="2">
        <v>2384368.870573957</v>
      </c>
      <c r="L45" s="2">
        <v>2522921.1101967725</v>
      </c>
      <c r="M45" s="2">
        <f t="shared" si="2"/>
        <v>-142211.45940129412</v>
      </c>
      <c r="N45" s="2">
        <f t="shared" si="3"/>
        <v>-280763.69902410964</v>
      </c>
      <c r="P45" s="2">
        <v>2300269.4204933387</v>
      </c>
      <c r="Q45" s="2">
        <v>2767198.0891787559</v>
      </c>
      <c r="R45" s="2">
        <v>2535701.3589965971</v>
      </c>
      <c r="S45" s="2">
        <f t="shared" si="4"/>
        <v>-466928.66868541716</v>
      </c>
      <c r="T45" s="2">
        <f t="shared" si="5"/>
        <v>-235431.9385032584</v>
      </c>
      <c r="V45" s="11">
        <v>2353460.9461692083</v>
      </c>
      <c r="W45" s="2">
        <v>3150157.542075221</v>
      </c>
      <c r="X45" s="2">
        <v>2539428.8803266017</v>
      </c>
      <c r="Y45" s="2">
        <f t="shared" si="6"/>
        <v>-796696.59590601269</v>
      </c>
      <c r="Z45" s="2">
        <f t="shared" si="7"/>
        <v>-185967.93415739341</v>
      </c>
      <c r="AB45" s="2">
        <v>2401263.1134870388</v>
      </c>
      <c r="AC45" s="2">
        <v>3583529.036158768</v>
      </c>
      <c r="AD45" s="2">
        <v>2536126.0263814777</v>
      </c>
      <c r="AE45" s="2">
        <f t="shared" si="8"/>
        <v>-1182265.9226717292</v>
      </c>
      <c r="AF45" s="2">
        <f t="shared" si="9"/>
        <v>-134862.91289443895</v>
      </c>
      <c r="AH45" s="2">
        <v>2219148.9234707812</v>
      </c>
      <c r="AI45" s="2">
        <v>2285438.6186714163</v>
      </c>
      <c r="AJ45" s="2">
        <v>2517302.6610731455</v>
      </c>
      <c r="AK45" s="2">
        <f t="shared" si="10"/>
        <v>-66289.69520063512</v>
      </c>
      <c r="AL45" s="2">
        <v>-298153.73760236427</v>
      </c>
      <c r="AM45" s="2"/>
      <c r="AN45" s="2">
        <v>2255499.1559524289</v>
      </c>
      <c r="AO45" s="2">
        <v>2412774.1080940114</v>
      </c>
      <c r="AP45" s="2">
        <v>2524914.9448290179</v>
      </c>
      <c r="AQ45" s="2">
        <f t="shared" si="11"/>
        <v>-157274.9521415825</v>
      </c>
      <c r="AR45" s="2">
        <v>-269415.78887658892</v>
      </c>
      <c r="AS45" s="2"/>
      <c r="AT45" s="2">
        <v>2287734.8231135979</v>
      </c>
      <c r="AU45" s="2">
        <v>2562247.9538817909</v>
      </c>
      <c r="AV45" s="2">
        <v>2531228.3949498758</v>
      </c>
      <c r="AW45" s="2">
        <v>-274513.13076819293</v>
      </c>
      <c r="AX45" s="2">
        <v>-243493.57183627784</v>
      </c>
      <c r="AY45" s="2"/>
      <c r="AZ45" s="2">
        <v>2317367.2626002035</v>
      </c>
      <c r="BA45" s="2">
        <v>2724862.7629777598</v>
      </c>
      <c r="BB45" s="2">
        <v>2535749.2647894574</v>
      </c>
      <c r="BC45" s="2">
        <v>-407495.50037755631</v>
      </c>
      <c r="BD45" s="2">
        <v>-218382.00218925392</v>
      </c>
    </row>
    <row r="46" spans="1:56" x14ac:dyDescent="0.35">
      <c r="A46">
        <v>2032</v>
      </c>
      <c r="B46">
        <v>4</v>
      </c>
      <c r="C46" s="15">
        <v>1618953.666273436</v>
      </c>
      <c r="D46" s="9">
        <v>48579</v>
      </c>
      <c r="E46" s="2">
        <v>1644318.969145085</v>
      </c>
      <c r="F46" s="2">
        <v>2504532.5411149929</v>
      </c>
      <c r="G46" s="10">
        <f t="shared" si="0"/>
        <v>-25365.302871648921</v>
      </c>
      <c r="H46" s="10">
        <f t="shared" si="1"/>
        <v>-885578.87484155688</v>
      </c>
      <c r="I46" s="13">
        <f t="shared" si="12"/>
        <v>-0.54508074917761129</v>
      </c>
      <c r="J46" s="14">
        <v>1755247.0326250065</v>
      </c>
      <c r="K46" s="2">
        <v>1838899.6001922549</v>
      </c>
      <c r="L46" s="2">
        <v>2522934.4410561509</v>
      </c>
      <c r="M46" s="2">
        <f t="shared" si="2"/>
        <v>-83652.567567248363</v>
      </c>
      <c r="N46" s="2">
        <f t="shared" si="3"/>
        <v>-767687.40843114443</v>
      </c>
      <c r="P46" s="2">
        <v>1847537.7487897093</v>
      </c>
      <c r="Q46" s="2">
        <v>2153284.8397373897</v>
      </c>
      <c r="R46" s="2">
        <v>2537811.2954309089</v>
      </c>
      <c r="S46" s="2">
        <f t="shared" si="4"/>
        <v>-305747.09094768041</v>
      </c>
      <c r="T46" s="2">
        <f t="shared" si="5"/>
        <v>-690273.54664119962</v>
      </c>
      <c r="V46" s="11">
        <v>1927296.3705316624</v>
      </c>
      <c r="W46" s="2">
        <v>2451321.8212061315</v>
      </c>
      <c r="X46" s="2">
        <v>2543370.4906662861</v>
      </c>
      <c r="Y46" s="2">
        <f t="shared" si="6"/>
        <v>-524025.45067446912</v>
      </c>
      <c r="Z46" s="2">
        <f t="shared" si="7"/>
        <v>-616074.12013462372</v>
      </c>
      <c r="AB46" s="2">
        <v>1994891.9203725837</v>
      </c>
      <c r="AC46" s="2">
        <v>2767572.273348771</v>
      </c>
      <c r="AD46" s="2">
        <v>2541883.9680953147</v>
      </c>
      <c r="AE46" s="2">
        <f t="shared" si="8"/>
        <v>-772680.35297618737</v>
      </c>
      <c r="AF46" s="2">
        <f t="shared" si="9"/>
        <v>-546992.04772273102</v>
      </c>
      <c r="AH46" s="2">
        <v>1717925.335409984</v>
      </c>
      <c r="AI46" s="2">
        <v>1749133.5892765985</v>
      </c>
      <c r="AJ46" s="2">
        <v>2516682.8929843153</v>
      </c>
      <c r="AK46" s="2">
        <f t="shared" si="10"/>
        <v>-31208.253866614541</v>
      </c>
      <c r="AL46" s="2">
        <v>-798757.55757433129</v>
      </c>
      <c r="AM46" s="2"/>
      <c r="AN46" s="2">
        <v>1776237.865317177</v>
      </c>
      <c r="AO46" s="2">
        <v>1868305.1962580266</v>
      </c>
      <c r="AP46" s="2">
        <v>2525178.105355198</v>
      </c>
      <c r="AQ46" s="2">
        <f t="shared" si="11"/>
        <v>-92067.330940849613</v>
      </c>
      <c r="AR46" s="2">
        <v>-748940.240038021</v>
      </c>
      <c r="AS46" s="2"/>
      <c r="AT46" s="2">
        <v>1832766.4526164248</v>
      </c>
      <c r="AU46" s="2">
        <v>2003396.8980279644</v>
      </c>
      <c r="AV46" s="2">
        <v>2532422.9326305995</v>
      </c>
      <c r="AW46" s="2">
        <v>-170630.44541153964</v>
      </c>
      <c r="AX46" s="2">
        <v>-699656.48001417471</v>
      </c>
      <c r="AY46" s="2"/>
      <c r="AZ46" s="2">
        <v>1885652.9734359384</v>
      </c>
      <c r="BA46" s="2">
        <v>2144396.0833847616</v>
      </c>
      <c r="BB46" s="2">
        <v>2537871.3912158627</v>
      </c>
      <c r="BC46" s="2">
        <v>-258743.10994882323</v>
      </c>
      <c r="BD46" s="2">
        <v>-652218.41777992435</v>
      </c>
    </row>
    <row r="47" spans="1:56" x14ac:dyDescent="0.35">
      <c r="A47">
        <v>2033</v>
      </c>
      <c r="B47">
        <v>1</v>
      </c>
      <c r="C47" s="15">
        <v>2298036.0327001265</v>
      </c>
      <c r="D47" s="9">
        <v>48669</v>
      </c>
      <c r="E47" s="2">
        <v>2310771.9264934193</v>
      </c>
      <c r="F47" s="2">
        <v>2508100.4965960989</v>
      </c>
      <c r="G47" s="10">
        <f t="shared" si="0"/>
        <v>-12735.893793292809</v>
      </c>
      <c r="H47" s="10">
        <f t="shared" si="1"/>
        <v>-210064.46389597235</v>
      </c>
      <c r="I47" s="13">
        <f t="shared" si="12"/>
        <v>-0.49790097686837165</v>
      </c>
      <c r="J47" s="14">
        <v>2580421.4601312014</v>
      </c>
      <c r="K47" s="2">
        <v>2649854.9541005013</v>
      </c>
      <c r="L47" s="2">
        <v>2530073.9607816627</v>
      </c>
      <c r="M47" s="2">
        <f t="shared" si="2"/>
        <v>-69433.49396929983</v>
      </c>
      <c r="N47" s="2">
        <f t="shared" si="3"/>
        <v>50347.499349538703</v>
      </c>
      <c r="P47" s="2">
        <v>2785835.2870321814</v>
      </c>
      <c r="Q47" s="2">
        <v>3088241.266323484</v>
      </c>
      <c r="R47" s="2">
        <v>2549401.8468442643</v>
      </c>
      <c r="S47" s="2">
        <f t="shared" si="4"/>
        <v>-302405.97929130262</v>
      </c>
      <c r="T47" s="2">
        <f t="shared" si="5"/>
        <v>236433.44018791709</v>
      </c>
      <c r="V47" s="11">
        <v>2980573.0794439316</v>
      </c>
      <c r="W47" s="2">
        <v>3516670.4382003415</v>
      </c>
      <c r="X47" s="2">
        <v>2558852.3978668503</v>
      </c>
      <c r="Y47" s="2">
        <f t="shared" si="6"/>
        <v>-536097.35875640996</v>
      </c>
      <c r="Z47" s="2">
        <f t="shared" si="7"/>
        <v>421720.68157708133</v>
      </c>
      <c r="AB47" s="2">
        <v>3163579.1556785353</v>
      </c>
      <c r="AC47" s="2">
        <v>3971486.751556546</v>
      </c>
      <c r="AD47" s="2">
        <v>2561227.5370054049</v>
      </c>
      <c r="AE47" s="2">
        <f t="shared" si="8"/>
        <v>-807907.59587801062</v>
      </c>
      <c r="AF47" s="2">
        <f t="shared" si="9"/>
        <v>602351.6186731304</v>
      </c>
      <c r="AH47" s="2">
        <v>2503729.5602396405</v>
      </c>
      <c r="AI47" s="2">
        <v>2519187.8748872736</v>
      </c>
      <c r="AJ47" s="2">
        <v>2522478.9367538649</v>
      </c>
      <c r="AK47" s="2">
        <f t="shared" si="10"/>
        <v>-15458.314647633117</v>
      </c>
      <c r="AL47" s="2">
        <v>-18749.376514224336</v>
      </c>
      <c r="AM47" s="2"/>
      <c r="AN47" s="2">
        <v>2635271.4848942575</v>
      </c>
      <c r="AO47" s="2">
        <v>2713697.8548939503</v>
      </c>
      <c r="AP47" s="2">
        <v>2532847.8474506205</v>
      </c>
      <c r="AQ47" s="2">
        <f t="shared" si="11"/>
        <v>-78426.369999692775</v>
      </c>
      <c r="AR47" s="2">
        <v>102423.63744363701</v>
      </c>
      <c r="AS47" s="2"/>
      <c r="AT47" s="2">
        <v>2763410.5536066452</v>
      </c>
      <c r="AU47" s="2">
        <v>2923796.1647366984</v>
      </c>
      <c r="AV47" s="2">
        <v>2542069.7355826292</v>
      </c>
      <c r="AW47" s="2">
        <v>-160385.61113005318</v>
      </c>
      <c r="AX47" s="2">
        <v>221340.81802401599</v>
      </c>
      <c r="AY47" s="2"/>
      <c r="AZ47" s="2">
        <v>2889181.7339783022</v>
      </c>
      <c r="BA47" s="2">
        <v>3142588.5823379927</v>
      </c>
      <c r="BB47" s="2">
        <v>2549487.8310205713</v>
      </c>
      <c r="BC47" s="2">
        <v>-253406.84835969051</v>
      </c>
      <c r="BD47" s="2">
        <v>339693.90295773093</v>
      </c>
    </row>
    <row r="48" spans="1:56" x14ac:dyDescent="0.35">
      <c r="A48">
        <v>2033</v>
      </c>
      <c r="B48">
        <v>2</v>
      </c>
      <c r="C48" s="15">
        <v>2053139.3191702699</v>
      </c>
      <c r="D48" s="9">
        <v>48760</v>
      </c>
      <c r="E48" s="2">
        <v>2119386.9525141604</v>
      </c>
      <c r="F48" s="2">
        <v>2468754.5214573881</v>
      </c>
      <c r="G48" s="10">
        <f t="shared" si="0"/>
        <v>-66247.633343890542</v>
      </c>
      <c r="H48" s="10">
        <f t="shared" si="1"/>
        <v>-415615.20228711818</v>
      </c>
      <c r="I48" s="13">
        <f t="shared" si="12"/>
        <v>4.2016477539078556</v>
      </c>
      <c r="J48" s="14">
        <v>2199153.9041924411</v>
      </c>
      <c r="K48" s="2">
        <v>2358781.9882306946</v>
      </c>
      <c r="L48" s="2">
        <v>2487653.0344259995</v>
      </c>
      <c r="M48" s="2">
        <f t="shared" si="2"/>
        <v>-159628.08403825341</v>
      </c>
      <c r="N48" s="2">
        <f t="shared" si="3"/>
        <v>-288499.13023355836</v>
      </c>
      <c r="P48" s="2">
        <v>2260330.9825558648</v>
      </c>
      <c r="Q48" s="2">
        <v>2767753.3552918248</v>
      </c>
      <c r="R48" s="2">
        <v>2503086.1959199789</v>
      </c>
      <c r="S48" s="2">
        <f t="shared" si="4"/>
        <v>-507422.37273595994</v>
      </c>
      <c r="T48" s="2">
        <f t="shared" si="5"/>
        <v>-242755.21336411405</v>
      </c>
      <c r="V48" s="11">
        <v>2318460.1728449124</v>
      </c>
      <c r="W48" s="2">
        <v>3180903.8281779476</v>
      </c>
      <c r="X48" s="2">
        <v>2509072.8318195185</v>
      </c>
      <c r="Y48" s="2">
        <f t="shared" si="6"/>
        <v>-862443.65533303516</v>
      </c>
      <c r="Z48" s="2">
        <f t="shared" si="7"/>
        <v>-190612.65897460608</v>
      </c>
      <c r="AB48" s="2">
        <v>2374104.1767268474</v>
      </c>
      <c r="AC48" s="2">
        <v>3654694.146086799</v>
      </c>
      <c r="AD48" s="2">
        <v>2507954.3617573427</v>
      </c>
      <c r="AE48" s="2">
        <f t="shared" si="8"/>
        <v>-1280589.9693599516</v>
      </c>
      <c r="AF48" s="2">
        <f t="shared" si="9"/>
        <v>-133850.18503049528</v>
      </c>
      <c r="AH48" s="2">
        <v>2173080.928632868</v>
      </c>
      <c r="AI48" s="2">
        <v>2251477.6856743721</v>
      </c>
      <c r="AJ48" s="2">
        <v>2481219.8329638587</v>
      </c>
      <c r="AK48" s="2">
        <f t="shared" si="10"/>
        <v>-78396.757041504141</v>
      </c>
      <c r="AL48" s="2">
        <v>-308138.90433099074</v>
      </c>
      <c r="AM48" s="2"/>
      <c r="AN48" s="2">
        <v>2208158.4964692597</v>
      </c>
      <c r="AO48" s="2">
        <v>2383685.5889360467</v>
      </c>
      <c r="AP48" s="2">
        <v>2489966.6581186587</v>
      </c>
      <c r="AQ48" s="2">
        <f t="shared" si="11"/>
        <v>-175527.09246678697</v>
      </c>
      <c r="AR48" s="2">
        <v>-281808.16164939897</v>
      </c>
      <c r="AS48" s="2"/>
      <c r="AT48" s="2">
        <v>2241376.4464518153</v>
      </c>
      <c r="AU48" s="2">
        <v>2542266.4066613228</v>
      </c>
      <c r="AV48" s="2">
        <v>2497463.5970281716</v>
      </c>
      <c r="AW48" s="2">
        <v>-300889.9602095075</v>
      </c>
      <c r="AX48" s="2">
        <v>-256087.15057635633</v>
      </c>
      <c r="AY48" s="2"/>
      <c r="AZ48" s="2">
        <v>2273097.5297323014</v>
      </c>
      <c r="BA48" s="2">
        <v>2716591.6972961402</v>
      </c>
      <c r="BB48" s="2">
        <v>2503149.319239689</v>
      </c>
      <c r="BC48" s="2">
        <v>-443494.16756383888</v>
      </c>
      <c r="BD48" s="2">
        <v>-230051.78950738767</v>
      </c>
    </row>
    <row r="49" spans="1:56" x14ac:dyDescent="0.35">
      <c r="A49">
        <v>2033</v>
      </c>
      <c r="B49">
        <v>3</v>
      </c>
      <c r="C49" s="15">
        <v>2100519.4300330309</v>
      </c>
      <c r="D49" s="9">
        <v>48852</v>
      </c>
      <c r="E49" s="2">
        <v>2156065.4591382816</v>
      </c>
      <c r="F49" s="2">
        <v>2433831.3485693168</v>
      </c>
      <c r="G49" s="10">
        <f t="shared" si="0"/>
        <v>-55546.029105250724</v>
      </c>
      <c r="H49" s="10">
        <f t="shared" si="1"/>
        <v>-333311.91853628587</v>
      </c>
      <c r="I49" s="13">
        <f t="shared" si="12"/>
        <v>-0.16153941957575968</v>
      </c>
      <c r="J49" s="14">
        <v>2235289.1310478346</v>
      </c>
      <c r="K49" s="2">
        <v>2377258.2632035273</v>
      </c>
      <c r="L49" s="2">
        <v>2450375.0373082836</v>
      </c>
      <c r="M49" s="2">
        <f t="shared" si="2"/>
        <v>-141969.13215569267</v>
      </c>
      <c r="N49" s="2">
        <f t="shared" si="3"/>
        <v>-215085.90626044897</v>
      </c>
      <c r="P49" s="2">
        <v>2292250.000695765</v>
      </c>
      <c r="Q49" s="2">
        <v>2758068.8218402304</v>
      </c>
      <c r="R49" s="2">
        <v>2462817.7080904213</v>
      </c>
      <c r="S49" s="2">
        <f t="shared" si="4"/>
        <v>-465818.82114446536</v>
      </c>
      <c r="T49" s="2">
        <f t="shared" si="5"/>
        <v>-170567.70739465626</v>
      </c>
      <c r="V49" s="11">
        <v>2344445.743621639</v>
      </c>
      <c r="W49" s="2">
        <v>3139003.9842677535</v>
      </c>
      <c r="X49" s="2">
        <v>2466137.3470584429</v>
      </c>
      <c r="Y49" s="2">
        <f t="shared" si="6"/>
        <v>-794558.24064611457</v>
      </c>
      <c r="Z49" s="2">
        <f t="shared" si="7"/>
        <v>-121691.60343680391</v>
      </c>
      <c r="AB49" s="2">
        <v>2391351.2666450813</v>
      </c>
      <c r="AC49" s="2">
        <v>3570177.2902100044</v>
      </c>
      <c r="AD49" s="2">
        <v>2462322.1859870665</v>
      </c>
      <c r="AE49" s="2">
        <f t="shared" si="8"/>
        <v>-1178826.0235649231</v>
      </c>
      <c r="AF49" s="2">
        <f t="shared" si="9"/>
        <v>-70970.919341985136</v>
      </c>
      <c r="AH49" s="2">
        <v>2212651.8805318223</v>
      </c>
      <c r="AI49" s="2">
        <v>2278871.2006036248</v>
      </c>
      <c r="AJ49" s="2">
        <v>2444832.2179724942</v>
      </c>
      <c r="AK49" s="2">
        <f t="shared" si="10"/>
        <v>-66219.320071802475</v>
      </c>
      <c r="AL49" s="2">
        <v>-232180.33744067186</v>
      </c>
      <c r="AM49" s="2"/>
      <c r="AN49" s="2">
        <v>2248367.0411866484</v>
      </c>
      <c r="AO49" s="2">
        <v>2405359.4544912074</v>
      </c>
      <c r="AP49" s="2">
        <v>2452335.7136898963</v>
      </c>
      <c r="AQ49" s="2">
        <f t="shared" si="11"/>
        <v>-156992.41330455896</v>
      </c>
      <c r="AR49" s="2">
        <v>-203968.67250324786</v>
      </c>
      <c r="AS49" s="2"/>
      <c r="AT49" s="2">
        <v>2279905.9385602917</v>
      </c>
      <c r="AU49" s="2">
        <v>2553818.1744216373</v>
      </c>
      <c r="AV49" s="2">
        <v>2458508.8033789732</v>
      </c>
      <c r="AW49" s="2">
        <v>-273912.23586134566</v>
      </c>
      <c r="AX49" s="2">
        <v>-178602.8648186815</v>
      </c>
      <c r="AY49" s="2"/>
      <c r="AZ49" s="2">
        <v>2309007.935798455</v>
      </c>
      <c r="BA49" s="2">
        <v>2715525.0400994411</v>
      </c>
      <c r="BB49" s="2">
        <v>2462863.2523661265</v>
      </c>
      <c r="BC49" s="2">
        <v>-406517.10430098604</v>
      </c>
      <c r="BD49" s="2">
        <v>-153855.31656767149</v>
      </c>
    </row>
    <row r="50" spans="1:56" x14ac:dyDescent="0.35">
      <c r="A50">
        <v>2033</v>
      </c>
      <c r="B50">
        <v>4</v>
      </c>
      <c r="C50" s="15">
        <v>1606970.0352635882</v>
      </c>
      <c r="D50" s="9">
        <v>48944</v>
      </c>
      <c r="E50" s="2">
        <v>1630870.3715044754</v>
      </c>
      <c r="F50" s="2">
        <v>2430191.025497729</v>
      </c>
      <c r="G50" s="10">
        <f t="shared" si="0"/>
        <v>-23900.336240887176</v>
      </c>
      <c r="H50" s="10">
        <f t="shared" si="1"/>
        <v>-823220.99023414077</v>
      </c>
      <c r="I50" s="13">
        <f t="shared" si="12"/>
        <v>-0.56972016495364752</v>
      </c>
      <c r="J50" s="14">
        <v>1743255.990740899</v>
      </c>
      <c r="K50" s="2">
        <v>1842365.8487551659</v>
      </c>
      <c r="L50" s="2">
        <v>2518373.5181234609</v>
      </c>
      <c r="M50" s="2">
        <f t="shared" si="2"/>
        <v>-99109.858014266938</v>
      </c>
      <c r="N50" s="2">
        <f t="shared" si="3"/>
        <v>-775117.52738256194</v>
      </c>
      <c r="P50" s="2">
        <v>1833775.9979427471</v>
      </c>
      <c r="Q50" s="2">
        <v>2165802.2968656854</v>
      </c>
      <c r="R50" s="2">
        <v>2620753.54922282</v>
      </c>
      <c r="S50" s="2">
        <f t="shared" si="4"/>
        <v>-332026.29892293829</v>
      </c>
      <c r="T50" s="2">
        <f t="shared" si="5"/>
        <v>-786977.55128007289</v>
      </c>
      <c r="V50" s="11">
        <v>1911824.8921743995</v>
      </c>
      <c r="W50" s="2">
        <v>2467147.8325976231</v>
      </c>
      <c r="X50" s="2">
        <v>2703321.0197518505</v>
      </c>
      <c r="Y50" s="2">
        <f t="shared" si="6"/>
        <v>-555322.94042322366</v>
      </c>
      <c r="Z50" s="2">
        <f t="shared" si="7"/>
        <v>-791496.12757745106</v>
      </c>
      <c r="AB50" s="2">
        <v>1978180.6588764051</v>
      </c>
      <c r="AC50" s="2">
        <v>2789027.6340030446</v>
      </c>
      <c r="AD50" s="2">
        <v>2778738.7781064478</v>
      </c>
      <c r="AE50" s="2">
        <f t="shared" si="8"/>
        <v>-810846.97512663947</v>
      </c>
      <c r="AF50" s="2">
        <f t="shared" si="9"/>
        <v>-800558.11923004268</v>
      </c>
      <c r="AH50" s="2">
        <v>1706294.3273407738</v>
      </c>
      <c r="AI50" s="2">
        <v>1753867.6981198406</v>
      </c>
      <c r="AJ50" s="2">
        <v>2485828.9396919273</v>
      </c>
      <c r="AK50" s="2">
        <f t="shared" si="10"/>
        <v>-47573.370779066812</v>
      </c>
      <c r="AL50" s="2">
        <v>-779534.61235115351</v>
      </c>
      <c r="AM50" s="2"/>
      <c r="AN50" s="2">
        <v>1763053.6459972165</v>
      </c>
      <c r="AO50" s="2">
        <v>1888455.0936684548</v>
      </c>
      <c r="AP50" s="2">
        <v>2531009.0516732084</v>
      </c>
      <c r="AQ50" s="2">
        <f t="shared" si="11"/>
        <v>-125401.44767123833</v>
      </c>
      <c r="AR50" s="2">
        <v>-767955.4056759919</v>
      </c>
      <c r="AS50" s="2"/>
      <c r="AT50" s="2">
        <v>1818225.7977469121</v>
      </c>
      <c r="AU50" s="2">
        <v>2035091.5295387448</v>
      </c>
      <c r="AV50" s="2">
        <v>2577077.876227038</v>
      </c>
      <c r="AW50" s="2">
        <v>-216865.73179183272</v>
      </c>
      <c r="AX50" s="2">
        <v>-758852.07848012587</v>
      </c>
      <c r="AY50" s="2"/>
      <c r="AZ50" s="2">
        <v>1869746.7722890652</v>
      </c>
      <c r="BA50" s="2">
        <v>2182543.0383922304</v>
      </c>
      <c r="BB50" s="2">
        <v>2621324.3807088742</v>
      </c>
      <c r="BC50" s="2">
        <v>-312796.26610316522</v>
      </c>
      <c r="BD50" s="2">
        <v>-751577.60841980902</v>
      </c>
    </row>
    <row r="51" spans="1:56" x14ac:dyDescent="0.35">
      <c r="A51">
        <v>2034</v>
      </c>
      <c r="B51">
        <v>1</v>
      </c>
      <c r="C51" s="15">
        <v>2291117.4274977022</v>
      </c>
      <c r="D51" s="9">
        <v>49034</v>
      </c>
      <c r="E51" s="2">
        <v>2303606.7788235852</v>
      </c>
      <c r="F51" s="2">
        <v>2432868.2724831803</v>
      </c>
      <c r="G51" s="10">
        <f t="shared" si="0"/>
        <v>-12489.351325883064</v>
      </c>
      <c r="H51" s="10">
        <f t="shared" si="1"/>
        <v>-141750.84498547809</v>
      </c>
      <c r="I51" s="13">
        <f t="shared" si="12"/>
        <v>-0.47744035062916501</v>
      </c>
      <c r="J51" s="14">
        <v>2612662.8932006494</v>
      </c>
      <c r="K51" s="2">
        <v>2681052.6235339665</v>
      </c>
      <c r="L51" s="2">
        <v>2536927.2157658963</v>
      </c>
      <c r="M51" s="2">
        <f t="shared" si="2"/>
        <v>-68389.730333317071</v>
      </c>
      <c r="N51" s="2">
        <f t="shared" si="3"/>
        <v>75735.677434753161</v>
      </c>
      <c r="P51" s="2">
        <v>2847875.4303410365</v>
      </c>
      <c r="Q51" s="2">
        <v>3149392.4858054272</v>
      </c>
      <c r="R51" s="2">
        <v>2659209.0187161849</v>
      </c>
      <c r="S51" s="2">
        <f t="shared" si="4"/>
        <v>-301517.05546439067</v>
      </c>
      <c r="T51" s="2">
        <f t="shared" si="5"/>
        <v>188666.41162485164</v>
      </c>
      <c r="V51" s="11">
        <v>3068390.2817177116</v>
      </c>
      <c r="W51" s="2">
        <v>3604631.2451090207</v>
      </c>
      <c r="X51" s="2">
        <v>2759284.8711341759</v>
      </c>
      <c r="Y51" s="2">
        <f t="shared" si="6"/>
        <v>-536240.96339130914</v>
      </c>
      <c r="Z51" s="2">
        <f t="shared" si="7"/>
        <v>309105.41058353567</v>
      </c>
      <c r="AB51" s="2">
        <v>3270539.7416393952</v>
      </c>
      <c r="AC51" s="2">
        <v>4079776.0274095098</v>
      </c>
      <c r="AD51" s="2">
        <v>2852181.3174458845</v>
      </c>
      <c r="AE51" s="2">
        <f t="shared" si="8"/>
        <v>-809236.28577011451</v>
      </c>
      <c r="AF51" s="2">
        <f t="shared" si="9"/>
        <v>418358.42419351079</v>
      </c>
      <c r="AH51" s="2">
        <v>2536357.3258406669</v>
      </c>
      <c r="AI51" s="2">
        <v>2550565.0694593983</v>
      </c>
      <c r="AJ51" s="2">
        <v>2498401.0297214631</v>
      </c>
      <c r="AK51" s="2">
        <f t="shared" si="10"/>
        <v>-14207.743618731387</v>
      </c>
      <c r="AL51" s="2">
        <v>37956.296119203791</v>
      </c>
      <c r="AM51" s="2"/>
      <c r="AN51" s="2">
        <v>2699887.1168555529</v>
      </c>
      <c r="AO51" s="2">
        <v>2776204.3714553895</v>
      </c>
      <c r="AP51" s="2">
        <v>2551926.6858742274</v>
      </c>
      <c r="AQ51" s="2">
        <f t="shared" si="11"/>
        <v>-76317.254599836655</v>
      </c>
      <c r="AR51" s="2">
        <v>147960.43098132545</v>
      </c>
      <c r="AS51" s="2"/>
      <c r="AT51" s="2">
        <v>2857783.1628729436</v>
      </c>
      <c r="AU51" s="2">
        <v>3015562.4748503887</v>
      </c>
      <c r="AV51" s="2">
        <v>2606826.2097049835</v>
      </c>
      <c r="AW51" s="2">
        <v>-157779.31197744515</v>
      </c>
      <c r="AX51" s="2">
        <v>250956.95316796005</v>
      </c>
      <c r="AY51" s="2"/>
      <c r="AZ51" s="2">
        <v>3008250.3977985051</v>
      </c>
      <c r="BA51" s="2">
        <v>3258840.8231677301</v>
      </c>
      <c r="BB51" s="2">
        <v>2659895.9894880299</v>
      </c>
      <c r="BC51" s="2">
        <v>-250590.42536922498</v>
      </c>
      <c r="BD51" s="2">
        <v>348354.40831047529</v>
      </c>
    </row>
    <row r="52" spans="1:56" x14ac:dyDescent="0.35">
      <c r="A52">
        <v>2034</v>
      </c>
      <c r="B52">
        <v>2</v>
      </c>
      <c r="C52" s="15">
        <v>2043255.2681541876</v>
      </c>
      <c r="D52" s="9">
        <v>49125</v>
      </c>
      <c r="E52" s="2">
        <v>2109156.3975081672</v>
      </c>
      <c r="F52" s="2">
        <v>2393211.5816666312</v>
      </c>
      <c r="G52" s="10">
        <f t="shared" si="0"/>
        <v>-65901.129353979602</v>
      </c>
      <c r="H52" s="10">
        <f t="shared" si="1"/>
        <v>-349956.31351244356</v>
      </c>
      <c r="I52" s="13">
        <f t="shared" si="12"/>
        <v>4.2765854394219343</v>
      </c>
      <c r="J52" s="14">
        <v>2208585.1505495002</v>
      </c>
      <c r="K52" s="2">
        <v>2368704.8844707096</v>
      </c>
      <c r="L52" s="2">
        <v>2508988.4962307401</v>
      </c>
      <c r="M52" s="2">
        <f t="shared" si="2"/>
        <v>-160119.73392120935</v>
      </c>
      <c r="N52" s="2">
        <f t="shared" si="3"/>
        <v>-300403.34568123985</v>
      </c>
      <c r="P52" s="2">
        <v>2281520.9074371522</v>
      </c>
      <c r="Q52" s="2">
        <v>2792905.8265599683</v>
      </c>
      <c r="R52" s="2">
        <v>2645950.4394164151</v>
      </c>
      <c r="S52" s="2">
        <f t="shared" si="4"/>
        <v>-511384.91912281606</v>
      </c>
      <c r="T52" s="2">
        <f t="shared" si="5"/>
        <v>-364429.53197926283</v>
      </c>
      <c r="V52" s="11">
        <v>2350499.3873412153</v>
      </c>
      <c r="W52" s="2">
        <v>3223143.8570251386</v>
      </c>
      <c r="X52" s="2">
        <v>2758932.7522263005</v>
      </c>
      <c r="Y52" s="2">
        <f t="shared" si="6"/>
        <v>-872644.46968392329</v>
      </c>
      <c r="Z52" s="2">
        <f t="shared" si="7"/>
        <v>-408433.36488508526</v>
      </c>
      <c r="AB52" s="2">
        <v>2416741.3737910315</v>
      </c>
      <c r="AC52" s="2">
        <v>3717435.3033116907</v>
      </c>
      <c r="AD52" s="2">
        <v>2864705.9649980571</v>
      </c>
      <c r="AE52" s="2">
        <f t="shared" si="8"/>
        <v>-1300693.9295206591</v>
      </c>
      <c r="AF52" s="2">
        <f t="shared" si="9"/>
        <v>-447964.59120702557</v>
      </c>
      <c r="AH52" s="2">
        <v>2178938.9679630501</v>
      </c>
      <c r="AI52" s="2">
        <v>2257459.5994784771</v>
      </c>
      <c r="AJ52" s="2">
        <v>2466048.1753781307</v>
      </c>
      <c r="AK52" s="2">
        <f t="shared" si="10"/>
        <v>-78520.631515427027</v>
      </c>
      <c r="AL52" s="2">
        <v>-287109.20741508063</v>
      </c>
      <c r="AM52" s="2"/>
      <c r="AN52" s="2">
        <v>2223127.7859761706</v>
      </c>
      <c r="AO52" s="2">
        <v>2399606.7119523818</v>
      </c>
      <c r="AP52" s="2">
        <v>2525732.1927791759</v>
      </c>
      <c r="AQ52" s="2">
        <f t="shared" si="11"/>
        <v>-176478.92597621121</v>
      </c>
      <c r="AR52" s="2">
        <v>-302604.40680300537</v>
      </c>
      <c r="AS52" s="2"/>
      <c r="AT52" s="2">
        <v>2264602.9288101597</v>
      </c>
      <c r="AU52" s="2">
        <v>2568130.0375406891</v>
      </c>
      <c r="AV52" s="2">
        <v>2587146.2048358656</v>
      </c>
      <c r="AW52" s="2">
        <v>-303527.10873052943</v>
      </c>
      <c r="AX52" s="2">
        <v>-322543.27602570597</v>
      </c>
      <c r="AY52" s="2"/>
      <c r="AZ52" s="2">
        <v>2304379.1783370152</v>
      </c>
      <c r="BA52" s="2">
        <v>2753128.8918620381</v>
      </c>
      <c r="BB52" s="2">
        <v>2646723.0488691307</v>
      </c>
      <c r="BC52" s="2">
        <v>-448749.71352502285</v>
      </c>
      <c r="BD52" s="2">
        <v>-342343.87053211546</v>
      </c>
    </row>
    <row r="53" spans="1:56" x14ac:dyDescent="0.35">
      <c r="A53">
        <v>2034</v>
      </c>
      <c r="B53">
        <v>3</v>
      </c>
      <c r="C53" s="15">
        <v>2092915.0572679844</v>
      </c>
      <c r="D53" s="9">
        <v>49217</v>
      </c>
      <c r="E53" s="2">
        <v>2148067.4272523033</v>
      </c>
      <c r="F53" s="2">
        <v>2358052.2957620649</v>
      </c>
      <c r="G53" s="10">
        <f t="shared" si="0"/>
        <v>-55152.369984318968</v>
      </c>
      <c r="H53" s="10">
        <f t="shared" si="1"/>
        <v>-265137.23849408049</v>
      </c>
      <c r="I53" s="13">
        <f t="shared" si="12"/>
        <v>-0.16310432727070623</v>
      </c>
      <c r="J53" s="14">
        <v>2244306.971822625</v>
      </c>
      <c r="K53" s="2">
        <v>2386501.4934853213</v>
      </c>
      <c r="L53" s="2">
        <v>2486136.4197899131</v>
      </c>
      <c r="M53" s="2">
        <f t="shared" si="2"/>
        <v>-142194.52166269626</v>
      </c>
      <c r="N53" s="2">
        <f t="shared" si="3"/>
        <v>-241829.44796728808</v>
      </c>
      <c r="P53" s="2">
        <v>2310185.8185435915</v>
      </c>
      <c r="Q53" s="2">
        <v>2778784.5169579582</v>
      </c>
      <c r="R53" s="2">
        <v>2638518.3853756124</v>
      </c>
      <c r="S53" s="2">
        <f t="shared" si="4"/>
        <v>-468598.69841436669</v>
      </c>
      <c r="T53" s="2">
        <f t="shared" si="5"/>
        <v>-328332.56683202088</v>
      </c>
      <c r="V53" s="11">
        <v>2369972.6466122922</v>
      </c>
      <c r="W53" s="2">
        <v>3171785.7852120949</v>
      </c>
      <c r="X53" s="2">
        <v>2765059.2305521024</v>
      </c>
      <c r="Y53" s="2">
        <f t="shared" si="6"/>
        <v>-801813.13859980274</v>
      </c>
      <c r="Z53" s="2">
        <f t="shared" si="7"/>
        <v>-395086.58393981028</v>
      </c>
      <c r="AB53" s="2">
        <v>2422799.7274856251</v>
      </c>
      <c r="AC53" s="2">
        <v>3615138.5238743033</v>
      </c>
      <c r="AD53" s="2">
        <v>2884361.2817586157</v>
      </c>
      <c r="AE53" s="2">
        <f t="shared" si="8"/>
        <v>-1192338.7963886783</v>
      </c>
      <c r="AF53" s="2">
        <f t="shared" si="9"/>
        <v>-461561.55427299067</v>
      </c>
      <c r="AH53" s="2">
        <v>2219548.7699079439</v>
      </c>
      <c r="AI53" s="2">
        <v>2285726.992653891</v>
      </c>
      <c r="AJ53" s="2">
        <v>2438559.8601476215</v>
      </c>
      <c r="AK53" s="2">
        <f t="shared" si="10"/>
        <v>-66178.222745947074</v>
      </c>
      <c r="AL53" s="2">
        <v>-219011.09023967758</v>
      </c>
      <c r="AM53" s="2"/>
      <c r="AN53" s="2">
        <v>2262997.0865496835</v>
      </c>
      <c r="AO53" s="2">
        <v>2420569.5190576664</v>
      </c>
      <c r="AP53" s="2">
        <v>2504712.1529683834</v>
      </c>
      <c r="AQ53" s="2">
        <f t="shared" si="11"/>
        <v>-157572.43250798294</v>
      </c>
      <c r="AR53" s="2">
        <v>-241715.06641869992</v>
      </c>
      <c r="AS53" s="2"/>
      <c r="AT53" s="2">
        <v>2301356.6734638899</v>
      </c>
      <c r="AU53" s="2">
        <v>2577127.3454984077</v>
      </c>
      <c r="AV53" s="2">
        <v>2572968.8501389436</v>
      </c>
      <c r="AW53" s="2">
        <v>-275770.67203451786</v>
      </c>
      <c r="AX53" s="2">
        <v>-271612.17667505378</v>
      </c>
      <c r="AY53" s="2"/>
      <c r="AZ53" s="2">
        <v>2336707.009486177</v>
      </c>
      <c r="BA53" s="2">
        <v>2747031.8995432002</v>
      </c>
      <c r="BB53" s="2">
        <v>2639380.9553103633</v>
      </c>
      <c r="BC53" s="2">
        <v>-410324.89005702315</v>
      </c>
      <c r="BD53" s="2">
        <v>-302673.94582418632</v>
      </c>
    </row>
    <row r="54" spans="1:56" x14ac:dyDescent="0.35">
      <c r="A54">
        <v>2034</v>
      </c>
      <c r="B54">
        <v>4</v>
      </c>
      <c r="C54" s="15">
        <v>1593490.3905092659</v>
      </c>
      <c r="D54" s="9">
        <v>49309</v>
      </c>
      <c r="E54" s="2">
        <v>1624059.0802488613</v>
      </c>
      <c r="F54" s="2">
        <v>2362736.2351239766</v>
      </c>
      <c r="G54" s="10">
        <f t="shared" si="0"/>
        <v>-30568.6897395954</v>
      </c>
      <c r="H54" s="10">
        <f t="shared" si="1"/>
        <v>-769245.84461471066</v>
      </c>
      <c r="I54" s="13">
        <f t="shared" si="12"/>
        <v>-0.44574113953241268</v>
      </c>
      <c r="J54" s="14">
        <v>1747165.7421905133</v>
      </c>
      <c r="K54" s="2">
        <v>1832991.3178660718</v>
      </c>
      <c r="L54" s="2">
        <v>2490715.0855965</v>
      </c>
      <c r="M54" s="2">
        <f t="shared" si="2"/>
        <v>-85825.575675558532</v>
      </c>
      <c r="N54" s="2">
        <f t="shared" si="3"/>
        <v>-743549.34340598667</v>
      </c>
      <c r="P54" s="2">
        <v>1847528.5066612053</v>
      </c>
      <c r="Q54" s="2">
        <v>2152172.119278946</v>
      </c>
      <c r="R54" s="2">
        <v>2642948.8354375809</v>
      </c>
      <c r="S54" s="2">
        <f t="shared" si="4"/>
        <v>-304643.61261774064</v>
      </c>
      <c r="T54" s="2">
        <f t="shared" si="5"/>
        <v>-795420.32877637562</v>
      </c>
      <c r="V54" s="11">
        <v>1930623.0915639591</v>
      </c>
      <c r="W54" s="2">
        <v>2450499.8627683911</v>
      </c>
      <c r="X54" s="2">
        <v>2769343.8843993507</v>
      </c>
      <c r="Y54" s="2">
        <f t="shared" si="6"/>
        <v>-519876.77120443201</v>
      </c>
      <c r="Z54" s="2">
        <f t="shared" si="7"/>
        <v>-838720.79283539159</v>
      </c>
      <c r="AB54" s="2">
        <v>2004878.9245985229</v>
      </c>
      <c r="AC54" s="2">
        <v>2769565.7243128251</v>
      </c>
      <c r="AD54" s="2">
        <v>2888485.6708602221</v>
      </c>
      <c r="AE54" s="2">
        <f t="shared" si="8"/>
        <v>-764686.79971430218</v>
      </c>
      <c r="AF54" s="2">
        <f t="shared" si="9"/>
        <v>-883606.74626169913</v>
      </c>
      <c r="AH54" s="2">
        <v>1711444.1431808933</v>
      </c>
      <c r="AI54" s="2">
        <v>1744528.42444459</v>
      </c>
      <c r="AJ54" s="2">
        <v>2443179.5157306227</v>
      </c>
      <c r="AK54" s="2">
        <f t="shared" si="10"/>
        <v>-33084.281263696728</v>
      </c>
      <c r="AL54" s="2">
        <v>-731735.37254972942</v>
      </c>
      <c r="AM54" s="2"/>
      <c r="AN54" s="2">
        <v>1784221.3434025613</v>
      </c>
      <c r="AO54" s="2">
        <v>1874410.8975994871</v>
      </c>
      <c r="AP54" s="2">
        <v>2509274.1712426115</v>
      </c>
      <c r="AQ54" s="2">
        <f t="shared" si="11"/>
        <v>-90189.554196925834</v>
      </c>
      <c r="AR54" s="2">
        <v>-725052.82784005022</v>
      </c>
      <c r="AS54" s="2"/>
      <c r="AT54" s="2">
        <v>1851559.9095302243</v>
      </c>
      <c r="AU54" s="2">
        <v>2017534.2503935683</v>
      </c>
      <c r="AV54" s="2">
        <v>2577466.4082299308</v>
      </c>
      <c r="AW54" s="2">
        <v>-165974.34086334403</v>
      </c>
      <c r="AX54" s="2">
        <v>-725906.49869970651</v>
      </c>
      <c r="AY54" s="2"/>
      <c r="AZ54" s="2">
        <v>1910166.5513870507</v>
      </c>
      <c r="BA54" s="2">
        <v>2163116.9884859812</v>
      </c>
      <c r="BB54" s="2">
        <v>2643810.4862152701</v>
      </c>
      <c r="BC54" s="2">
        <v>-252950.43709893059</v>
      </c>
      <c r="BD54" s="2">
        <v>-733643.93482821947</v>
      </c>
    </row>
    <row r="55" spans="1:56" x14ac:dyDescent="0.35">
      <c r="A55">
        <v>2035</v>
      </c>
      <c r="B55">
        <v>1</v>
      </c>
      <c r="C55" s="15">
        <v>2281923.7815586552</v>
      </c>
      <c r="D55" s="9">
        <v>49399</v>
      </c>
      <c r="E55" s="2">
        <v>2294260.2084799712</v>
      </c>
      <c r="F55" s="2">
        <v>2370326.0644512214</v>
      </c>
      <c r="G55" s="10">
        <f t="shared" si="0"/>
        <v>-12336.426921315957</v>
      </c>
      <c r="H55" s="10">
        <f t="shared" si="1"/>
        <v>-88402.282892566174</v>
      </c>
      <c r="I55" s="13">
        <f t="shared" si="12"/>
        <v>-0.59643586210577182</v>
      </c>
      <c r="J55" s="14">
        <v>2599886.9594187313</v>
      </c>
      <c r="K55" s="2">
        <v>2668197.3001273531</v>
      </c>
      <c r="L55" s="2">
        <v>2497255.5315810665</v>
      </c>
      <c r="M55" s="2">
        <f t="shared" si="2"/>
        <v>-68310.340708621778</v>
      </c>
      <c r="N55" s="2">
        <f t="shared" si="3"/>
        <v>102631.42783766473</v>
      </c>
      <c r="P55" s="2">
        <v>2827096.2321173251</v>
      </c>
      <c r="Q55" s="2">
        <v>3127644.3692416237</v>
      </c>
      <c r="R55" s="2">
        <v>2648137.979171264</v>
      </c>
      <c r="S55" s="2">
        <f t="shared" si="4"/>
        <v>-300548.13712429861</v>
      </c>
      <c r="T55" s="2">
        <f t="shared" si="5"/>
        <v>178958.25294606108</v>
      </c>
      <c r="V55" s="11">
        <v>3039984.6470664144</v>
      </c>
      <c r="W55" s="2">
        <v>3574093.9506070749</v>
      </c>
      <c r="X55" s="2">
        <v>2773310.6786166597</v>
      </c>
      <c r="Y55" s="2">
        <f t="shared" si="6"/>
        <v>-534109.30354066053</v>
      </c>
      <c r="Z55" s="2">
        <f t="shared" si="7"/>
        <v>266673.96844975464</v>
      </c>
      <c r="AB55" s="2">
        <v>3238196.4577611084</v>
      </c>
      <c r="AC55" s="2">
        <v>4043648.1781575806</v>
      </c>
      <c r="AD55" s="2">
        <v>2891200.4214834734</v>
      </c>
      <c r="AE55" s="2">
        <f t="shared" si="8"/>
        <v>-805451.72039647214</v>
      </c>
      <c r="AF55" s="2">
        <f t="shared" si="9"/>
        <v>346996.03627763502</v>
      </c>
      <c r="AH55" s="2">
        <v>2524048.5198501013</v>
      </c>
      <c r="AI55" s="2">
        <v>2538399.9751294134</v>
      </c>
      <c r="AJ55" s="2">
        <v>2450118.2786168088</v>
      </c>
      <c r="AK55" s="2">
        <f t="shared" si="10"/>
        <v>-14351.455279312097</v>
      </c>
      <c r="AL55" s="2">
        <v>73930.241233292501</v>
      </c>
      <c r="AM55" s="2"/>
      <c r="AN55" s="2">
        <v>2679102.1855364982</v>
      </c>
      <c r="AO55" s="2">
        <v>2755549.5901239896</v>
      </c>
      <c r="AP55" s="2">
        <v>2515656.2109619463</v>
      </c>
      <c r="AQ55" s="2">
        <f t="shared" si="11"/>
        <v>-76447.404587491415</v>
      </c>
      <c r="AR55" s="2">
        <v>163445.97457455192</v>
      </c>
      <c r="AS55" s="2"/>
      <c r="AT55" s="2">
        <v>2829665.9342615455</v>
      </c>
      <c r="AU55" s="2">
        <v>2987383.3089178996</v>
      </c>
      <c r="AV55" s="2">
        <v>2583251.7098518419</v>
      </c>
      <c r="AW55" s="2">
        <v>-157717.37465635408</v>
      </c>
      <c r="AX55" s="2">
        <v>246414.22440970363</v>
      </c>
      <c r="AY55" s="2"/>
      <c r="AZ55" s="2">
        <v>2974324.5901621096</v>
      </c>
      <c r="BA55" s="2">
        <v>3224431.3926498191</v>
      </c>
      <c r="BB55" s="2">
        <v>2648991.6257358291</v>
      </c>
      <c r="BC55" s="2">
        <v>-250106.80248770956</v>
      </c>
      <c r="BD55" s="2">
        <v>325332.96442628046</v>
      </c>
    </row>
    <row r="56" spans="1:56" x14ac:dyDescent="0.35">
      <c r="A56">
        <v>2035</v>
      </c>
      <c r="B56">
        <v>2</v>
      </c>
      <c r="C56" s="15">
        <v>2031800.4128690807</v>
      </c>
      <c r="D56" s="9">
        <v>49490</v>
      </c>
      <c r="E56" s="2">
        <v>2097421.5797340646</v>
      </c>
      <c r="F56" s="2">
        <v>2329719.3764977208</v>
      </c>
      <c r="G56" s="10">
        <f t="shared" si="0"/>
        <v>-65621.16686498397</v>
      </c>
      <c r="H56" s="10">
        <f t="shared" si="1"/>
        <v>-297918.96362864017</v>
      </c>
      <c r="I56" s="13">
        <f t="shared" si="12"/>
        <v>4.3193009032135539</v>
      </c>
      <c r="J56" s="14">
        <v>2201116.6130308788</v>
      </c>
      <c r="K56" s="2">
        <v>2360874.0788777163</v>
      </c>
      <c r="L56" s="2">
        <v>2449941.8834979571</v>
      </c>
      <c r="M56" s="2">
        <f t="shared" si="2"/>
        <v>-159757.4658468375</v>
      </c>
      <c r="N56" s="2">
        <f t="shared" si="3"/>
        <v>-248825.27046707831</v>
      </c>
      <c r="P56" s="2">
        <v>2271154.8216951089</v>
      </c>
      <c r="Q56" s="2">
        <v>2780674.0932513098</v>
      </c>
      <c r="R56" s="2">
        <v>2592369.0422234624</v>
      </c>
      <c r="S56" s="2">
        <f t="shared" si="4"/>
        <v>-509519.27155620093</v>
      </c>
      <c r="T56" s="2">
        <f t="shared" si="5"/>
        <v>-321214.22052835347</v>
      </c>
      <c r="V56" s="11">
        <v>2337348.6800689418</v>
      </c>
      <c r="W56" s="2">
        <v>3205833.5187969953</v>
      </c>
      <c r="X56" s="2">
        <v>2710058.5160279348</v>
      </c>
      <c r="Y56" s="2">
        <f t="shared" si="6"/>
        <v>-868484.8387280535</v>
      </c>
      <c r="Z56" s="2">
        <f t="shared" si="7"/>
        <v>-372709.83595899306</v>
      </c>
      <c r="AB56" s="2">
        <v>2399818.370282793</v>
      </c>
      <c r="AC56" s="2">
        <v>3692363.0696480642</v>
      </c>
      <c r="AD56" s="2">
        <v>2820435.3391761431</v>
      </c>
      <c r="AE56" s="2">
        <f t="shared" si="8"/>
        <v>-1292544.6993652713</v>
      </c>
      <c r="AF56" s="2">
        <f t="shared" si="9"/>
        <v>-420616.9688933501</v>
      </c>
      <c r="AH56" s="2">
        <v>2171979.6976440456</v>
      </c>
      <c r="AI56" s="2">
        <v>2250371.5874811541</v>
      </c>
      <c r="AJ56" s="2">
        <v>2405335.4812182691</v>
      </c>
      <c r="AK56" s="2">
        <f t="shared" si="10"/>
        <v>-78391.889837108552</v>
      </c>
      <c r="AL56" s="2">
        <v>-233355.78357422352</v>
      </c>
      <c r="AM56" s="2"/>
      <c r="AN56" s="2">
        <v>2213523.1009200066</v>
      </c>
      <c r="AO56" s="2">
        <v>2389458.2488937657</v>
      </c>
      <c r="AP56" s="2">
        <v>2467341.0461243442</v>
      </c>
      <c r="AQ56" s="2">
        <f t="shared" si="11"/>
        <v>-175935.1479737591</v>
      </c>
      <c r="AR56" s="2">
        <v>-253817.94520433759</v>
      </c>
      <c r="AS56" s="2"/>
      <c r="AT56" s="2">
        <v>2252406.793459109</v>
      </c>
      <c r="AU56" s="2">
        <v>2554660.3746039737</v>
      </c>
      <c r="AV56" s="2">
        <v>2531188.6209442127</v>
      </c>
      <c r="AW56" s="2">
        <v>-302253.58114486467</v>
      </c>
      <c r="AX56" s="2">
        <v>-278781.82748510363</v>
      </c>
      <c r="AY56" s="2"/>
      <c r="AZ56" s="2">
        <v>2289618.2275170032</v>
      </c>
      <c r="BA56" s="2">
        <v>2736050.5086385966</v>
      </c>
      <c r="BB56" s="2">
        <v>2593173.1887542438</v>
      </c>
      <c r="BC56" s="2">
        <v>-446432.28112159343</v>
      </c>
      <c r="BD56" s="2">
        <v>-303554.96123724058</v>
      </c>
    </row>
    <row r="57" spans="1:56" x14ac:dyDescent="0.35">
      <c r="A57">
        <v>2035</v>
      </c>
      <c r="B57">
        <v>3</v>
      </c>
      <c r="C57" s="15">
        <v>2083135.630962979</v>
      </c>
      <c r="D57" s="9">
        <v>49582</v>
      </c>
      <c r="E57" s="2">
        <v>2137984.8331381236</v>
      </c>
      <c r="F57" s="2">
        <v>2293841.9251357783</v>
      </c>
      <c r="G57" s="10">
        <f t="shared" si="0"/>
        <v>-54849.202175144572</v>
      </c>
      <c r="H57" s="10">
        <f t="shared" si="1"/>
        <v>-210706.29417279921</v>
      </c>
      <c r="I57" s="13">
        <f t="shared" si="12"/>
        <v>-0.16415381201621715</v>
      </c>
      <c r="J57" s="14">
        <v>2237726.5625530174</v>
      </c>
      <c r="K57" s="2">
        <v>2379444.6674602288</v>
      </c>
      <c r="L57" s="2">
        <v>2407957.4505871101</v>
      </c>
      <c r="M57" s="2">
        <f t="shared" si="2"/>
        <v>-141718.10490721138</v>
      </c>
      <c r="N57" s="2">
        <f t="shared" si="3"/>
        <v>-170230.88803409273</v>
      </c>
      <c r="P57" s="2">
        <v>2300834.8373144097</v>
      </c>
      <c r="Q57" s="2">
        <v>2767410.2707246933</v>
      </c>
      <c r="R57" s="2">
        <v>2542682.6888892911</v>
      </c>
      <c r="S57" s="2">
        <f t="shared" si="4"/>
        <v>-466575.43341028364</v>
      </c>
      <c r="T57" s="2">
        <f t="shared" si="5"/>
        <v>-241847.85157488147</v>
      </c>
      <c r="V57" s="11">
        <v>2358175.798085615</v>
      </c>
      <c r="W57" s="2">
        <v>3155807.3608288416</v>
      </c>
      <c r="X57" s="2">
        <v>2653552.8947351915</v>
      </c>
      <c r="Y57" s="2">
        <f t="shared" si="6"/>
        <v>-797631.56274322653</v>
      </c>
      <c r="Z57" s="2">
        <f t="shared" si="7"/>
        <v>-295377.09664957644</v>
      </c>
      <c r="AB57" s="2">
        <v>2409380.5813549347</v>
      </c>
      <c r="AC57" s="2">
        <v>3594786.413019096</v>
      </c>
      <c r="AD57" s="2">
        <v>2757080.7558471439</v>
      </c>
      <c r="AE57" s="2">
        <f t="shared" si="8"/>
        <v>-1185405.8316641613</v>
      </c>
      <c r="AF57" s="2">
        <f t="shared" si="9"/>
        <v>-347700.17449220922</v>
      </c>
      <c r="AH57" s="2">
        <v>2213514.1292550433</v>
      </c>
      <c r="AI57" s="2">
        <v>2279474.8135101702</v>
      </c>
      <c r="AJ57" s="2">
        <v>2365655.7465877756</v>
      </c>
      <c r="AK57" s="2">
        <f t="shared" si="10"/>
        <v>-65960.684255126864</v>
      </c>
      <c r="AL57" s="2">
        <v>-152141.6173327323</v>
      </c>
      <c r="AM57" s="2"/>
      <c r="AN57" s="2">
        <v>2254662.648479932</v>
      </c>
      <c r="AO57" s="2">
        <v>2411609.7646620641</v>
      </c>
      <c r="AP57" s="2">
        <v>2424444.5072180219</v>
      </c>
      <c r="AQ57" s="2">
        <f t="shared" si="11"/>
        <v>-156947.11618213216</v>
      </c>
      <c r="AR57" s="2">
        <v>-169781.85873808991</v>
      </c>
      <c r="AS57" s="2"/>
      <c r="AT57" s="2">
        <v>2290892.0223000157</v>
      </c>
      <c r="AU57" s="2">
        <v>2565366.1824721261</v>
      </c>
      <c r="AV57" s="2">
        <v>2484878.3370976532</v>
      </c>
      <c r="AW57" s="2">
        <v>-274474.16017211042</v>
      </c>
      <c r="AX57" s="2">
        <v>-193986.31479763752</v>
      </c>
      <c r="AY57" s="2"/>
      <c r="AZ57" s="2">
        <v>2324313.6124780718</v>
      </c>
      <c r="BA57" s="2">
        <v>2732434.7605138291</v>
      </c>
      <c r="BB57" s="2">
        <v>2543441.7359635197</v>
      </c>
      <c r="BC57" s="2">
        <v>-408121.14803575724</v>
      </c>
      <c r="BD57" s="2">
        <v>-219128.12348544784</v>
      </c>
    </row>
    <row r="58" spans="1:56" x14ac:dyDescent="0.35">
      <c r="A58">
        <v>2035</v>
      </c>
      <c r="B58">
        <v>4</v>
      </c>
      <c r="C58" s="15">
        <v>1586921.9600170408</v>
      </c>
      <c r="D58" s="9">
        <v>49674</v>
      </c>
      <c r="E58" s="2">
        <v>1615677.7704358923</v>
      </c>
      <c r="F58" s="2">
        <v>2289930.2271401556</v>
      </c>
      <c r="G58" s="10">
        <f t="shared" si="0"/>
        <v>-28755.810418851441</v>
      </c>
      <c r="H58" s="10">
        <f t="shared" si="1"/>
        <v>-703008.26712311478</v>
      </c>
      <c r="I58" s="13">
        <f t="shared" si="12"/>
        <v>-0.47572965004981593</v>
      </c>
      <c r="J58" s="14">
        <v>1738107.6694849562</v>
      </c>
      <c r="K58" s="2">
        <v>1824369.6134702566</v>
      </c>
      <c r="L58" s="2">
        <v>2408462.2530907979</v>
      </c>
      <c r="M58" s="2">
        <f t="shared" si="2"/>
        <v>-86261.943985300371</v>
      </c>
      <c r="N58" s="2">
        <f t="shared" si="3"/>
        <v>-670354.58360584173</v>
      </c>
      <c r="P58" s="2">
        <v>1835249.8616938158</v>
      </c>
      <c r="Q58" s="2">
        <v>2140846.7977098073</v>
      </c>
      <c r="R58" s="2">
        <v>2548717.6095624464</v>
      </c>
      <c r="S58" s="2">
        <f t="shared" si="4"/>
        <v>-305596.93601599149</v>
      </c>
      <c r="T58" s="2">
        <f t="shared" si="5"/>
        <v>-713467.74786863057</v>
      </c>
      <c r="V58" s="11">
        <v>1916311.041853158</v>
      </c>
      <c r="W58" s="2">
        <v>2436533.0745442263</v>
      </c>
      <c r="X58" s="2">
        <v>2664446.9283412546</v>
      </c>
      <c r="Y58" s="2">
        <f t="shared" si="6"/>
        <v>-520222.03269106825</v>
      </c>
      <c r="Z58" s="2">
        <f t="shared" si="7"/>
        <v>-748135.88648809656</v>
      </c>
      <c r="AB58" s="2">
        <v>1988589.3417837392</v>
      </c>
      <c r="AC58" s="2">
        <v>2754180.30543757</v>
      </c>
      <c r="AD58" s="2">
        <v>2772819.8904713867</v>
      </c>
      <c r="AE58" s="2">
        <f t="shared" si="8"/>
        <v>-765590.96365383081</v>
      </c>
      <c r="AF58" s="2">
        <f t="shared" si="9"/>
        <v>-784230.54868764756</v>
      </c>
      <c r="AH58" s="2">
        <v>1702170.9402256033</v>
      </c>
      <c r="AI58" s="2">
        <v>1736063.8706076001</v>
      </c>
      <c r="AJ58" s="2">
        <v>2364497.084106613</v>
      </c>
      <c r="AK58" s="2">
        <f t="shared" si="10"/>
        <v>-33892.93038199679</v>
      </c>
      <c r="AL58" s="2">
        <v>-662326.14388100966</v>
      </c>
      <c r="AM58" s="2"/>
      <c r="AN58" s="2">
        <v>1770402.0022302251</v>
      </c>
      <c r="AO58" s="2">
        <v>1863763.5966195459</v>
      </c>
      <c r="AP58" s="2">
        <v>2425606.5435904986</v>
      </c>
      <c r="AQ58" s="2">
        <f t="shared" si="11"/>
        <v>-93361.594389320817</v>
      </c>
      <c r="AR58" s="2">
        <v>-655204.54136027349</v>
      </c>
      <c r="AS58" s="2"/>
      <c r="AT58" s="2">
        <v>1834548.3690025881</v>
      </c>
      <c r="AU58" s="2">
        <v>2004915.5450708645</v>
      </c>
      <c r="AV58" s="2">
        <v>2488494.6667140634</v>
      </c>
      <c r="AW58" s="2">
        <v>-170367.1760682764</v>
      </c>
      <c r="AX58" s="2">
        <v>-653946.29771147529</v>
      </c>
      <c r="AY58" s="2"/>
      <c r="AZ58" s="2">
        <v>1891670.3797631734</v>
      </c>
      <c r="BA58" s="2">
        <v>2149163.7236091904</v>
      </c>
      <c r="BB58" s="2">
        <v>2549508.9075019946</v>
      </c>
      <c r="BC58" s="2">
        <v>-257493.34384601703</v>
      </c>
      <c r="BD58" s="2">
        <v>-657838.52773882123</v>
      </c>
    </row>
    <row r="59" spans="1:56" x14ac:dyDescent="0.35">
      <c r="A59">
        <v>2036</v>
      </c>
      <c r="B59">
        <v>1</v>
      </c>
      <c r="C59" s="15">
        <v>2297959.2142644925</v>
      </c>
      <c r="D59" s="9">
        <v>49765</v>
      </c>
      <c r="E59" s="2">
        <v>2310451.6210960909</v>
      </c>
      <c r="F59" s="2">
        <v>2293378.8635823843</v>
      </c>
      <c r="G59" s="10">
        <f t="shared" si="0"/>
        <v>-12492.406831598375</v>
      </c>
      <c r="H59" s="10">
        <f t="shared" si="1"/>
        <v>4580.3506821081974</v>
      </c>
      <c r="I59" s="13">
        <f t="shared" si="12"/>
        <v>-0.56556930061659016</v>
      </c>
      <c r="J59" s="14">
        <v>2620929.9398886766</v>
      </c>
      <c r="K59" s="2">
        <v>2690053.8095438872</v>
      </c>
      <c r="L59" s="2">
        <v>2417952.6462232042</v>
      </c>
      <c r="M59" s="2">
        <f t="shared" si="2"/>
        <v>-69123.869655210525</v>
      </c>
      <c r="N59" s="2">
        <f t="shared" si="3"/>
        <v>202977.29366547242</v>
      </c>
      <c r="P59" s="2">
        <v>2847466.0242315582</v>
      </c>
      <c r="Q59" s="2">
        <v>3150917.3638874963</v>
      </c>
      <c r="R59" s="2">
        <v>2565760.7811314533</v>
      </c>
      <c r="S59" s="2">
        <f t="shared" si="4"/>
        <v>-303451.33965593809</v>
      </c>
      <c r="T59" s="2">
        <f t="shared" si="5"/>
        <v>281705.24310010485</v>
      </c>
      <c r="V59" s="11">
        <v>3059034.5569940927</v>
      </c>
      <c r="W59" s="2">
        <v>3597893.4803000651</v>
      </c>
      <c r="X59" s="2">
        <v>2688115.1227672626</v>
      </c>
      <c r="Y59" s="2">
        <f t="shared" si="6"/>
        <v>-538858.92330597248</v>
      </c>
      <c r="Z59" s="2">
        <f t="shared" si="7"/>
        <v>370919.43422683002</v>
      </c>
      <c r="AB59" s="2">
        <v>3258999.4263867387</v>
      </c>
      <c r="AC59" s="2">
        <v>4070817.1275970852</v>
      </c>
      <c r="AD59" s="2">
        <v>2803083.4568443047</v>
      </c>
      <c r="AE59" s="2">
        <f t="shared" si="8"/>
        <v>-811817.70121034654</v>
      </c>
      <c r="AF59" s="2">
        <f t="shared" si="9"/>
        <v>455915.96954243397</v>
      </c>
      <c r="AH59" s="2">
        <v>2543928.8116298048</v>
      </c>
      <c r="AI59" s="2">
        <v>2558631.5163912759</v>
      </c>
      <c r="AJ59" s="2">
        <v>2371712.900038993</v>
      </c>
      <c r="AK59" s="2">
        <f t="shared" si="10"/>
        <v>-14702.704761471134</v>
      </c>
      <c r="AL59" s="2">
        <v>172215.9115908118</v>
      </c>
      <c r="AM59" s="2"/>
      <c r="AN59" s="2">
        <v>2697024.4647034239</v>
      </c>
      <c r="AO59" s="2">
        <v>2774515.8950451552</v>
      </c>
      <c r="AP59" s="2">
        <v>2435995.2764634928</v>
      </c>
      <c r="AQ59" s="2">
        <f t="shared" si="11"/>
        <v>-77491.430341731291</v>
      </c>
      <c r="AR59" s="2">
        <v>261029.18823993113</v>
      </c>
      <c r="AS59" s="2"/>
      <c r="AT59" s="2">
        <v>2845496.4165306422</v>
      </c>
      <c r="AU59" s="2">
        <v>3005038.1809146255</v>
      </c>
      <c r="AV59" s="2">
        <v>2502236.3299866188</v>
      </c>
      <c r="AW59" s="2">
        <v>-159541.76438398333</v>
      </c>
      <c r="AX59" s="2">
        <v>343260.08654402336</v>
      </c>
      <c r="AY59" s="2"/>
      <c r="AZ59" s="2">
        <v>2989184.5035707094</v>
      </c>
      <c r="BA59" s="2">
        <v>3241900.0983945685</v>
      </c>
      <c r="BB59" s="2">
        <v>2566596.0855212458</v>
      </c>
      <c r="BC59" s="2">
        <v>-252715.59482385917</v>
      </c>
      <c r="BD59" s="2">
        <v>422588.41804946354</v>
      </c>
    </row>
    <row r="60" spans="1:56" x14ac:dyDescent="0.35">
      <c r="A60">
        <v>2036</v>
      </c>
      <c r="B60">
        <v>2</v>
      </c>
      <c r="C60" s="15">
        <v>2019518.350720732</v>
      </c>
      <c r="D60" s="9">
        <v>49856</v>
      </c>
      <c r="E60" s="2">
        <v>2084896.3341547516</v>
      </c>
      <c r="F60" s="2">
        <v>2253300.7071613045</v>
      </c>
      <c r="G60" s="10">
        <f t="shared" si="0"/>
        <v>-65377.98343401961</v>
      </c>
      <c r="H60" s="10">
        <f t="shared" si="1"/>
        <v>-233782.35644057253</v>
      </c>
      <c r="I60" s="13">
        <f t="shared" si="12"/>
        <v>4.2334177324942788</v>
      </c>
      <c r="J60" s="14">
        <v>2193768.1810273747</v>
      </c>
      <c r="K60" s="2">
        <v>2353280.4344892725</v>
      </c>
      <c r="L60" s="2">
        <v>2373603.6518562278</v>
      </c>
      <c r="M60" s="2">
        <f t="shared" si="2"/>
        <v>-159512.25346189784</v>
      </c>
      <c r="N60" s="2">
        <f t="shared" si="3"/>
        <v>-179835.47082885308</v>
      </c>
      <c r="P60" s="2">
        <v>2262018.1239761407</v>
      </c>
      <c r="Q60" s="2">
        <v>2770217.6799956206</v>
      </c>
      <c r="R60" s="2">
        <v>2516015.464020947</v>
      </c>
      <c r="S60" s="2">
        <f t="shared" si="4"/>
        <v>-508199.55601947987</v>
      </c>
      <c r="T60" s="2">
        <f t="shared" si="5"/>
        <v>-253997.34004480625</v>
      </c>
      <c r="V60" s="11">
        <v>2326419.0321699134</v>
      </c>
      <c r="W60" s="2">
        <v>3192073.0921969963</v>
      </c>
      <c r="X60" s="2">
        <v>2633582.5437192665</v>
      </c>
      <c r="Y60" s="2">
        <f t="shared" si="6"/>
        <v>-865654.06002708292</v>
      </c>
      <c r="Z60" s="2">
        <f t="shared" si="7"/>
        <v>-307163.51154935313</v>
      </c>
      <c r="AB60" s="2">
        <v>2387166.1647359068</v>
      </c>
      <c r="AC60" s="2">
        <v>3674640.7532519638</v>
      </c>
      <c r="AD60" s="2">
        <v>2743733.9649487301</v>
      </c>
      <c r="AE60" s="2">
        <f t="shared" si="8"/>
        <v>-1287474.588516057</v>
      </c>
      <c r="AF60" s="2">
        <f t="shared" si="9"/>
        <v>-356567.80021282332</v>
      </c>
      <c r="AH60" s="2">
        <v>2165112.0548986364</v>
      </c>
      <c r="AI60" s="2">
        <v>2243443.5839075204</v>
      </c>
      <c r="AJ60" s="2">
        <v>2328976.4973571026</v>
      </c>
      <c r="AK60" s="2">
        <f t="shared" si="10"/>
        <v>-78331.529008883983</v>
      </c>
      <c r="AL60" s="2">
        <v>-163864.44245846616</v>
      </c>
      <c r="AM60" s="2"/>
      <c r="AN60" s="2">
        <v>2205442.6110788723</v>
      </c>
      <c r="AO60" s="2">
        <v>2381040.9622812569</v>
      </c>
      <c r="AP60" s="2">
        <v>2391007.805451462</v>
      </c>
      <c r="AQ60" s="2">
        <f t="shared" si="11"/>
        <v>-175598.35120238457</v>
      </c>
      <c r="AR60" s="2">
        <v>-185565.1943725897</v>
      </c>
      <c r="AS60" s="2"/>
      <c r="AT60" s="2">
        <v>2243110.7500025174</v>
      </c>
      <c r="AU60" s="2">
        <v>2544580.7225420196</v>
      </c>
      <c r="AV60" s="2">
        <v>2454857.8278191919</v>
      </c>
      <c r="AW60" s="2">
        <v>-301469.9725395022</v>
      </c>
      <c r="AX60" s="2">
        <v>-211747.07781667449</v>
      </c>
      <c r="AY60" s="2"/>
      <c r="AZ60" s="2">
        <v>2279090.1288261851</v>
      </c>
      <c r="BA60" s="2">
        <v>2724121.6190397488</v>
      </c>
      <c r="BB60" s="2">
        <v>2516819.1365455585</v>
      </c>
      <c r="BC60" s="2">
        <v>-445031.49021356367</v>
      </c>
      <c r="BD60" s="2">
        <v>-237729.00771937333</v>
      </c>
    </row>
    <row r="61" spans="1:56" x14ac:dyDescent="0.35">
      <c r="A61">
        <v>2036</v>
      </c>
      <c r="B61">
        <v>3</v>
      </c>
      <c r="C61" s="15">
        <v>2071081.0880734571</v>
      </c>
      <c r="D61" s="9">
        <v>49948</v>
      </c>
      <c r="E61" s="2">
        <v>2125721.5988271143</v>
      </c>
      <c r="F61" s="2">
        <v>2217976.5854245666</v>
      </c>
      <c r="G61" s="10">
        <f t="shared" si="0"/>
        <v>-54640.510753657203</v>
      </c>
      <c r="H61" s="10">
        <f t="shared" si="1"/>
        <v>-146895.49735110952</v>
      </c>
      <c r="I61" s="13">
        <f t="shared" si="12"/>
        <v>-0.16423682891961355</v>
      </c>
      <c r="J61" s="14">
        <v>2229780.8564173677</v>
      </c>
      <c r="K61" s="2">
        <v>2371159.361313411</v>
      </c>
      <c r="L61" s="2">
        <v>2334757.5431000465</v>
      </c>
      <c r="M61" s="2">
        <f t="shared" si="2"/>
        <v>-141378.50489604333</v>
      </c>
      <c r="N61" s="2">
        <f t="shared" si="3"/>
        <v>-104976.68668267876</v>
      </c>
      <c r="P61" s="2">
        <v>2291056.0551192318</v>
      </c>
      <c r="Q61" s="2">
        <v>2755970.3058940913</v>
      </c>
      <c r="R61" s="2">
        <v>2472713.3338476899</v>
      </c>
      <c r="S61" s="2">
        <f t="shared" si="4"/>
        <v>-464914.25077485945</v>
      </c>
      <c r="T61" s="2">
        <f t="shared" si="5"/>
        <v>-181657.2787284581</v>
      </c>
      <c r="V61" s="11">
        <v>2346777.3518496044</v>
      </c>
      <c r="W61" s="2">
        <v>3140948.0460804864</v>
      </c>
      <c r="X61" s="2">
        <v>2586321.856734911</v>
      </c>
      <c r="Y61" s="2">
        <f t="shared" si="6"/>
        <v>-794170.69423088199</v>
      </c>
      <c r="Z61" s="2">
        <f t="shared" si="7"/>
        <v>-239544.50488530658</v>
      </c>
      <c r="AB61" s="2">
        <v>2396476.684429307</v>
      </c>
      <c r="AC61" s="2">
        <v>3575967.014116751</v>
      </c>
      <c r="AD61" s="2">
        <v>2692485.0702431863</v>
      </c>
      <c r="AE61" s="2">
        <f t="shared" si="8"/>
        <v>-1179490.329687444</v>
      </c>
      <c r="AF61" s="2">
        <f t="shared" si="9"/>
        <v>-296008.38581387931</v>
      </c>
      <c r="AH61" s="2">
        <v>2206017.7435077159</v>
      </c>
      <c r="AI61" s="2">
        <v>2271876.8589498079</v>
      </c>
      <c r="AJ61" s="2">
        <v>2291460.7128136959</v>
      </c>
      <c r="AK61" s="2">
        <f t="shared" si="10"/>
        <v>-65859.115442092065</v>
      </c>
      <c r="AL61" s="2">
        <v>-85442.969305980019</v>
      </c>
      <c r="AM61" s="2"/>
      <c r="AN61" s="2">
        <v>2245776.8568928735</v>
      </c>
      <c r="AO61" s="2">
        <v>2402290.6204018486</v>
      </c>
      <c r="AP61" s="2">
        <v>2351634.8162502907</v>
      </c>
      <c r="AQ61" s="2">
        <f t="shared" si="11"/>
        <v>-156513.76350897504</v>
      </c>
      <c r="AR61" s="2">
        <v>-105857.95935741719</v>
      </c>
      <c r="AS61" s="2"/>
      <c r="AT61" s="2">
        <v>2280656.3398199566</v>
      </c>
      <c r="AU61" s="2">
        <v>2554165.5666123983</v>
      </c>
      <c r="AV61" s="2">
        <v>2413510.9062708039</v>
      </c>
      <c r="AW61" s="2">
        <v>-273509.22679244168</v>
      </c>
      <c r="AX61" s="2">
        <v>-132854.56645084731</v>
      </c>
      <c r="AY61" s="2"/>
      <c r="AZ61" s="2">
        <v>2313074.6411716053</v>
      </c>
      <c r="BA61" s="2">
        <v>2719563.753709692</v>
      </c>
      <c r="BB61" s="2">
        <v>2473490.8669970892</v>
      </c>
      <c r="BC61" s="2">
        <v>-406489.11253808672</v>
      </c>
      <c r="BD61" s="2">
        <v>-160416.22582548391</v>
      </c>
    </row>
    <row r="62" spans="1:56" x14ac:dyDescent="0.35">
      <c r="A62">
        <v>2036</v>
      </c>
      <c r="B62">
        <v>4</v>
      </c>
      <c r="C62" s="15">
        <v>1578715.4602047419</v>
      </c>
      <c r="D62" s="9">
        <v>50040</v>
      </c>
      <c r="E62" s="2">
        <v>1593655.4599122519</v>
      </c>
      <c r="F62" s="2">
        <v>2215587.6958263502</v>
      </c>
      <c r="G62" s="10">
        <f t="shared" si="0"/>
        <v>-14939.999707509996</v>
      </c>
      <c r="H62" s="10">
        <f t="shared" si="1"/>
        <v>-636872.23562160833</v>
      </c>
      <c r="I62" s="13">
        <f t="shared" si="12"/>
        <v>-0.72657649971710714</v>
      </c>
      <c r="J62" s="14">
        <v>1729804.9336649987</v>
      </c>
      <c r="K62" s="2">
        <v>1800211.9593808188</v>
      </c>
      <c r="L62" s="2">
        <v>2333369.9247895982</v>
      </c>
      <c r="M62" s="2">
        <f t="shared" si="2"/>
        <v>-70407.025715820026</v>
      </c>
      <c r="N62" s="2">
        <f t="shared" si="3"/>
        <v>-603564.99112459947</v>
      </c>
      <c r="P62" s="2">
        <v>1825308.9494698984</v>
      </c>
      <c r="Q62" s="2">
        <v>2111031.9749407731</v>
      </c>
      <c r="R62" s="2">
        <v>2472568.0424463265</v>
      </c>
      <c r="S62" s="2">
        <f t="shared" si="4"/>
        <v>-285723.02547087474</v>
      </c>
      <c r="T62" s="2">
        <f t="shared" si="5"/>
        <v>-647259.0929764281</v>
      </c>
      <c r="V62" s="11">
        <v>1904912.8825039498</v>
      </c>
      <c r="W62" s="2">
        <v>2401575.4399430035</v>
      </c>
      <c r="X62" s="2">
        <v>2587257.3095741952</v>
      </c>
      <c r="Y62" s="2">
        <f t="shared" si="6"/>
        <v>-496662.55743905366</v>
      </c>
      <c r="Z62" s="2">
        <f t="shared" si="7"/>
        <v>-682344.42707024538</v>
      </c>
      <c r="AB62" s="2">
        <v>1977116.1190507016</v>
      </c>
      <c r="AC62" s="2">
        <v>2712809.0804294446</v>
      </c>
      <c r="AD62" s="2">
        <v>2694487.7690408691</v>
      </c>
      <c r="AE62" s="2">
        <f t="shared" si="8"/>
        <v>-735692.96137874294</v>
      </c>
      <c r="AF62" s="2">
        <f t="shared" si="9"/>
        <v>-717371.64999016747</v>
      </c>
      <c r="AH62" s="2">
        <v>1693785.6133395997</v>
      </c>
      <c r="AI62" s="2">
        <v>1713089.6563994249</v>
      </c>
      <c r="AJ62" s="2">
        <v>2289696.8994537224</v>
      </c>
      <c r="AK62" s="2">
        <f t="shared" si="10"/>
        <v>-19304.043059825199</v>
      </c>
      <c r="AL62" s="2">
        <v>-595911.28611412272</v>
      </c>
      <c r="AM62" s="2"/>
      <c r="AN62" s="2">
        <v>1760046.195258443</v>
      </c>
      <c r="AO62" s="2">
        <v>1837658.2551357746</v>
      </c>
      <c r="AP62" s="2">
        <v>2350395.5173971104</v>
      </c>
      <c r="AQ62" s="2">
        <f t="shared" si="11"/>
        <v>-77612.059877331601</v>
      </c>
      <c r="AR62" s="2">
        <v>-590349.32213866734</v>
      </c>
      <c r="AS62" s="2"/>
      <c r="AT62" s="2">
        <v>1822588.8477707445</v>
      </c>
      <c r="AU62" s="2">
        <v>1975575.2957812443</v>
      </c>
      <c r="AV62" s="2">
        <v>2412823.8764984696</v>
      </c>
      <c r="AW62" s="2">
        <v>-152986.44801049982</v>
      </c>
      <c r="AX62" s="2">
        <v>-590235.02872772515</v>
      </c>
      <c r="AY62" s="2"/>
      <c r="AZ62" s="2">
        <v>1878846.1283584915</v>
      </c>
      <c r="BA62" s="2">
        <v>2117301.4293236472</v>
      </c>
      <c r="BB62" s="2">
        <v>2473352.7825152581</v>
      </c>
      <c r="BC62" s="2">
        <v>-238455.30096515571</v>
      </c>
      <c r="BD62" s="2">
        <v>-594506.6541567666</v>
      </c>
    </row>
    <row r="63" spans="1:56" x14ac:dyDescent="0.35">
      <c r="A63">
        <v>2037</v>
      </c>
      <c r="B63">
        <v>1</v>
      </c>
      <c r="C63" s="15">
        <v>2257219.5227325186</v>
      </c>
      <c r="D63" s="9">
        <v>50130</v>
      </c>
      <c r="E63" s="2">
        <v>2245869.8413870037</v>
      </c>
      <c r="F63" s="2">
        <v>2219629.189644536</v>
      </c>
      <c r="G63" s="10">
        <f t="shared" si="0"/>
        <v>11349.681345514953</v>
      </c>
      <c r="H63" s="10">
        <f t="shared" si="1"/>
        <v>37590.33308798261</v>
      </c>
      <c r="I63" s="13">
        <f t="shared" si="12"/>
        <v>-1.7596841745458487</v>
      </c>
      <c r="J63" s="14">
        <v>2577741.8258605101</v>
      </c>
      <c r="K63" s="2">
        <v>2618378.435995149</v>
      </c>
      <c r="L63" s="2">
        <v>2340348.2572466088</v>
      </c>
      <c r="M63" s="2">
        <f t="shared" si="2"/>
        <v>-40636.610134638846</v>
      </c>
      <c r="N63" s="2">
        <f t="shared" si="3"/>
        <v>237393.56861390127</v>
      </c>
      <c r="P63" s="2">
        <v>2797563.2284508133</v>
      </c>
      <c r="Q63" s="2">
        <v>3064171.1244920804</v>
      </c>
      <c r="R63" s="2">
        <v>2483200.4629118224</v>
      </c>
      <c r="S63" s="2">
        <f t="shared" si="4"/>
        <v>-266607.89604126709</v>
      </c>
      <c r="T63" s="2">
        <f t="shared" si="5"/>
        <v>314362.76553899096</v>
      </c>
      <c r="V63" s="11">
        <v>3003790.2842500741</v>
      </c>
      <c r="W63" s="2">
        <v>3497434.2499739807</v>
      </c>
      <c r="X63" s="2">
        <v>2601078.8037611311</v>
      </c>
      <c r="Y63" s="2">
        <f t="shared" si="6"/>
        <v>-493643.96572390664</v>
      </c>
      <c r="Z63" s="2">
        <f t="shared" si="7"/>
        <v>402711.48048894294</v>
      </c>
      <c r="AB63" s="2">
        <v>3198377.1478365916</v>
      </c>
      <c r="AC63" s="2">
        <v>3955646.0429494851</v>
      </c>
      <c r="AD63" s="2">
        <v>2711468.7290609125</v>
      </c>
      <c r="AE63" s="2">
        <f t="shared" si="8"/>
        <v>-757268.89511289354</v>
      </c>
      <c r="AF63" s="2">
        <f t="shared" si="9"/>
        <v>486908.41877567908</v>
      </c>
      <c r="AH63" s="2">
        <v>2501888.6599261872</v>
      </c>
      <c r="AI63" s="2">
        <v>2490289.1997535895</v>
      </c>
      <c r="AJ63" s="2">
        <v>2295571.0028951499</v>
      </c>
      <c r="AK63" s="2">
        <f t="shared" si="10"/>
        <v>11599.460172597785</v>
      </c>
      <c r="AL63" s="2">
        <v>206317.65703103738</v>
      </c>
      <c r="AM63" s="2"/>
      <c r="AN63" s="2">
        <v>2649343.267043889</v>
      </c>
      <c r="AO63" s="2">
        <v>2697454.5973128132</v>
      </c>
      <c r="AP63" s="2">
        <v>2357809.4858665252</v>
      </c>
      <c r="AQ63" s="2">
        <f t="shared" si="11"/>
        <v>-48111.330268924125</v>
      </c>
      <c r="AR63" s="2">
        <v>291533.78117736382</v>
      </c>
      <c r="AS63" s="2"/>
      <c r="AT63" s="2">
        <v>2792259.3506809724</v>
      </c>
      <c r="AU63" s="2">
        <v>2918828.984806173</v>
      </c>
      <c r="AV63" s="2">
        <v>2421861.3914015382</v>
      </c>
      <c r="AW63" s="2">
        <v>-126569.63412520057</v>
      </c>
      <c r="AX63" s="2">
        <v>370397.95927943429</v>
      </c>
      <c r="AY63" s="2"/>
      <c r="AZ63" s="2">
        <v>2931689.0117719076</v>
      </c>
      <c r="BA63" s="2">
        <v>3147584.8779627793</v>
      </c>
      <c r="BB63" s="2">
        <v>2484006.4365219655</v>
      </c>
      <c r="BC63" s="2">
        <v>-215895.86619087169</v>
      </c>
      <c r="BD63" s="2">
        <v>447682.57524994202</v>
      </c>
    </row>
    <row r="64" spans="1:56" x14ac:dyDescent="0.35">
      <c r="A64">
        <v>2037</v>
      </c>
      <c r="B64">
        <v>2</v>
      </c>
      <c r="C64" s="15">
        <v>2007980.3270715906</v>
      </c>
      <c r="D64" s="9">
        <v>50221</v>
      </c>
      <c r="E64" s="2">
        <v>2051494.3603865087</v>
      </c>
      <c r="F64" s="2">
        <v>2178676.5157371736</v>
      </c>
      <c r="G64" s="10">
        <f t="shared" si="0"/>
        <v>-43514.033314918168</v>
      </c>
      <c r="H64" s="10">
        <f t="shared" si="1"/>
        <v>-170696.18866558303</v>
      </c>
      <c r="I64" s="13">
        <f t="shared" si="12"/>
        <v>-4.8339431734013907</v>
      </c>
      <c r="J64" s="14">
        <v>2187644.455384911</v>
      </c>
      <c r="K64" s="2">
        <v>2322445.7669350062</v>
      </c>
      <c r="L64" s="2">
        <v>2295132.98608306</v>
      </c>
      <c r="M64" s="2">
        <f t="shared" si="2"/>
        <v>-134801.31155009521</v>
      </c>
      <c r="N64" s="2">
        <f t="shared" si="3"/>
        <v>-107488.530698149</v>
      </c>
      <c r="P64" s="2">
        <v>2254518.7693376248</v>
      </c>
      <c r="Q64" s="2">
        <v>2732685.2489488549</v>
      </c>
      <c r="R64" s="2">
        <v>2432599.2440398238</v>
      </c>
      <c r="S64" s="2">
        <f t="shared" si="4"/>
        <v>-478166.47961123008</v>
      </c>
      <c r="T64" s="2">
        <f t="shared" si="5"/>
        <v>-178080.47470219899</v>
      </c>
      <c r="V64" s="11">
        <v>2317605.3658399452</v>
      </c>
      <c r="W64" s="2">
        <v>3147479.1674371166</v>
      </c>
      <c r="X64" s="2">
        <v>2545699.5062407772</v>
      </c>
      <c r="Y64" s="2">
        <f t="shared" si="6"/>
        <v>-829873.80159717146</v>
      </c>
      <c r="Z64" s="2">
        <f t="shared" si="7"/>
        <v>-228094.14040083205</v>
      </c>
      <c r="AB64" s="2">
        <v>2377036.4543405753</v>
      </c>
      <c r="AC64" s="2">
        <v>3621802.5262210681</v>
      </c>
      <c r="AD64" s="2">
        <v>2651281.7450038702</v>
      </c>
      <c r="AE64" s="2">
        <f t="shared" si="8"/>
        <v>-1244766.0718804928</v>
      </c>
      <c r="AF64" s="2">
        <f t="shared" si="9"/>
        <v>-274245.29066329496</v>
      </c>
      <c r="AH64" s="2">
        <v>2159467.3625726225</v>
      </c>
      <c r="AI64" s="2">
        <v>2214401.7804644261</v>
      </c>
      <c r="AJ64" s="2">
        <v>2251965.2158201439</v>
      </c>
      <c r="AK64" s="2">
        <f t="shared" si="10"/>
        <v>-54934.417891803663</v>
      </c>
      <c r="AL64" s="2">
        <v>-92497.853247521445</v>
      </c>
      <c r="AM64" s="2"/>
      <c r="AN64" s="2">
        <v>2198871.8577202526</v>
      </c>
      <c r="AO64" s="2">
        <v>2349387.1024591406</v>
      </c>
      <c r="AP64" s="2">
        <v>2311956.9673682414</v>
      </c>
      <c r="AQ64" s="2">
        <f t="shared" si="11"/>
        <v>-150515.244738888</v>
      </c>
      <c r="AR64" s="2">
        <v>-113085.10964798881</v>
      </c>
      <c r="AS64" s="2"/>
      <c r="AT64" s="2">
        <v>2235643.7340891501</v>
      </c>
      <c r="AU64" s="2">
        <v>2509924.6483345986</v>
      </c>
      <c r="AV64" s="2">
        <v>2373622.4408147559</v>
      </c>
      <c r="AW64" s="2">
        <v>-274280.91424544854</v>
      </c>
      <c r="AX64" s="2">
        <v>-137978.70672560576</v>
      </c>
      <c r="AY64" s="2"/>
      <c r="AZ64" s="2">
        <v>2270697.8099608328</v>
      </c>
      <c r="BA64" s="2">
        <v>2686114.2074235007</v>
      </c>
      <c r="BB64" s="2">
        <v>2433373.6465166695</v>
      </c>
      <c r="BC64" s="2">
        <v>-415416.3974626679</v>
      </c>
      <c r="BD64" s="2">
        <v>-162675.83655583672</v>
      </c>
    </row>
    <row r="65" spans="1:56" x14ac:dyDescent="0.35">
      <c r="A65">
        <v>2037</v>
      </c>
      <c r="B65">
        <v>3</v>
      </c>
      <c r="C65" s="15">
        <v>2057243.6867774101</v>
      </c>
      <c r="D65" s="9">
        <v>50313</v>
      </c>
      <c r="E65" s="2">
        <v>2089752.8761155731</v>
      </c>
      <c r="F65" s="2">
        <v>2142542.560270071</v>
      </c>
      <c r="G65" s="10">
        <f t="shared" si="0"/>
        <v>-32509.189338163007</v>
      </c>
      <c r="H65" s="10">
        <f t="shared" si="1"/>
        <v>-85298.873492660932</v>
      </c>
      <c r="I65" s="13">
        <f t="shared" si="12"/>
        <v>-0.25290333114173325</v>
      </c>
      <c r="J65" s="14">
        <v>2220231.5512217321</v>
      </c>
      <c r="K65" s="2">
        <v>2336793.3748391885</v>
      </c>
      <c r="L65" s="2">
        <v>2255499.2169394642</v>
      </c>
      <c r="M65" s="2">
        <f t="shared" si="2"/>
        <v>-116561.82361745648</v>
      </c>
      <c r="N65" s="2">
        <f t="shared" si="3"/>
        <v>-35267.665717732161</v>
      </c>
      <c r="P65" s="2">
        <v>2280217.8064925489</v>
      </c>
      <c r="Q65" s="2">
        <v>2715207.2029995103</v>
      </c>
      <c r="R65" s="2">
        <v>2388537.3231741977</v>
      </c>
      <c r="S65" s="2">
        <f t="shared" si="4"/>
        <v>-434989.39650696144</v>
      </c>
      <c r="T65" s="2">
        <f t="shared" si="5"/>
        <v>-108319.51668164879</v>
      </c>
      <c r="V65" s="11">
        <v>2334697.6311020036</v>
      </c>
      <c r="W65" s="2">
        <v>3093449.8756620819</v>
      </c>
      <c r="X65" s="2">
        <v>2497703.630223861</v>
      </c>
      <c r="Y65" s="2">
        <f t="shared" si="6"/>
        <v>-758752.24456007825</v>
      </c>
      <c r="Z65" s="2">
        <f t="shared" si="7"/>
        <v>-163005.99912185734</v>
      </c>
      <c r="AB65" s="2">
        <v>2383257.2665526769</v>
      </c>
      <c r="AC65" s="2">
        <v>3520822.1903402992</v>
      </c>
      <c r="AD65" s="2">
        <v>2599322.3059473312</v>
      </c>
      <c r="AE65" s="2">
        <f t="shared" si="8"/>
        <v>-1137564.9237876222</v>
      </c>
      <c r="AF65" s="2">
        <f t="shared" si="9"/>
        <v>-216065.03939465433</v>
      </c>
      <c r="AH65" s="2">
        <v>2196745.0692404443</v>
      </c>
      <c r="AI65" s="2">
        <v>2239029.4282012577</v>
      </c>
      <c r="AJ65" s="2">
        <v>2213653.4116002545</v>
      </c>
      <c r="AK65" s="2">
        <f t="shared" si="10"/>
        <v>-42284.358960813377</v>
      </c>
      <c r="AL65" s="2">
        <v>-16908.342359810136</v>
      </c>
      <c r="AM65" s="2"/>
      <c r="AN65" s="2">
        <v>2235490.8876712797</v>
      </c>
      <c r="AO65" s="2">
        <v>2366795.0819653464</v>
      </c>
      <c r="AP65" s="2">
        <v>2271799.623379265</v>
      </c>
      <c r="AQ65" s="2">
        <f t="shared" si="11"/>
        <v>-131304.19429406663</v>
      </c>
      <c r="AR65" s="2">
        <v>-36308.735707985237</v>
      </c>
      <c r="AS65" s="2"/>
      <c r="AT65" s="2">
        <v>2269476.5306464834</v>
      </c>
      <c r="AU65" s="2">
        <v>2515766.0602410831</v>
      </c>
      <c r="AV65" s="2">
        <v>2331503.5238257181</v>
      </c>
      <c r="AW65" s="2">
        <v>-246289.52959459973</v>
      </c>
      <c r="AX65" s="2">
        <v>-62026.993179234676</v>
      </c>
      <c r="AY65" s="2"/>
      <c r="AZ65" s="2">
        <v>2300988.5636152187</v>
      </c>
      <c r="BA65" s="2">
        <v>2677968.984938832</v>
      </c>
      <c r="BB65" s="2">
        <v>2389285.7491975557</v>
      </c>
      <c r="BC65" s="2">
        <v>-376980.42132361326</v>
      </c>
      <c r="BD65" s="2">
        <v>-88297.18558233697</v>
      </c>
    </row>
    <row r="66" spans="1:56" x14ac:dyDescent="0.35">
      <c r="A66">
        <v>2037</v>
      </c>
      <c r="B66">
        <v>4</v>
      </c>
      <c r="C66" s="15">
        <v>1573771.256819546</v>
      </c>
      <c r="D66" s="9">
        <v>50405</v>
      </c>
      <c r="E66" s="2">
        <v>1590518.6271936349</v>
      </c>
      <c r="F66" s="2">
        <v>2143107.6810182296</v>
      </c>
      <c r="G66" s="10">
        <f t="shared" si="0"/>
        <v>-16747.370374088874</v>
      </c>
      <c r="H66" s="10">
        <f t="shared" si="1"/>
        <v>-569336.42419868358</v>
      </c>
      <c r="I66" s="13">
        <f t="shared" si="12"/>
        <v>-0.4848419565347668</v>
      </c>
      <c r="J66" s="14">
        <v>1725028.46980971</v>
      </c>
      <c r="K66" s="2">
        <v>1796988.4762410375</v>
      </c>
      <c r="L66" s="2">
        <v>2257173.8493681699</v>
      </c>
      <c r="M66" s="2">
        <f t="shared" si="2"/>
        <v>-71960.006431327434</v>
      </c>
      <c r="N66" s="2">
        <f t="shared" si="3"/>
        <v>-532145.37955845986</v>
      </c>
      <c r="P66" s="2">
        <v>1819121.7633268954</v>
      </c>
      <c r="Q66" s="2">
        <v>2105451.4050142081</v>
      </c>
      <c r="R66" s="2">
        <v>2391590.7834276943</v>
      </c>
      <c r="S66" s="2">
        <f t="shared" si="4"/>
        <v>-286329.64168731263</v>
      </c>
      <c r="T66" s="2">
        <f t="shared" si="5"/>
        <v>-572469.02010079892</v>
      </c>
      <c r="V66" s="11">
        <v>1897804.7950118463</v>
      </c>
      <c r="W66" s="2">
        <v>2393885.0894799842</v>
      </c>
      <c r="X66" s="2">
        <v>2501958.692308445</v>
      </c>
      <c r="Y66" s="2">
        <f t="shared" si="6"/>
        <v>-496080.2944681379</v>
      </c>
      <c r="Z66" s="2">
        <f t="shared" si="7"/>
        <v>-604153.89729659865</v>
      </c>
      <c r="AB66" s="2">
        <v>1968002.8215399978</v>
      </c>
      <c r="AC66" s="2">
        <v>2703159.6403421075</v>
      </c>
      <c r="AD66" s="2">
        <v>2604765.999181347</v>
      </c>
      <c r="AE66" s="2">
        <f t="shared" si="8"/>
        <v>-735156.81880210969</v>
      </c>
      <c r="AF66" s="2">
        <f t="shared" si="9"/>
        <v>-636763.17764134915</v>
      </c>
      <c r="AH66" s="2">
        <v>1689065.5896707298</v>
      </c>
      <c r="AI66" s="2">
        <v>1710172.0204665596</v>
      </c>
      <c r="AJ66" s="2">
        <v>2214911.0016169818</v>
      </c>
      <c r="AK66" s="2">
        <f t="shared" si="10"/>
        <v>-21106.430795829743</v>
      </c>
      <c r="AL66" s="2">
        <v>-525845.41194625199</v>
      </c>
      <c r="AM66" s="2"/>
      <c r="AN66" s="2">
        <v>1753711.7666211594</v>
      </c>
      <c r="AO66" s="2">
        <v>1832842.6921885691</v>
      </c>
      <c r="AP66" s="2">
        <v>2273638.740733712</v>
      </c>
      <c r="AQ66" s="2">
        <f t="shared" si="11"/>
        <v>-79130.925567409722</v>
      </c>
      <c r="AR66" s="2">
        <v>-519926.97411255259</v>
      </c>
      <c r="AS66" s="2"/>
      <c r="AT66" s="2">
        <v>1814797.4365810468</v>
      </c>
      <c r="AU66" s="2">
        <v>1968849.180030714</v>
      </c>
      <c r="AV66" s="2">
        <v>2333955.412090946</v>
      </c>
      <c r="AW66" s="2">
        <v>-154051.74344966724</v>
      </c>
      <c r="AX66" s="2">
        <v>-519157.9755098992</v>
      </c>
      <c r="AY66" s="2"/>
      <c r="AZ66" s="2">
        <v>1870435.9040727867</v>
      </c>
      <c r="BA66" s="2">
        <v>2108999.2269524978</v>
      </c>
      <c r="BB66" s="2">
        <v>2392347.2156619481</v>
      </c>
      <c r="BC66" s="2">
        <v>-238563.32287971117</v>
      </c>
      <c r="BD66" s="2">
        <v>-521911.3115891614</v>
      </c>
    </row>
    <row r="67" spans="1:56" x14ac:dyDescent="0.35">
      <c r="A67">
        <v>2038</v>
      </c>
      <c r="B67">
        <v>1</v>
      </c>
      <c r="C67" s="15">
        <v>2242688.0694541316</v>
      </c>
      <c r="D67" s="9">
        <v>50495</v>
      </c>
      <c r="E67" s="2">
        <v>2231557.4042985798</v>
      </c>
      <c r="F67" s="2">
        <v>2148931.5079281968</v>
      </c>
      <c r="G67" s="10">
        <f t="shared" si="0"/>
        <v>11130.665155551862</v>
      </c>
      <c r="H67" s="10">
        <f t="shared" si="1"/>
        <v>93756.561525934841</v>
      </c>
      <c r="I67" s="13">
        <f t="shared" si="12"/>
        <v>-1.6646216633969568</v>
      </c>
      <c r="J67" s="14">
        <v>2565232.877089466</v>
      </c>
      <c r="K67" s="2">
        <v>2606018.5162366754</v>
      </c>
      <c r="L67" s="2">
        <v>2266021.9229905824</v>
      </c>
      <c r="M67" s="2">
        <f t="shared" si="2"/>
        <v>-40785.639147209469</v>
      </c>
      <c r="N67" s="2">
        <f t="shared" si="3"/>
        <v>299210.95409888355</v>
      </c>
      <c r="P67" s="2">
        <v>2782765.5902807144</v>
      </c>
      <c r="Q67" s="2">
        <v>3048766.6711065331</v>
      </c>
      <c r="R67" s="2">
        <v>2404202.6997836838</v>
      </c>
      <c r="S67" s="2">
        <f t="shared" si="4"/>
        <v>-266001.0808258187</v>
      </c>
      <c r="T67" s="2">
        <f t="shared" si="5"/>
        <v>378562.89049703069</v>
      </c>
      <c r="V67" s="11">
        <v>2987073.031031521</v>
      </c>
      <c r="W67" s="2">
        <v>3479154.1886512996</v>
      </c>
      <c r="X67" s="2">
        <v>2517856.4112756154</v>
      </c>
      <c r="Y67" s="2">
        <f t="shared" si="6"/>
        <v>-492081.15761977853</v>
      </c>
      <c r="Z67" s="2">
        <f t="shared" si="7"/>
        <v>469216.61975590559</v>
      </c>
      <c r="AB67" s="2">
        <v>3177658.63448082</v>
      </c>
      <c r="AC67" s="2">
        <v>3932163.2033473533</v>
      </c>
      <c r="AD67" s="2">
        <v>2623919.9128713654</v>
      </c>
      <c r="AE67" s="2">
        <f t="shared" si="8"/>
        <v>-754504.56886653323</v>
      </c>
      <c r="AF67" s="2">
        <f t="shared" si="9"/>
        <v>553738.7216094546</v>
      </c>
      <c r="AH67" s="2">
        <v>2489170.2533389777</v>
      </c>
      <c r="AI67" s="2">
        <v>2477906.7702017659</v>
      </c>
      <c r="AJ67" s="2">
        <v>2222621.8991376441</v>
      </c>
      <c r="AK67" s="2">
        <f t="shared" si="10"/>
        <v>11263.483137211762</v>
      </c>
      <c r="AL67" s="2">
        <v>266548.3542013336</v>
      </c>
      <c r="AM67" s="2"/>
      <c r="AN67" s="2">
        <v>2633809.628404913</v>
      </c>
      <c r="AO67" s="2">
        <v>2682155.3367410833</v>
      </c>
      <c r="AP67" s="2">
        <v>2282935.4762038798</v>
      </c>
      <c r="AQ67" s="2">
        <f t="shared" si="11"/>
        <v>-48345.708336170297</v>
      </c>
      <c r="AR67" s="2">
        <v>350874.1522010332</v>
      </c>
      <c r="AS67" s="2"/>
      <c r="AT67" s="2">
        <v>2774038.0558087151</v>
      </c>
      <c r="AU67" s="2">
        <v>2900621.2929136627</v>
      </c>
      <c r="AV67" s="2">
        <v>2344924.3789893966</v>
      </c>
      <c r="AW67" s="2">
        <v>-126583.23710494768</v>
      </c>
      <c r="AX67" s="2">
        <v>429113.67681931844</v>
      </c>
      <c r="AY67" s="2"/>
      <c r="AZ67" s="2">
        <v>2911247.975903336</v>
      </c>
      <c r="BA67" s="2">
        <v>3126875.4755802038</v>
      </c>
      <c r="BB67" s="2">
        <v>2404981.0066586668</v>
      </c>
      <c r="BC67" s="2">
        <v>-215627.49967686785</v>
      </c>
      <c r="BD67" s="2">
        <v>506266.96924466919</v>
      </c>
    </row>
    <row r="68" spans="1:56" x14ac:dyDescent="0.35">
      <c r="A68">
        <v>2038</v>
      </c>
      <c r="B68">
        <v>2</v>
      </c>
      <c r="C68" s="15">
        <v>2000730.3531796583</v>
      </c>
      <c r="D68" s="9">
        <v>50586</v>
      </c>
      <c r="E68" s="2">
        <v>2043887.3199408299</v>
      </c>
      <c r="F68" s="2">
        <v>2107595.5389493154</v>
      </c>
      <c r="G68" s="10">
        <f t="shared" ref="G68:G131" si="13">C68-E68</f>
        <v>-43156.966761171585</v>
      </c>
      <c r="H68" s="10">
        <f t="shared" ref="H68:H131" si="14">C68-F68</f>
        <v>-106865.18576965714</v>
      </c>
      <c r="I68" s="13">
        <f t="shared" si="12"/>
        <v>-4.8773034816922269</v>
      </c>
      <c r="J68" s="14">
        <v>2186472.219942186</v>
      </c>
      <c r="K68" s="2">
        <v>2320869.9124885299</v>
      </c>
      <c r="L68" s="2">
        <v>2220376.1753988327</v>
      </c>
      <c r="M68" s="2">
        <f t="shared" ref="M68:M131" si="15">J68-K68</f>
        <v>-134397.6925463439</v>
      </c>
      <c r="N68" s="2">
        <f t="shared" ref="N68:N131" si="16">J68-L68</f>
        <v>-33903.955456646625</v>
      </c>
      <c r="P68" s="2">
        <v>2252305.3786251936</v>
      </c>
      <c r="Q68" s="2">
        <v>2729229.63598374</v>
      </c>
      <c r="R68" s="2">
        <v>2353111.7607933134</v>
      </c>
      <c r="S68" s="2">
        <f t="shared" ref="S68:S131" si="17">$P68-$Q68</f>
        <v>-476924.25735854637</v>
      </c>
      <c r="T68" s="2">
        <f t="shared" ref="T68:T131" si="18">P68-R68</f>
        <v>-100806.38216811977</v>
      </c>
      <c r="V68" s="11">
        <v>2314414.9266459784</v>
      </c>
      <c r="W68" s="2">
        <v>3141927.5542135523</v>
      </c>
      <c r="X68" s="2">
        <v>2461935.1810659086</v>
      </c>
      <c r="Y68" s="2">
        <f t="shared" ref="Y68:Y131" si="19">$V68-$W68</f>
        <v>-827512.62756757392</v>
      </c>
      <c r="Z68" s="2">
        <f t="shared" ref="Z68:Z131" si="20">$V68-$X68</f>
        <v>-147520.25441993028</v>
      </c>
      <c r="AB68" s="2">
        <v>2372632.3729455322</v>
      </c>
      <c r="AC68" s="2">
        <v>3613407.481793425</v>
      </c>
      <c r="AD68" s="2">
        <v>2563138.7835539891</v>
      </c>
      <c r="AE68" s="2">
        <f t="shared" ref="AE68:AE131" si="21">$AB68-$AC68</f>
        <v>-1240775.1088478928</v>
      </c>
      <c r="AF68" s="2">
        <f t="shared" ref="AF68:AF131" si="22">$AB68-$AD68</f>
        <v>-190506.41060845694</v>
      </c>
      <c r="AH68" s="2">
        <v>2158512.4242773051</v>
      </c>
      <c r="AI68" s="2">
        <v>2213203.1364488709</v>
      </c>
      <c r="AJ68" s="2">
        <v>2178603.4198980606</v>
      </c>
      <c r="AK68" s="2">
        <f t="shared" ref="AK68:AK131" si="23">AH68-AI68</f>
        <v>-54690.712171565741</v>
      </c>
      <c r="AL68" s="2">
        <v>-20090.995620755479</v>
      </c>
      <c r="AM68" s="2"/>
      <c r="AN68" s="2">
        <v>2197121.8764343103</v>
      </c>
      <c r="AO68" s="2">
        <v>2347182.6066844724</v>
      </c>
      <c r="AP68" s="2">
        <v>2236645.4501582063</v>
      </c>
      <c r="AQ68" s="2">
        <f t="shared" ref="AQ68:AQ131" si="24">AN68-AO68</f>
        <v>-150060.73025016207</v>
      </c>
      <c r="AR68" s="2">
        <v>-39523.573723895941</v>
      </c>
      <c r="AS68" s="2"/>
      <c r="AT68" s="2">
        <v>2233167.7152329879</v>
      </c>
      <c r="AU68" s="2">
        <v>2506671.0469325329</v>
      </c>
      <c r="AV68" s="2">
        <v>2296221.6415425534</v>
      </c>
      <c r="AW68" s="2">
        <v>-273503.33169954503</v>
      </c>
      <c r="AX68" s="2">
        <v>-63053.926309565548</v>
      </c>
      <c r="AY68" s="2"/>
      <c r="AZ68" s="2">
        <v>2267503.0724680149</v>
      </c>
      <c r="BA68" s="2">
        <v>2681717.6748408964</v>
      </c>
      <c r="BB68" s="2">
        <v>2353858.1504806387</v>
      </c>
      <c r="BC68" s="2">
        <v>-414214.60237288149</v>
      </c>
      <c r="BD68" s="2">
        <v>-86355.078012623824</v>
      </c>
    </row>
    <row r="69" spans="1:56" x14ac:dyDescent="0.35">
      <c r="A69">
        <v>2038</v>
      </c>
      <c r="B69">
        <v>3</v>
      </c>
      <c r="C69" s="15">
        <v>2050162.6038784799</v>
      </c>
      <c r="D69" s="9">
        <v>50678</v>
      </c>
      <c r="E69" s="2">
        <v>2082348.9904932033</v>
      </c>
      <c r="F69" s="2">
        <v>2071190.9174581743</v>
      </c>
      <c r="G69" s="10">
        <f t="shared" si="13"/>
        <v>-32186.386614723364</v>
      </c>
      <c r="H69" s="10">
        <f t="shared" si="14"/>
        <v>-21028.313579694368</v>
      </c>
      <c r="I69" s="13">
        <f t="shared" ref="I69:I132" si="25">IFERROR(($G69/$G68)-1,"")</f>
        <v>-0.25420183506312766</v>
      </c>
      <c r="J69" s="14">
        <v>2218345.1801262768</v>
      </c>
      <c r="K69" s="2">
        <v>2334442.7417999934</v>
      </c>
      <c r="L69" s="2">
        <v>2180438.7701808224</v>
      </c>
      <c r="M69" s="2">
        <f t="shared" si="15"/>
        <v>-116097.56167371664</v>
      </c>
      <c r="N69" s="2">
        <f t="shared" si="16"/>
        <v>37906.409945454448</v>
      </c>
      <c r="P69" s="2">
        <v>2277302.3380805776</v>
      </c>
      <c r="Q69" s="2">
        <v>2710839.2453919509</v>
      </c>
      <c r="R69" s="2">
        <v>2308704.8047162662</v>
      </c>
      <c r="S69" s="2">
        <f t="shared" si="17"/>
        <v>-433536.90731137339</v>
      </c>
      <c r="T69" s="2">
        <f t="shared" si="18"/>
        <v>-31402.466635688674</v>
      </c>
      <c r="V69" s="11">
        <v>2330850.6309497943</v>
      </c>
      <c r="W69" s="2">
        <v>3086930.6175038898</v>
      </c>
      <c r="X69" s="2">
        <v>2413557.7840046789</v>
      </c>
      <c r="Y69" s="2">
        <f t="shared" si="19"/>
        <v>-756079.98655409552</v>
      </c>
      <c r="Z69" s="2">
        <f t="shared" si="20"/>
        <v>-82707.153054884635</v>
      </c>
      <c r="AB69" s="2">
        <v>2378819.7504158411</v>
      </c>
      <c r="AC69" s="2">
        <v>3512224.5130204433</v>
      </c>
      <c r="AD69" s="2">
        <v>2510761.3376202439</v>
      </c>
      <c r="AE69" s="2">
        <f t="shared" si="21"/>
        <v>-1133404.7626046021</v>
      </c>
      <c r="AF69" s="2">
        <f t="shared" si="22"/>
        <v>-131941.58720440278</v>
      </c>
      <c r="AH69" s="2">
        <v>2195072.9078862164</v>
      </c>
      <c r="AI69" s="2">
        <v>2237083.7549785962</v>
      </c>
      <c r="AJ69" s="2">
        <v>2140000.4071410047</v>
      </c>
      <c r="AK69" s="2">
        <f t="shared" si="23"/>
        <v>-42010.847092379816</v>
      </c>
      <c r="AL69" s="2">
        <v>55072.500745211728</v>
      </c>
      <c r="AM69" s="2"/>
      <c r="AN69" s="2">
        <v>2233073.2321119248</v>
      </c>
      <c r="AO69" s="2">
        <v>2363847.907225329</v>
      </c>
      <c r="AP69" s="2">
        <v>2196179.5567907006</v>
      </c>
      <c r="AQ69" s="2">
        <f t="shared" si="24"/>
        <v>-130774.67511340417</v>
      </c>
      <c r="AR69" s="2">
        <v>36893.675321224146</v>
      </c>
      <c r="AS69" s="2"/>
      <c r="AT69" s="2">
        <v>2266309.6181138419</v>
      </c>
      <c r="AU69" s="2">
        <v>2511681.1943025501</v>
      </c>
      <c r="AV69" s="2">
        <v>2253775.8113481803</v>
      </c>
      <c r="AW69" s="2">
        <v>-245371.57618870819</v>
      </c>
      <c r="AX69" s="2">
        <v>12533.806765661575</v>
      </c>
      <c r="AY69" s="2"/>
      <c r="AZ69" s="2">
        <v>2297144.0151121514</v>
      </c>
      <c r="BA69" s="2">
        <v>2672700.5657358184</v>
      </c>
      <c r="BB69" s="2">
        <v>2309424.9761293833</v>
      </c>
      <c r="BC69" s="2">
        <v>-375556.55062366696</v>
      </c>
      <c r="BD69" s="2">
        <v>-12280.961017231923</v>
      </c>
    </row>
    <row r="70" spans="1:56" x14ac:dyDescent="0.35">
      <c r="A70">
        <v>2038</v>
      </c>
      <c r="B70">
        <v>4</v>
      </c>
      <c r="C70" s="15">
        <v>1570988.1316732843</v>
      </c>
      <c r="D70" s="9">
        <v>50770</v>
      </c>
      <c r="E70" s="2">
        <v>1578981.0708936015</v>
      </c>
      <c r="F70" s="2">
        <v>2074203.725959741</v>
      </c>
      <c r="G70" s="10">
        <f t="shared" si="13"/>
        <v>-7992.9392203171737</v>
      </c>
      <c r="H70" s="10">
        <f t="shared" si="14"/>
        <v>-503215.5942864567</v>
      </c>
      <c r="I70" s="13">
        <f t="shared" si="25"/>
        <v>-0.75166708472143695</v>
      </c>
      <c r="J70" s="14">
        <v>1722332.8990316556</v>
      </c>
      <c r="K70" s="2">
        <v>1784352.593096229</v>
      </c>
      <c r="L70" s="2">
        <v>2184615.9334146902</v>
      </c>
      <c r="M70" s="2">
        <f t="shared" si="15"/>
        <v>-62019.694064573385</v>
      </c>
      <c r="N70" s="2">
        <f t="shared" si="16"/>
        <v>-462283.03438303457</v>
      </c>
      <c r="P70" s="2">
        <v>1815168.6487723484</v>
      </c>
      <c r="Q70" s="2">
        <v>2089512.126511099</v>
      </c>
      <c r="R70" s="2">
        <v>2314330.2371155997</v>
      </c>
      <c r="S70" s="2">
        <f t="shared" si="17"/>
        <v>-274343.47773875063</v>
      </c>
      <c r="T70" s="2">
        <f t="shared" si="18"/>
        <v>-499161.58834325126</v>
      </c>
      <c r="V70" s="11">
        <v>1893057.3424459188</v>
      </c>
      <c r="W70" s="2">
        <v>2375136.6259324062</v>
      </c>
      <c r="X70" s="2">
        <v>2420446.550908518</v>
      </c>
      <c r="Y70" s="2">
        <f t="shared" si="19"/>
        <v>-482079.28348648734</v>
      </c>
      <c r="Z70" s="2">
        <f t="shared" si="20"/>
        <v>-527389.2084625992</v>
      </c>
      <c r="AB70" s="2">
        <v>1962741.4768270585</v>
      </c>
      <c r="AC70" s="2">
        <v>2681959.0314520677</v>
      </c>
      <c r="AD70" s="2">
        <v>2518900.9674631325</v>
      </c>
      <c r="AE70" s="2">
        <f t="shared" si="21"/>
        <v>-719217.55462500919</v>
      </c>
      <c r="AF70" s="2">
        <f t="shared" si="22"/>
        <v>-556159.49063607398</v>
      </c>
      <c r="AH70" s="2">
        <v>1686436.6126804659</v>
      </c>
      <c r="AI70" s="2">
        <v>1698115.3770907556</v>
      </c>
      <c r="AJ70" s="2">
        <v>2143739.8078861069</v>
      </c>
      <c r="AK70" s="2">
        <f t="shared" si="23"/>
        <v>-11678.764410289703</v>
      </c>
      <c r="AL70" s="2">
        <v>-457303.19520564098</v>
      </c>
      <c r="AM70" s="2"/>
      <c r="AN70" s="2">
        <v>1749414.3476315667</v>
      </c>
      <c r="AO70" s="2">
        <v>1818468.5822270617</v>
      </c>
      <c r="AP70" s="2">
        <v>2200529.4127337681</v>
      </c>
      <c r="AQ70" s="2">
        <f t="shared" si="24"/>
        <v>-69054.234595495043</v>
      </c>
      <c r="AR70" s="2">
        <v>-451115.06510220142</v>
      </c>
      <c r="AS70" s="2"/>
      <c r="AT70" s="2">
        <v>1808956.438032659</v>
      </c>
      <c r="AU70" s="2">
        <v>1952100.4002349069</v>
      </c>
      <c r="AV70" s="2">
        <v>2258769.195515668</v>
      </c>
      <c r="AW70" s="2">
        <v>-143143.96220224793</v>
      </c>
      <c r="AX70" s="2">
        <v>-449812.75748300902</v>
      </c>
      <c r="AY70" s="2"/>
      <c r="AZ70" s="2">
        <v>1863473.6706350511</v>
      </c>
      <c r="BA70" s="2">
        <v>2090464.7560888708</v>
      </c>
      <c r="BB70" s="2">
        <v>2315058.8222482284</v>
      </c>
      <c r="BC70" s="2">
        <v>-226991.08545381972</v>
      </c>
      <c r="BD70" s="2">
        <v>-451585.15161317727</v>
      </c>
    </row>
    <row r="71" spans="1:56" x14ac:dyDescent="0.35">
      <c r="A71">
        <v>2039</v>
      </c>
      <c r="B71">
        <v>1</v>
      </c>
      <c r="C71" s="15">
        <v>2229950.9916423401</v>
      </c>
      <c r="D71" s="9">
        <v>50860</v>
      </c>
      <c r="E71" s="2">
        <v>2218952.1616857923</v>
      </c>
      <c r="F71" s="2">
        <v>2081483.2576808427</v>
      </c>
      <c r="G71" s="10">
        <f t="shared" si="13"/>
        <v>10998.829956547823</v>
      </c>
      <c r="H71" s="10">
        <f t="shared" si="14"/>
        <v>148467.73396149743</v>
      </c>
      <c r="I71" s="13">
        <f t="shared" si="25"/>
        <v>-2.3760682589190729</v>
      </c>
      <c r="J71" s="14">
        <v>2554136.7629916193</v>
      </c>
      <c r="K71" s="2">
        <v>2594973.6623267918</v>
      </c>
      <c r="L71" s="2">
        <v>2195056.9941486549</v>
      </c>
      <c r="M71" s="2">
        <f t="shared" si="15"/>
        <v>-40836.899335172493</v>
      </c>
      <c r="N71" s="2">
        <f t="shared" si="16"/>
        <v>359079.76884296443</v>
      </c>
      <c r="P71" s="2">
        <v>2768497.2791623855</v>
      </c>
      <c r="Q71" s="2">
        <v>3033813.0126529816</v>
      </c>
      <c r="R71" s="2">
        <v>2328707.5203247182</v>
      </c>
      <c r="S71" s="2">
        <f t="shared" si="17"/>
        <v>-265315.73349059606</v>
      </c>
      <c r="T71" s="2">
        <f t="shared" si="18"/>
        <v>439789.75883766729</v>
      </c>
      <c r="V71" s="11">
        <v>2969773.1732201613</v>
      </c>
      <c r="W71" s="2">
        <v>3460221.5071420725</v>
      </c>
      <c r="X71" s="2">
        <v>2438261.5582155921</v>
      </c>
      <c r="Y71" s="2">
        <f t="shared" si="19"/>
        <v>-490448.33392191119</v>
      </c>
      <c r="Z71" s="2">
        <f t="shared" si="20"/>
        <v>531511.61500456929</v>
      </c>
      <c r="AB71" s="2">
        <v>3159378.3764560837</v>
      </c>
      <c r="AC71" s="2">
        <v>3910854.1779550025</v>
      </c>
      <c r="AD71" s="2">
        <v>2540124.0909798299</v>
      </c>
      <c r="AE71" s="2">
        <f t="shared" si="21"/>
        <v>-751475.80149891879</v>
      </c>
      <c r="AF71" s="2">
        <f t="shared" si="22"/>
        <v>619254.28547625383</v>
      </c>
      <c r="AH71" s="2">
        <v>2478203.6298679532</v>
      </c>
      <c r="AI71" s="2">
        <v>2467178.221795144</v>
      </c>
      <c r="AJ71" s="2">
        <v>2152991.9461338767</v>
      </c>
      <c r="AK71" s="2">
        <f t="shared" si="23"/>
        <v>11025.408072809223</v>
      </c>
      <c r="AL71" s="2">
        <v>325211.68373407656</v>
      </c>
      <c r="AM71" s="2"/>
      <c r="AN71" s="2">
        <v>2619667.9968542135</v>
      </c>
      <c r="AO71" s="2">
        <v>2668162.2089053411</v>
      </c>
      <c r="AP71" s="2">
        <v>2211439.5935702911</v>
      </c>
      <c r="AQ71" s="2">
        <f t="shared" si="24"/>
        <v>-48494.212051127572</v>
      </c>
      <c r="AR71" s="2">
        <v>408228.40328392247</v>
      </c>
      <c r="AS71" s="2"/>
      <c r="AT71" s="2">
        <v>2756990.6817854908</v>
      </c>
      <c r="AU71" s="2">
        <v>2883520.7252705065</v>
      </c>
      <c r="AV71" s="2">
        <v>2271428.071976305</v>
      </c>
      <c r="AW71" s="2">
        <v>-126530.04348501563</v>
      </c>
      <c r="AX71" s="2">
        <v>485562.60980918584</v>
      </c>
      <c r="AY71" s="2"/>
      <c r="AZ71" s="2">
        <v>2891467.5115066846</v>
      </c>
      <c r="BA71" s="2">
        <v>3106766.5407761591</v>
      </c>
      <c r="BB71" s="2">
        <v>2329458.9870029632</v>
      </c>
      <c r="BC71" s="2">
        <v>-215299.02926947456</v>
      </c>
      <c r="BD71" s="2">
        <v>562008.52450372139</v>
      </c>
    </row>
    <row r="72" spans="1:56" x14ac:dyDescent="0.35">
      <c r="A72">
        <v>2039</v>
      </c>
      <c r="B72">
        <v>2</v>
      </c>
      <c r="C72" s="15">
        <v>1992995.6768252254</v>
      </c>
      <c r="D72" s="9">
        <v>50951</v>
      </c>
      <c r="E72" s="2">
        <v>2035823.4099820182</v>
      </c>
      <c r="F72" s="2">
        <v>2039514.7268145126</v>
      </c>
      <c r="G72" s="10">
        <f t="shared" si="13"/>
        <v>-42827.733156792819</v>
      </c>
      <c r="H72" s="10">
        <f t="shared" si="14"/>
        <v>-46519.049989287276</v>
      </c>
      <c r="I72" s="13">
        <f t="shared" si="25"/>
        <v>-4.8938444658194413</v>
      </c>
      <c r="J72" s="14">
        <v>2184455.053688271</v>
      </c>
      <c r="K72" s="2">
        <v>2318497.8954177182</v>
      </c>
      <c r="L72" s="2">
        <v>2148778.6857509674</v>
      </c>
      <c r="M72" s="2">
        <f t="shared" si="15"/>
        <v>-134042.84172944725</v>
      </c>
      <c r="N72" s="2">
        <f t="shared" si="16"/>
        <v>35676.367937303614</v>
      </c>
      <c r="P72" s="2">
        <v>2248939.1612994415</v>
      </c>
      <c r="Q72" s="2">
        <v>2724720.6865592641</v>
      </c>
      <c r="R72" s="2">
        <v>2276984.0218864186</v>
      </c>
      <c r="S72" s="2">
        <f t="shared" si="17"/>
        <v>-475781.52525982261</v>
      </c>
      <c r="T72" s="2">
        <f t="shared" si="18"/>
        <v>-28044.860586977098</v>
      </c>
      <c r="V72" s="11">
        <v>2309802.720983977</v>
      </c>
      <c r="W72" s="2">
        <v>3135183.5537424665</v>
      </c>
      <c r="X72" s="2">
        <v>2381707.769754793</v>
      </c>
      <c r="Y72" s="2">
        <f t="shared" si="19"/>
        <v>-825380.83275848953</v>
      </c>
      <c r="Z72" s="2">
        <f t="shared" si="20"/>
        <v>-71905.048770816065</v>
      </c>
      <c r="AB72" s="2">
        <v>2367213.4497504933</v>
      </c>
      <c r="AC72" s="2">
        <v>3604709.7870885036</v>
      </c>
      <c r="AD72" s="2">
        <v>2478710.4046082003</v>
      </c>
      <c r="AE72" s="2">
        <f t="shared" si="21"/>
        <v>-1237496.3373380103</v>
      </c>
      <c r="AF72" s="2">
        <f t="shared" si="22"/>
        <v>-111496.95485770702</v>
      </c>
      <c r="AH72" s="2">
        <v>2156818.342794063</v>
      </c>
      <c r="AI72" s="2">
        <v>2211298.7238596259</v>
      </c>
      <c r="AJ72" s="2">
        <v>2108340.9056806974</v>
      </c>
      <c r="AK72" s="2">
        <f t="shared" si="23"/>
        <v>-54480.381065562833</v>
      </c>
      <c r="AL72" s="2">
        <v>48477.437113365624</v>
      </c>
      <c r="AM72" s="2"/>
      <c r="AN72" s="2">
        <v>2194388.3021920458</v>
      </c>
      <c r="AO72" s="2">
        <v>2344027.5982698593</v>
      </c>
      <c r="AP72" s="2">
        <v>2164517.0068798494</v>
      </c>
      <c r="AQ72" s="2">
        <f t="shared" si="24"/>
        <v>-149639.29607781349</v>
      </c>
      <c r="AR72" s="2">
        <v>29871.295312196482</v>
      </c>
      <c r="AS72" s="2"/>
      <c r="AT72" s="2">
        <v>2229544.2126690829</v>
      </c>
      <c r="AU72" s="2">
        <v>2502298.0743553499</v>
      </c>
      <c r="AV72" s="2">
        <v>2222092.7744870782</v>
      </c>
      <c r="AW72" s="2">
        <v>-272753.86168626696</v>
      </c>
      <c r="AX72" s="2">
        <v>7451.4381820047274</v>
      </c>
      <c r="AY72" s="2"/>
      <c r="AZ72" s="2">
        <v>2263046.2270164127</v>
      </c>
      <c r="BA72" s="2">
        <v>2676076.5056007714</v>
      </c>
      <c r="BB72" s="2">
        <v>2277703.571384938</v>
      </c>
      <c r="BC72" s="2">
        <v>-413030.27858435875</v>
      </c>
      <c r="BD72" s="2">
        <v>-14657.344368525315</v>
      </c>
    </row>
    <row r="73" spans="1:56" x14ac:dyDescent="0.35">
      <c r="A73">
        <v>2039</v>
      </c>
      <c r="B73">
        <v>3</v>
      </c>
      <c r="C73" s="15">
        <v>2038286.3102727472</v>
      </c>
      <c r="D73" s="9">
        <v>51043</v>
      </c>
      <c r="E73" s="2">
        <v>2070393.0389837145</v>
      </c>
      <c r="F73" s="2">
        <v>2002622.7101701726</v>
      </c>
      <c r="G73" s="10">
        <f t="shared" si="13"/>
        <v>-32106.728710967349</v>
      </c>
      <c r="H73" s="10">
        <f t="shared" si="14"/>
        <v>35663.600102574565</v>
      </c>
      <c r="I73" s="13">
        <f t="shared" si="25"/>
        <v>-0.25032855244931485</v>
      </c>
      <c r="J73" s="14">
        <v>2210999.3484757673</v>
      </c>
      <c r="K73" s="2">
        <v>2326897.1045316639</v>
      </c>
      <c r="L73" s="2">
        <v>2108368.3819937003</v>
      </c>
      <c r="M73" s="2">
        <f t="shared" si="15"/>
        <v>-115897.75605589664</v>
      </c>
      <c r="N73" s="2">
        <f t="shared" si="16"/>
        <v>102630.96648206702</v>
      </c>
      <c r="P73" s="2">
        <v>2268686.7142702444</v>
      </c>
      <c r="Q73" s="2">
        <v>2701098.4180635628</v>
      </c>
      <c r="R73" s="2">
        <v>2232122.3700723504</v>
      </c>
      <c r="S73" s="2">
        <f t="shared" si="17"/>
        <v>-432411.70379331848</v>
      </c>
      <c r="T73" s="2">
        <f t="shared" si="18"/>
        <v>36564.344197893981</v>
      </c>
      <c r="V73" s="11">
        <v>2320906.6324505717</v>
      </c>
      <c r="W73" s="2">
        <v>3074687.6426778738</v>
      </c>
      <c r="X73" s="2">
        <v>2332891.719426231</v>
      </c>
      <c r="Y73" s="2">
        <f t="shared" si="19"/>
        <v>-753781.01022730209</v>
      </c>
      <c r="Z73" s="2">
        <f t="shared" si="20"/>
        <v>-11985.086975659244</v>
      </c>
      <c r="AB73" s="2">
        <v>2367559.2046199925</v>
      </c>
      <c r="AC73" s="2">
        <v>3497047.6528032091</v>
      </c>
      <c r="AD73" s="2">
        <v>2425910.3478768114</v>
      </c>
      <c r="AE73" s="2">
        <f t="shared" si="21"/>
        <v>-1129488.4481832166</v>
      </c>
      <c r="AF73" s="2">
        <f t="shared" si="22"/>
        <v>-58351.143256818876</v>
      </c>
      <c r="AH73" s="2">
        <v>2188177.2492957823</v>
      </c>
      <c r="AI73" s="2">
        <v>2230174.3793602064</v>
      </c>
      <c r="AJ73" s="2">
        <v>2069259.5301158235</v>
      </c>
      <c r="AK73" s="2">
        <f t="shared" si="23"/>
        <v>-41997.130064424127</v>
      </c>
      <c r="AL73" s="2">
        <v>118917.7191799588</v>
      </c>
      <c r="AM73" s="2"/>
      <c r="AN73" s="2">
        <v>2225158.6298863506</v>
      </c>
      <c r="AO73" s="2">
        <v>2355680.4797524195</v>
      </c>
      <c r="AP73" s="2">
        <v>2123580.3753056345</v>
      </c>
      <c r="AQ73" s="2">
        <f t="shared" si="24"/>
        <v>-130521.84986606892</v>
      </c>
      <c r="AR73" s="2">
        <v>101578.25458071614</v>
      </c>
      <c r="AS73" s="2"/>
      <c r="AT73" s="2">
        <v>2257566.8048188398</v>
      </c>
      <c r="AU73" s="2">
        <v>2502330.7744946661</v>
      </c>
      <c r="AV73" s="2">
        <v>2179184.280483962</v>
      </c>
      <c r="AW73" s="2">
        <v>-244763.96967582637</v>
      </c>
      <c r="AX73" s="2">
        <v>78382.524334877729</v>
      </c>
      <c r="AY73" s="2"/>
      <c r="AZ73" s="2">
        <v>2287516.8998308894</v>
      </c>
      <c r="BA73" s="2">
        <v>2661996.985667204</v>
      </c>
      <c r="BB73" s="2">
        <v>2232815.8076229058</v>
      </c>
      <c r="BC73" s="2">
        <v>-374480.0858363146</v>
      </c>
      <c r="BD73" s="2">
        <v>54701.092207983602</v>
      </c>
    </row>
    <row r="74" spans="1:56" x14ac:dyDescent="0.35">
      <c r="A74">
        <v>2039</v>
      </c>
      <c r="B74">
        <v>4</v>
      </c>
      <c r="C74" s="15">
        <v>1559359.5455790595</v>
      </c>
      <c r="D74" s="9">
        <v>51135</v>
      </c>
      <c r="E74" s="2">
        <v>1567363.0347484546</v>
      </c>
      <c r="F74" s="2">
        <v>2003703.3712607543</v>
      </c>
      <c r="G74" s="10">
        <f t="shared" si="13"/>
        <v>-8003.4891693950631</v>
      </c>
      <c r="H74" s="10">
        <f t="shared" si="14"/>
        <v>-444343.82568169478</v>
      </c>
      <c r="I74" s="13">
        <f t="shared" si="25"/>
        <v>-0.7507223722028975</v>
      </c>
      <c r="J74" s="14">
        <v>1709713.0650167596</v>
      </c>
      <c r="K74" s="2">
        <v>1772549.8715764172</v>
      </c>
      <c r="L74" s="2">
        <v>2110717.4892473412</v>
      </c>
      <c r="M74" s="2">
        <f t="shared" si="15"/>
        <v>-62836.806559657678</v>
      </c>
      <c r="N74" s="2">
        <f t="shared" si="16"/>
        <v>-401004.42423058162</v>
      </c>
      <c r="P74" s="2">
        <v>1800229.3335097334</v>
      </c>
      <c r="Q74" s="2">
        <v>2075069.5477128585</v>
      </c>
      <c r="R74" s="2">
        <v>2236051.0443125158</v>
      </c>
      <c r="S74" s="2">
        <f t="shared" si="17"/>
        <v>-274840.2142031251</v>
      </c>
      <c r="T74" s="2">
        <f t="shared" si="18"/>
        <v>-435821.71080278233</v>
      </c>
      <c r="V74" s="11">
        <v>1876348.2803556463</v>
      </c>
      <c r="W74" s="2">
        <v>2358404.4672023323</v>
      </c>
      <c r="X74" s="2">
        <v>2338199.9920978034</v>
      </c>
      <c r="Y74" s="2">
        <f t="shared" si="19"/>
        <v>-482056.18684668606</v>
      </c>
      <c r="Z74" s="2">
        <f t="shared" si="20"/>
        <v>-461851.71174215712</v>
      </c>
      <c r="AB74" s="2">
        <v>1944669.1324079642</v>
      </c>
      <c r="AC74" s="2">
        <v>2664067.5555581334</v>
      </c>
      <c r="AD74" s="2">
        <v>2432586.2615040238</v>
      </c>
      <c r="AE74" s="2">
        <f t="shared" si="21"/>
        <v>-719398.4231501692</v>
      </c>
      <c r="AF74" s="2">
        <f t="shared" si="22"/>
        <v>-487917.12909605959</v>
      </c>
      <c r="AH74" s="2">
        <v>1674175.902134378</v>
      </c>
      <c r="AI74" s="2">
        <v>1686964.1638445784</v>
      </c>
      <c r="AJ74" s="2">
        <v>2071131.5899732653</v>
      </c>
      <c r="AK74" s="2">
        <f t="shared" si="23"/>
        <v>-12788.261710200459</v>
      </c>
      <c r="AL74" s="2">
        <v>-396955.68783888733</v>
      </c>
      <c r="AM74" s="2"/>
      <c r="AN74" s="2">
        <v>1735008.3476900405</v>
      </c>
      <c r="AO74" s="2">
        <v>1805765.9925729369</v>
      </c>
      <c r="AP74" s="2">
        <v>2126117.7232523169</v>
      </c>
      <c r="AQ74" s="2">
        <f t="shared" si="24"/>
        <v>-70757.644882896449</v>
      </c>
      <c r="AR74" s="2">
        <v>-391109.37556227646</v>
      </c>
      <c r="AS74" s="2"/>
      <c r="AT74" s="2">
        <v>1792471.9043200193</v>
      </c>
      <c r="AU74" s="2">
        <v>1937725.7212882093</v>
      </c>
      <c r="AV74" s="2">
        <v>2182423.3508985406</v>
      </c>
      <c r="AW74" s="2">
        <v>-145253.81696819002</v>
      </c>
      <c r="AX74" s="2">
        <v>-389951.44657852128</v>
      </c>
      <c r="AY74" s="2"/>
      <c r="AZ74" s="2">
        <v>1845585.4686300335</v>
      </c>
      <c r="BA74" s="2">
        <v>2074368.2927487723</v>
      </c>
      <c r="BB74" s="2">
        <v>2236753.6644640258</v>
      </c>
      <c r="BC74" s="2">
        <v>-228782.82411873876</v>
      </c>
      <c r="BD74" s="2">
        <v>-391168.19583399221</v>
      </c>
    </row>
    <row r="75" spans="1:56" x14ac:dyDescent="0.35">
      <c r="A75">
        <v>2040</v>
      </c>
      <c r="B75">
        <v>1</v>
      </c>
      <c r="C75" s="15">
        <v>2250875.5599603881</v>
      </c>
      <c r="D75" s="9">
        <v>51226</v>
      </c>
      <c r="E75" s="2">
        <v>2239603.9287350755</v>
      </c>
      <c r="F75" s="2">
        <v>2010015.4022844983</v>
      </c>
      <c r="G75" s="10">
        <f t="shared" si="13"/>
        <v>11271.631225312594</v>
      </c>
      <c r="H75" s="10">
        <f t="shared" si="14"/>
        <v>240860.15767588979</v>
      </c>
      <c r="I75" s="13">
        <f t="shared" si="25"/>
        <v>-2.4083396612086068</v>
      </c>
      <c r="J75" s="14">
        <v>2581446.6582058128</v>
      </c>
      <c r="K75" s="2">
        <v>2622538.6217147112</v>
      </c>
      <c r="L75" s="2">
        <v>2120320.2536976114</v>
      </c>
      <c r="M75" s="2">
        <f t="shared" si="15"/>
        <v>-41091.963508898392</v>
      </c>
      <c r="N75" s="2">
        <f t="shared" si="16"/>
        <v>461126.40450820141</v>
      </c>
      <c r="P75" s="2">
        <v>2795853.9195761485</v>
      </c>
      <c r="Q75" s="2">
        <v>3063523.1744080894</v>
      </c>
      <c r="R75" s="2">
        <v>2249752.2679091636</v>
      </c>
      <c r="S75" s="2">
        <f t="shared" si="17"/>
        <v>-267669.25483194087</v>
      </c>
      <c r="T75" s="2">
        <f t="shared" si="18"/>
        <v>546101.65166698489</v>
      </c>
      <c r="V75" s="11">
        <v>2997196.6995889489</v>
      </c>
      <c r="W75" s="2">
        <v>3491784.3791404059</v>
      </c>
      <c r="X75" s="2">
        <v>2355481.9220017781</v>
      </c>
      <c r="Y75" s="2">
        <f t="shared" si="19"/>
        <v>-494587.67955145705</v>
      </c>
      <c r="Z75" s="2">
        <f t="shared" si="20"/>
        <v>641714.77758717071</v>
      </c>
      <c r="AB75" s="2">
        <v>3186869.9467800707</v>
      </c>
      <c r="AC75" s="2">
        <v>3944282.1903218818</v>
      </c>
      <c r="AD75" s="2">
        <v>2453419.2898269934</v>
      </c>
      <c r="AE75" s="2">
        <f t="shared" si="21"/>
        <v>-757412.24354181113</v>
      </c>
      <c r="AF75" s="2">
        <f t="shared" si="22"/>
        <v>733450.6569530773</v>
      </c>
      <c r="AH75" s="2">
        <v>2505168.00699466</v>
      </c>
      <c r="AI75" s="2">
        <v>2493920.7198825115</v>
      </c>
      <c r="AJ75" s="2">
        <v>2079496.7303841105</v>
      </c>
      <c r="AK75" s="2">
        <f t="shared" si="23"/>
        <v>11247.287112148479</v>
      </c>
      <c r="AL75" s="2">
        <v>425671.27661054954</v>
      </c>
      <c r="AM75" s="2"/>
      <c r="AN75" s="2">
        <v>2645882.0568265491</v>
      </c>
      <c r="AO75" s="2">
        <v>2694818.94691682</v>
      </c>
      <c r="AP75" s="2">
        <v>2136208.8622669973</v>
      </c>
      <c r="AQ75" s="2">
        <f t="shared" si="24"/>
        <v>-48936.890090270899</v>
      </c>
      <c r="AR75" s="2">
        <v>509673.19455955178</v>
      </c>
      <c r="AS75" s="2"/>
      <c r="AT75" s="2">
        <v>2782079.0736996792</v>
      </c>
      <c r="AU75" s="2">
        <v>2909821.4288490508</v>
      </c>
      <c r="AV75" s="2">
        <v>2194335.1504706028</v>
      </c>
      <c r="AW75" s="2">
        <v>-127742.35514937155</v>
      </c>
      <c r="AX75" s="2">
        <v>587743.92322907643</v>
      </c>
      <c r="AY75" s="2"/>
      <c r="AZ75" s="2">
        <v>2915741.5749943405</v>
      </c>
      <c r="BA75" s="2">
        <v>3133085.2570321313</v>
      </c>
      <c r="BB75" s="2">
        <v>2250478.7172634541</v>
      </c>
      <c r="BC75" s="2">
        <v>-217343.68203779077</v>
      </c>
      <c r="BD75" s="2">
        <v>665262.85773088643</v>
      </c>
    </row>
    <row r="76" spans="1:56" x14ac:dyDescent="0.35">
      <c r="A76">
        <v>2040</v>
      </c>
      <c r="B76">
        <v>2</v>
      </c>
      <c r="C76" s="15">
        <v>1981510.8192430828</v>
      </c>
      <c r="D76" s="9">
        <v>51317</v>
      </c>
      <c r="E76" s="2">
        <v>2024200.4076939926</v>
      </c>
      <c r="F76" s="2">
        <v>1967624.7086321423</v>
      </c>
      <c r="G76" s="10">
        <f t="shared" si="13"/>
        <v>-42689.588450909825</v>
      </c>
      <c r="H76" s="10">
        <f t="shared" si="14"/>
        <v>13886.110610940494</v>
      </c>
      <c r="I76" s="13">
        <f t="shared" si="25"/>
        <v>-4.7873478645257865</v>
      </c>
      <c r="J76" s="14">
        <v>2178530.2909938102</v>
      </c>
      <c r="K76" s="2">
        <v>2312390.9381699818</v>
      </c>
      <c r="L76" s="2">
        <v>2073608.9600842749</v>
      </c>
      <c r="M76" s="2">
        <f t="shared" si="15"/>
        <v>-133860.64717617165</v>
      </c>
      <c r="N76" s="2">
        <f t="shared" si="16"/>
        <v>104921.33090953529</v>
      </c>
      <c r="P76" s="2">
        <v>2241986.9409307274</v>
      </c>
      <c r="Q76" s="2">
        <v>2716685.6698172269</v>
      </c>
      <c r="R76" s="2">
        <v>2197582.1949751982</v>
      </c>
      <c r="S76" s="2">
        <f t="shared" si="17"/>
        <v>-474698.72888649954</v>
      </c>
      <c r="T76" s="2">
        <f t="shared" si="18"/>
        <v>44404.745955529157</v>
      </c>
      <c r="V76" s="11">
        <v>2301775.9733521445</v>
      </c>
      <c r="W76" s="2">
        <v>3124831.145217068</v>
      </c>
      <c r="X76" s="2">
        <v>2298469.5825589518</v>
      </c>
      <c r="Y76" s="2">
        <f t="shared" si="19"/>
        <v>-823055.17186492356</v>
      </c>
      <c r="Z76" s="2">
        <f t="shared" si="20"/>
        <v>3306.390793192666</v>
      </c>
      <c r="AB76" s="2">
        <v>2358806.3426347151</v>
      </c>
      <c r="AC76" s="2">
        <v>3592614.3775680508</v>
      </c>
      <c r="AD76" s="2">
        <v>2391535.0759869721</v>
      </c>
      <c r="AE76" s="2">
        <f t="shared" si="21"/>
        <v>-1233808.0349333356</v>
      </c>
      <c r="AF76" s="2">
        <f t="shared" si="22"/>
        <v>-32728.733352256939</v>
      </c>
      <c r="AH76" s="2">
        <v>2151420.7154729399</v>
      </c>
      <c r="AI76" s="2">
        <v>2205888.1465996453</v>
      </c>
      <c r="AJ76" s="2">
        <v>2034416.7840583744</v>
      </c>
      <c r="AK76" s="2">
        <f t="shared" si="23"/>
        <v>-54467.431126705371</v>
      </c>
      <c r="AL76" s="2">
        <v>117003.93141456554</v>
      </c>
      <c r="AM76" s="2"/>
      <c r="AN76" s="2">
        <v>2188346.1246828325</v>
      </c>
      <c r="AO76" s="2">
        <v>2337760.7540909951</v>
      </c>
      <c r="AP76" s="2">
        <v>2088851.6775672531</v>
      </c>
      <c r="AQ76" s="2">
        <f t="shared" si="24"/>
        <v>-149414.62940816255</v>
      </c>
      <c r="AR76" s="2">
        <v>99494.447115579387</v>
      </c>
      <c r="AS76" s="2"/>
      <c r="AT76" s="2">
        <v>2222924.2707088329</v>
      </c>
      <c r="AU76" s="2">
        <v>2495129.8319393317</v>
      </c>
      <c r="AV76" s="2">
        <v>2144559.2270400282</v>
      </c>
      <c r="AW76" s="2">
        <v>-272205.56123049883</v>
      </c>
      <c r="AX76" s="2">
        <v>78365.04366880469</v>
      </c>
      <c r="AY76" s="2"/>
      <c r="AZ76" s="2">
        <v>2255778.3246083097</v>
      </c>
      <c r="BA76" s="2">
        <v>2667825.4683537949</v>
      </c>
      <c r="BB76" s="2">
        <v>2198276.6477720346</v>
      </c>
      <c r="BC76" s="2">
        <v>-412047.14374548523</v>
      </c>
      <c r="BD76" s="2">
        <v>57501.67683627503</v>
      </c>
    </row>
    <row r="77" spans="1:56" x14ac:dyDescent="0.35">
      <c r="A77">
        <v>2040</v>
      </c>
      <c r="B77">
        <v>3</v>
      </c>
      <c r="C77" s="15">
        <v>2031575.4266803931</v>
      </c>
      <c r="D77" s="9">
        <v>51409</v>
      </c>
      <c r="E77" s="2">
        <v>2063347.5943498553</v>
      </c>
      <c r="F77" s="2">
        <v>1930399.5656460694</v>
      </c>
      <c r="G77" s="10">
        <f t="shared" si="13"/>
        <v>-31772.167669462273</v>
      </c>
      <c r="H77" s="10">
        <f t="shared" si="14"/>
        <v>101175.86103432369</v>
      </c>
      <c r="I77" s="13">
        <f t="shared" si="25"/>
        <v>-0.255739658722685</v>
      </c>
      <c r="J77" s="14">
        <v>2209759.504616729</v>
      </c>
      <c r="K77" s="2">
        <v>2325241.6993807666</v>
      </c>
      <c r="L77" s="2">
        <v>2032869.4929987313</v>
      </c>
      <c r="M77" s="2">
        <f t="shared" si="15"/>
        <v>-115482.19476403762</v>
      </c>
      <c r="N77" s="2">
        <f t="shared" si="16"/>
        <v>176890.01161799766</v>
      </c>
      <c r="P77" s="2">
        <v>2267042.6855338877</v>
      </c>
      <c r="Q77" s="2">
        <v>2698376.8715457595</v>
      </c>
      <c r="R77" s="2">
        <v>2152396.3560259501</v>
      </c>
      <c r="S77" s="2">
        <f t="shared" si="17"/>
        <v>-431334.18601187179</v>
      </c>
      <c r="T77" s="2">
        <f t="shared" si="18"/>
        <v>114646.32950793765</v>
      </c>
      <c r="V77" s="11">
        <v>2318521.5165572474</v>
      </c>
      <c r="W77" s="2">
        <v>3070423.9444178161</v>
      </c>
      <c r="X77" s="2">
        <v>2249333.7307071527</v>
      </c>
      <c r="Y77" s="2">
        <f t="shared" si="19"/>
        <v>-751902.42786056874</v>
      </c>
      <c r="Z77" s="2">
        <f t="shared" si="20"/>
        <v>69187.785850094631</v>
      </c>
      <c r="AB77" s="2">
        <v>2364266.8073682012</v>
      </c>
      <c r="AC77" s="2">
        <v>3490714.3652918688</v>
      </c>
      <c r="AD77" s="2">
        <v>2338419.6033442919</v>
      </c>
      <c r="AE77" s="2">
        <f t="shared" si="21"/>
        <v>-1126447.5579236676</v>
      </c>
      <c r="AF77" s="2">
        <f t="shared" si="22"/>
        <v>25847.204023909289</v>
      </c>
      <c r="AH77" s="2">
        <v>2186974.5050790887</v>
      </c>
      <c r="AI77" s="2">
        <v>2228700.5052938727</v>
      </c>
      <c r="AJ77" s="2">
        <v>1995004.7513701955</v>
      </c>
      <c r="AK77" s="2">
        <f t="shared" si="23"/>
        <v>-41726.00021478394</v>
      </c>
      <c r="AL77" s="2">
        <v>191969.7537088932</v>
      </c>
      <c r="AM77" s="2"/>
      <c r="AN77" s="2">
        <v>2223441.0369889387</v>
      </c>
      <c r="AO77" s="2">
        <v>2353485.8962927544</v>
      </c>
      <c r="AP77" s="2">
        <v>2047586.4732459134</v>
      </c>
      <c r="AQ77" s="2">
        <f t="shared" si="24"/>
        <v>-130044.85930381576</v>
      </c>
      <c r="AR77" s="2">
        <v>175854.5637430253</v>
      </c>
      <c r="AS77" s="2"/>
      <c r="AT77" s="2">
        <v>2255457.9286987586</v>
      </c>
      <c r="AU77" s="2">
        <v>2499470.1722978828</v>
      </c>
      <c r="AV77" s="2">
        <v>2101324.3676292342</v>
      </c>
      <c r="AW77" s="2">
        <v>-244012.24359912425</v>
      </c>
      <c r="AX77" s="2">
        <v>154133.56106952438</v>
      </c>
      <c r="AY77" s="2"/>
      <c r="AZ77" s="2">
        <v>2284847.740200629</v>
      </c>
      <c r="BA77" s="2">
        <v>2658220.2371258587</v>
      </c>
      <c r="BB77" s="2">
        <v>2153064.7259417712</v>
      </c>
      <c r="BC77" s="2">
        <v>-373372.49692522967</v>
      </c>
      <c r="BD77" s="2">
        <v>131783.01425885782</v>
      </c>
    </row>
    <row r="78" spans="1:56" x14ac:dyDescent="0.35">
      <c r="A78">
        <v>2040</v>
      </c>
      <c r="B78">
        <v>4</v>
      </c>
      <c r="C78" s="15">
        <v>1547643.6628083442</v>
      </c>
      <c r="D78" s="9">
        <v>51501</v>
      </c>
      <c r="E78" s="2">
        <v>1559471.0655790819</v>
      </c>
      <c r="F78" s="2">
        <v>1935395.5247334614</v>
      </c>
      <c r="G78" s="10">
        <f t="shared" si="13"/>
        <v>-11827.402770737652</v>
      </c>
      <c r="H78" s="10">
        <f t="shared" si="14"/>
        <v>-387751.86192511721</v>
      </c>
      <c r="I78" s="13">
        <f t="shared" si="25"/>
        <v>-0.62774328482140285</v>
      </c>
      <c r="J78" s="14">
        <v>1697962.6715549948</v>
      </c>
      <c r="K78" s="2">
        <v>1764797.9562097655</v>
      </c>
      <c r="L78" s="2">
        <v>2039229.2741920135</v>
      </c>
      <c r="M78" s="2">
        <f t="shared" si="15"/>
        <v>-66835.284654770745</v>
      </c>
      <c r="N78" s="2">
        <f t="shared" si="16"/>
        <v>-341266.60263701878</v>
      </c>
      <c r="P78" s="2">
        <v>1786786.4466054298</v>
      </c>
      <c r="Q78" s="2">
        <v>2064866.9791794687</v>
      </c>
      <c r="R78" s="2">
        <v>2160456.0761815864</v>
      </c>
      <c r="S78" s="2">
        <f t="shared" si="17"/>
        <v>-278080.53257403895</v>
      </c>
      <c r="T78" s="2">
        <f t="shared" si="18"/>
        <v>-373669.62957615661</v>
      </c>
      <c r="V78" s="11">
        <v>1861615.7860287097</v>
      </c>
      <c r="W78" s="2">
        <v>2346280.9736274872</v>
      </c>
      <c r="X78" s="2">
        <v>2258879.7005307004</v>
      </c>
      <c r="Y78" s="2">
        <f t="shared" si="19"/>
        <v>-484665.18759877747</v>
      </c>
      <c r="Z78" s="2">
        <f t="shared" si="20"/>
        <v>-397263.91450199066</v>
      </c>
      <c r="AB78" s="2">
        <v>1929840.571163869</v>
      </c>
      <c r="AC78" s="2">
        <v>2650082.7940121507</v>
      </c>
      <c r="AD78" s="2">
        <v>2349440.394872359</v>
      </c>
      <c r="AE78" s="2">
        <f t="shared" si="21"/>
        <v>-720242.22284828173</v>
      </c>
      <c r="AF78" s="2">
        <f t="shared" si="22"/>
        <v>-419599.82370849</v>
      </c>
      <c r="AH78" s="2">
        <v>1662869.6959223584</v>
      </c>
      <c r="AI78" s="2">
        <v>1679700.2694810471</v>
      </c>
      <c r="AJ78" s="2">
        <v>2000851.483945865</v>
      </c>
      <c r="AK78" s="2">
        <f t="shared" si="23"/>
        <v>-16830.573558688629</v>
      </c>
      <c r="AL78" s="2">
        <v>-337981.78802350652</v>
      </c>
      <c r="AM78" s="2"/>
      <c r="AN78" s="2">
        <v>1722376.6919859932</v>
      </c>
      <c r="AO78" s="2">
        <v>1796923.3422200962</v>
      </c>
      <c r="AP78" s="2">
        <v>2054148.745383939</v>
      </c>
      <c r="AQ78" s="2">
        <f t="shared" si="24"/>
        <v>-74546.65023410297</v>
      </c>
      <c r="AR78" s="2">
        <v>-331772.05339794583</v>
      </c>
      <c r="AS78" s="2"/>
      <c r="AT78" s="2">
        <v>1778491.2248674738</v>
      </c>
      <c r="AU78" s="2">
        <v>1927359.635426187</v>
      </c>
      <c r="AV78" s="2">
        <v>2108641.7085877429</v>
      </c>
      <c r="AW78" s="2">
        <v>-148868.41055871313</v>
      </c>
      <c r="AX78" s="2">
        <v>-330150.48372026905</v>
      </c>
      <c r="AY78" s="2"/>
      <c r="AZ78" s="2">
        <v>1830248.9118374365</v>
      </c>
      <c r="BA78" s="2">
        <v>2062421.3244419561</v>
      </c>
      <c r="BB78" s="2">
        <v>2161134.3338180655</v>
      </c>
      <c r="BC78" s="2">
        <v>-232172.41260451963</v>
      </c>
      <c r="BD78" s="2">
        <v>-330885.42198062898</v>
      </c>
    </row>
    <row r="79" spans="1:56" x14ac:dyDescent="0.35">
      <c r="A79">
        <v>2041</v>
      </c>
      <c r="B79">
        <v>1</v>
      </c>
      <c r="C79" s="15">
        <v>2214427.1546685314</v>
      </c>
      <c r="D79" s="9">
        <v>51591</v>
      </c>
      <c r="E79" s="2">
        <v>2203202.0418324098</v>
      </c>
      <c r="F79" s="2">
        <v>1944061.9192404242</v>
      </c>
      <c r="G79" s="10">
        <f t="shared" si="13"/>
        <v>11225.112836121581</v>
      </c>
      <c r="H79" s="10">
        <f t="shared" si="14"/>
        <v>270365.2354281072</v>
      </c>
      <c r="I79" s="13">
        <f t="shared" si="25"/>
        <v>-1.9490767376159537</v>
      </c>
      <c r="J79" s="14">
        <v>2543392.9567799643</v>
      </c>
      <c r="K79" s="2">
        <v>2583755.3246587296</v>
      </c>
      <c r="L79" s="2">
        <v>2051268.9048978877</v>
      </c>
      <c r="M79" s="2">
        <f t="shared" si="15"/>
        <v>-40362.367878765333</v>
      </c>
      <c r="N79" s="2">
        <f t="shared" si="16"/>
        <v>492124.05188207654</v>
      </c>
      <c r="P79" s="2">
        <v>2752385.2825263687</v>
      </c>
      <c r="Q79" s="2">
        <v>3015680.4555211673</v>
      </c>
      <c r="R79" s="2">
        <v>2176697.761373804</v>
      </c>
      <c r="S79" s="2">
        <f t="shared" si="17"/>
        <v>-263295.17299479851</v>
      </c>
      <c r="T79" s="2">
        <f t="shared" si="18"/>
        <v>575687.52115256479</v>
      </c>
      <c r="V79" s="11">
        <v>2948500.2593722139</v>
      </c>
      <c r="W79" s="2">
        <v>3434866.9816515972</v>
      </c>
      <c r="X79" s="2">
        <v>2278793.3925388008</v>
      </c>
      <c r="Y79" s="2">
        <f t="shared" si="19"/>
        <v>-486366.72227938334</v>
      </c>
      <c r="Z79" s="2">
        <f t="shared" si="20"/>
        <v>669706.86683341302</v>
      </c>
      <c r="AB79" s="2">
        <v>3132801.6852049064</v>
      </c>
      <c r="AC79" s="2">
        <v>3877331.9626158611</v>
      </c>
      <c r="AD79" s="2">
        <v>2372996.4858080102</v>
      </c>
      <c r="AE79" s="2">
        <f t="shared" si="21"/>
        <v>-744530.2774109547</v>
      </c>
      <c r="AF79" s="2">
        <f t="shared" si="22"/>
        <v>759805.19939689618</v>
      </c>
      <c r="AH79" s="2">
        <v>2468424.1244070139</v>
      </c>
      <c r="AI79" s="2">
        <v>2457270.2609950709</v>
      </c>
      <c r="AJ79" s="2">
        <v>2011622.3925015987</v>
      </c>
      <c r="AK79" s="2">
        <f t="shared" si="23"/>
        <v>11153.863411942963</v>
      </c>
      <c r="AL79" s="2">
        <v>456801.73190541519</v>
      </c>
      <c r="AM79" s="2"/>
      <c r="AN79" s="2">
        <v>2604818.7428705166</v>
      </c>
      <c r="AO79" s="2">
        <v>2652953.6316561163</v>
      </c>
      <c r="AP79" s="2">
        <v>2066689.0454856346</v>
      </c>
      <c r="AQ79" s="2">
        <f t="shared" si="24"/>
        <v>-48134.888785599731</v>
      </c>
      <c r="AR79" s="2">
        <v>538129.69738488202</v>
      </c>
      <c r="AS79" s="2"/>
      <c r="AT79" s="2">
        <v>2737415.4038574682</v>
      </c>
      <c r="AU79" s="2">
        <v>2863152.7836628123</v>
      </c>
      <c r="AV79" s="2">
        <v>2123048.6220617499</v>
      </c>
      <c r="AW79" s="2">
        <v>-125737.37980534416</v>
      </c>
      <c r="AX79" s="2">
        <v>614366.78179571824</v>
      </c>
      <c r="AY79" s="2"/>
      <c r="AZ79" s="2">
        <v>2867639.3618712099</v>
      </c>
      <c r="BA79" s="2">
        <v>3081611.6742722169</v>
      </c>
      <c r="BB79" s="2">
        <v>2177400.4533343697</v>
      </c>
      <c r="BC79" s="2">
        <v>-213972.31240100693</v>
      </c>
      <c r="BD79" s="2">
        <v>690238.90853684023</v>
      </c>
    </row>
    <row r="80" spans="1:56" x14ac:dyDescent="0.35">
      <c r="A80">
        <v>2041</v>
      </c>
      <c r="B80">
        <v>2</v>
      </c>
      <c r="C80" s="15">
        <v>1970249.8796611165</v>
      </c>
      <c r="D80" s="9">
        <v>51682</v>
      </c>
      <c r="E80" s="2">
        <v>2012793.6894440595</v>
      </c>
      <c r="F80" s="2">
        <v>1901529.1726246043</v>
      </c>
      <c r="G80" s="10">
        <f t="shared" si="13"/>
        <v>-42543.80978294299</v>
      </c>
      <c r="H80" s="10">
        <f t="shared" si="14"/>
        <v>68720.707036512205</v>
      </c>
      <c r="I80" s="13">
        <f t="shared" si="25"/>
        <v>-4.7900563142706378</v>
      </c>
      <c r="J80" s="14">
        <v>2172067.6231625611</v>
      </c>
      <c r="K80" s="2">
        <v>2305719.9697331293</v>
      </c>
      <c r="L80" s="2">
        <v>2004355.2337133209</v>
      </c>
      <c r="M80" s="2">
        <f t="shared" si="15"/>
        <v>-133652.34657056816</v>
      </c>
      <c r="N80" s="2">
        <f t="shared" si="16"/>
        <v>167712.38944924017</v>
      </c>
      <c r="P80" s="2">
        <v>2233695.9945019376</v>
      </c>
      <c r="Q80" s="2">
        <v>2707149.3491150439</v>
      </c>
      <c r="R80" s="2">
        <v>2124249.5637383112</v>
      </c>
      <c r="S80" s="2">
        <f t="shared" si="17"/>
        <v>-473453.35461310623</v>
      </c>
      <c r="T80" s="2">
        <f t="shared" si="18"/>
        <v>109446.43076362647</v>
      </c>
      <c r="V80" s="11">
        <v>2291690.1267975792</v>
      </c>
      <c r="W80" s="2">
        <v>3112052.0400370308</v>
      </c>
      <c r="X80" s="2">
        <v>2221436.1710333521</v>
      </c>
      <c r="Y80" s="2">
        <f t="shared" si="19"/>
        <v>-820361.91323945159</v>
      </c>
      <c r="Z80" s="2">
        <f t="shared" si="20"/>
        <v>70253.955764227081</v>
      </c>
      <c r="AB80" s="2">
        <v>2346463.4607236208</v>
      </c>
      <c r="AC80" s="2">
        <v>3575200.5779805179</v>
      </c>
      <c r="AD80" s="2">
        <v>2310700.6325442716</v>
      </c>
      <c r="AE80" s="2">
        <f t="shared" si="21"/>
        <v>-1228737.117256897</v>
      </c>
      <c r="AF80" s="2">
        <f t="shared" si="22"/>
        <v>35762.828179349191</v>
      </c>
      <c r="AH80" s="2">
        <v>2145467.0128744198</v>
      </c>
      <c r="AI80" s="2">
        <v>2199901.3043424208</v>
      </c>
      <c r="AJ80" s="2">
        <v>1966362.8070081661</v>
      </c>
      <c r="AK80" s="2">
        <f t="shared" si="23"/>
        <v>-54434.291468000971</v>
      </c>
      <c r="AL80" s="2">
        <v>179104.2058662537</v>
      </c>
      <c r="AM80" s="2"/>
      <c r="AN80" s="2">
        <v>2181313.5008811406</v>
      </c>
      <c r="AO80" s="2">
        <v>2330437.4431549376</v>
      </c>
      <c r="AP80" s="2">
        <v>2019120.4934454574</v>
      </c>
      <c r="AQ80" s="2">
        <f t="shared" si="24"/>
        <v>-149123.942273797</v>
      </c>
      <c r="AR80" s="2">
        <v>162193.00743568316</v>
      </c>
      <c r="AS80" s="2"/>
      <c r="AT80" s="2">
        <v>2214705.9249556884</v>
      </c>
      <c r="AU80" s="2">
        <v>2486196.1532895602</v>
      </c>
      <c r="AV80" s="2">
        <v>2073027.7313830506</v>
      </c>
      <c r="AW80" s="2">
        <v>-271490.22833387181</v>
      </c>
      <c r="AX80" s="2">
        <v>141678.19357263786</v>
      </c>
      <c r="AY80" s="2"/>
      <c r="AZ80" s="2">
        <v>2246416.7984805284</v>
      </c>
      <c r="BA80" s="2">
        <v>2657163.7081903857</v>
      </c>
      <c r="BB80" s="2">
        <v>2124919.8166871346</v>
      </c>
      <c r="BC80" s="2">
        <v>-410746.90970985731</v>
      </c>
      <c r="BD80" s="2">
        <v>121496.98179339385</v>
      </c>
    </row>
    <row r="81" spans="1:56" x14ac:dyDescent="0.35">
      <c r="A81">
        <v>2041</v>
      </c>
      <c r="B81">
        <v>3</v>
      </c>
      <c r="C81" s="15">
        <v>2020531.2993966516</v>
      </c>
      <c r="D81" s="9">
        <v>51774</v>
      </c>
      <c r="E81" s="2">
        <v>2052188.9187352834</v>
      </c>
      <c r="F81" s="2">
        <v>1864300.4337153861</v>
      </c>
      <c r="G81" s="10">
        <f t="shared" si="13"/>
        <v>-31657.619338631863</v>
      </c>
      <c r="H81" s="10">
        <f t="shared" si="14"/>
        <v>156230.86568126548</v>
      </c>
      <c r="I81" s="13">
        <f t="shared" si="25"/>
        <v>-0.25588188974734716</v>
      </c>
      <c r="J81" s="14">
        <v>2204235.172999084</v>
      </c>
      <c r="K81" s="2">
        <v>2319518.5604387089</v>
      </c>
      <c r="L81" s="2">
        <v>1963566.9272488076</v>
      </c>
      <c r="M81" s="2">
        <f t="shared" si="15"/>
        <v>-115283.38743962487</v>
      </c>
      <c r="N81" s="2">
        <f t="shared" si="16"/>
        <v>240668.24575027637</v>
      </c>
      <c r="P81" s="2">
        <v>2261442.0774594042</v>
      </c>
      <c r="Q81" s="2">
        <v>2691889.0719010537</v>
      </c>
      <c r="R81" s="2">
        <v>2078958.075062369</v>
      </c>
      <c r="S81" s="2">
        <f t="shared" si="17"/>
        <v>-430446.99444164941</v>
      </c>
      <c r="T81" s="2">
        <f t="shared" si="18"/>
        <v>182484.00239703525</v>
      </c>
      <c r="V81" s="11">
        <v>2312727.6715272903</v>
      </c>
      <c r="W81" s="2">
        <v>3062955.7171901055</v>
      </c>
      <c r="X81" s="2">
        <v>2172144.6014340399</v>
      </c>
      <c r="Y81" s="2">
        <f t="shared" si="19"/>
        <v>-750228.04566281522</v>
      </c>
      <c r="Z81" s="2">
        <f t="shared" si="20"/>
        <v>140583.07009325037</v>
      </c>
      <c r="AB81" s="2">
        <v>2358121.3103836412</v>
      </c>
      <c r="AC81" s="2">
        <v>3481796.3230777937</v>
      </c>
      <c r="AD81" s="2">
        <v>2257379.3741332567</v>
      </c>
      <c r="AE81" s="2">
        <f t="shared" si="21"/>
        <v>-1123675.0126941525</v>
      </c>
      <c r="AF81" s="2">
        <f t="shared" si="22"/>
        <v>100741.93625038443</v>
      </c>
      <c r="AH81" s="2">
        <v>2181246.3276379947</v>
      </c>
      <c r="AI81" s="2">
        <v>2222928.203980953</v>
      </c>
      <c r="AJ81" s="2">
        <v>1926918.9887436673</v>
      </c>
      <c r="AK81" s="2">
        <f t="shared" si="23"/>
        <v>-41681.876342958305</v>
      </c>
      <c r="AL81" s="2">
        <v>254327.3388943274</v>
      </c>
      <c r="AM81" s="2"/>
      <c r="AN81" s="2">
        <v>2217346.4901293004</v>
      </c>
      <c r="AO81" s="2">
        <v>2347131.2663613032</v>
      </c>
      <c r="AP81" s="2">
        <v>1977799.7074182448</v>
      </c>
      <c r="AQ81" s="2">
        <f t="shared" si="24"/>
        <v>-129784.77623200277</v>
      </c>
      <c r="AR81" s="2">
        <v>239546.7827110556</v>
      </c>
      <c r="AS81" s="2"/>
      <c r="AT81" s="2">
        <v>2249125.2724945312</v>
      </c>
      <c r="AU81" s="2">
        <v>2492584.7124882732</v>
      </c>
      <c r="AV81" s="2">
        <v>2029712.0903356157</v>
      </c>
      <c r="AW81" s="2">
        <v>-243459.43999374192</v>
      </c>
      <c r="AX81" s="2">
        <v>219413.18215891556</v>
      </c>
      <c r="AY81" s="2"/>
      <c r="AZ81" s="2">
        <v>2278246.9014778766</v>
      </c>
      <c r="BA81" s="2">
        <v>2650704.2700222889</v>
      </c>
      <c r="BB81" s="2">
        <v>2079601.9132894618</v>
      </c>
      <c r="BC81" s="2">
        <v>-372457.36854441231</v>
      </c>
      <c r="BD81" s="2">
        <v>198644.98818841483</v>
      </c>
    </row>
    <row r="82" spans="1:56" x14ac:dyDescent="0.35">
      <c r="A82">
        <v>2041</v>
      </c>
      <c r="B82">
        <v>4</v>
      </c>
      <c r="C82" s="15">
        <v>1539847.3876567967</v>
      </c>
      <c r="D82" s="9">
        <v>51866</v>
      </c>
      <c r="E82" s="2">
        <v>1651542.9034808057</v>
      </c>
      <c r="F82" s="2">
        <v>1870031.3256978029</v>
      </c>
      <c r="G82" s="10">
        <f t="shared" si="13"/>
        <v>-111695.51582400897</v>
      </c>
      <c r="H82" s="10">
        <f t="shared" si="14"/>
        <v>-330183.93804100621</v>
      </c>
      <c r="I82" s="13">
        <f t="shared" si="25"/>
        <v>2.5282348501710197</v>
      </c>
      <c r="J82" s="14">
        <v>1690487.8958098805</v>
      </c>
      <c r="K82" s="2">
        <v>1740779.5550325727</v>
      </c>
      <c r="L82" s="2">
        <v>1970709.6660719609</v>
      </c>
      <c r="M82" s="2">
        <f t="shared" si="15"/>
        <v>-50291.659222692251</v>
      </c>
      <c r="N82" s="2">
        <f t="shared" si="16"/>
        <v>-280221.77026208048</v>
      </c>
      <c r="P82" s="2">
        <v>1777926.26923019</v>
      </c>
      <c r="Q82" s="2">
        <v>1748263.8979470241</v>
      </c>
      <c r="R82" s="2">
        <v>2087861.6862279812</v>
      </c>
      <c r="S82" s="2">
        <f t="shared" si="17"/>
        <v>29662.371283165878</v>
      </c>
      <c r="T82" s="2">
        <f t="shared" si="18"/>
        <v>-309935.41699779127</v>
      </c>
      <c r="V82" s="11">
        <v>1851979.3723198073</v>
      </c>
      <c r="W82" s="2">
        <v>1748166.6950484191</v>
      </c>
      <c r="X82" s="2">
        <v>2182588.7461141413</v>
      </c>
      <c r="Y82" s="2">
        <f t="shared" si="19"/>
        <v>103812.67727138824</v>
      </c>
      <c r="Z82" s="2">
        <f t="shared" si="20"/>
        <v>-330609.37379433401</v>
      </c>
      <c r="AB82" s="2">
        <v>1919623.1879354645</v>
      </c>
      <c r="AC82" s="2">
        <v>1746506.00632224</v>
      </c>
      <c r="AD82" s="2">
        <v>2269353.1697622035</v>
      </c>
      <c r="AE82" s="2">
        <f t="shared" si="21"/>
        <v>173117.18161322456</v>
      </c>
      <c r="AF82" s="2">
        <f t="shared" si="22"/>
        <v>-349729.98182673892</v>
      </c>
      <c r="AH82" s="2">
        <v>1655644.9695573254</v>
      </c>
      <c r="AI82" s="2">
        <v>1735505.2077746389</v>
      </c>
      <c r="AJ82" s="2">
        <v>1933530.5244909683</v>
      </c>
      <c r="AK82" s="2">
        <f t="shared" si="23"/>
        <v>-79860.238217313541</v>
      </c>
      <c r="AL82" s="2">
        <v>-277885.55493364297</v>
      </c>
      <c r="AM82" s="2"/>
      <c r="AN82" s="2">
        <v>1713807.8729324131</v>
      </c>
      <c r="AO82" s="2">
        <v>1743028.9457518177</v>
      </c>
      <c r="AP82" s="2">
        <v>1985152.1321174179</v>
      </c>
      <c r="AQ82" s="2">
        <f t="shared" si="24"/>
        <v>-29221.072819404537</v>
      </c>
      <c r="AR82" s="2">
        <v>-271344.25918500475</v>
      </c>
      <c r="AS82" s="2"/>
      <c r="AT82" s="2">
        <v>1768754.5699308431</v>
      </c>
      <c r="AU82" s="2">
        <v>1746572.1127143186</v>
      </c>
      <c r="AV82" s="2">
        <v>2037846.5629917469</v>
      </c>
      <c r="AW82" s="2">
        <v>22182.457216524519</v>
      </c>
      <c r="AX82" s="2">
        <v>-269091.99306090386</v>
      </c>
      <c r="AY82" s="2"/>
      <c r="AZ82" s="2">
        <v>1819382.2371298226</v>
      </c>
      <c r="BA82" s="2">
        <v>1747694.4461318438</v>
      </c>
      <c r="BB82" s="2">
        <v>2088515.7701626744</v>
      </c>
      <c r="BC82" s="2">
        <v>71687.790997978766</v>
      </c>
      <c r="BD82" s="2">
        <v>-269133.53303285176</v>
      </c>
    </row>
    <row r="83" spans="1:56" x14ac:dyDescent="0.35">
      <c r="A83">
        <v>2042</v>
      </c>
      <c r="B83">
        <v>1</v>
      </c>
      <c r="C83" s="15">
        <f>E83</f>
        <v>2743309.5134431398</v>
      </c>
      <c r="D83" s="9">
        <v>51956</v>
      </c>
      <c r="E83" s="2">
        <v>2743309.5134431398</v>
      </c>
      <c r="F83" s="2">
        <v>1878662.1458587716</v>
      </c>
      <c r="G83" s="10">
        <f t="shared" si="13"/>
        <v>0</v>
      </c>
      <c r="H83" s="10">
        <f t="shared" si="14"/>
        <v>864647.36758436821</v>
      </c>
      <c r="I83" s="13">
        <f t="shared" si="25"/>
        <v>-1</v>
      </c>
      <c r="J83" s="14">
        <f>K83</f>
        <v>2964986.0147944726</v>
      </c>
      <c r="K83" s="2">
        <v>2964986.0147944726</v>
      </c>
      <c r="L83" s="2">
        <v>1982797.8752596742</v>
      </c>
      <c r="M83" s="2">
        <f t="shared" si="15"/>
        <v>0</v>
      </c>
      <c r="N83" s="2">
        <f t="shared" si="16"/>
        <v>982188.13953479845</v>
      </c>
      <c r="P83" s="2">
        <f>Q83</f>
        <v>3011476.3454138795</v>
      </c>
      <c r="Q83" s="2">
        <v>3011476.3454138795</v>
      </c>
      <c r="R83" s="2">
        <v>2104257.6171488045</v>
      </c>
      <c r="S83" s="2">
        <f t="shared" si="17"/>
        <v>0</v>
      </c>
      <c r="T83" s="2">
        <f t="shared" si="18"/>
        <v>907218.72826507501</v>
      </c>
      <c r="V83" s="11">
        <f>W83</f>
        <v>3046759.4781749393</v>
      </c>
      <c r="W83" s="2">
        <v>3046759.4781749393</v>
      </c>
      <c r="X83" s="2">
        <v>2202749.810369574</v>
      </c>
      <c r="Y83" s="2">
        <f t="shared" si="19"/>
        <v>0</v>
      </c>
      <c r="Z83" s="2">
        <f t="shared" si="20"/>
        <v>844009.66780536529</v>
      </c>
      <c r="AB83" s="2">
        <f>AC83</f>
        <v>3070682.5437959949</v>
      </c>
      <c r="AC83" s="2">
        <v>3070682.5437959949</v>
      </c>
      <c r="AD83" s="2">
        <v>2293249.7594639128</v>
      </c>
      <c r="AE83" s="2">
        <f t="shared" si="21"/>
        <v>0</v>
      </c>
      <c r="AF83" s="2">
        <f t="shared" si="22"/>
        <v>777432.78433208214</v>
      </c>
      <c r="AH83" s="2">
        <f>AI83</f>
        <v>2943792.4599683988</v>
      </c>
      <c r="AI83" s="2">
        <v>2943792.4599683988</v>
      </c>
      <c r="AJ83" s="2">
        <v>1944318.2914556121</v>
      </c>
      <c r="AK83" s="2">
        <f t="shared" si="23"/>
        <v>0</v>
      </c>
      <c r="AL83" s="2">
        <v>513594.81692553544</v>
      </c>
      <c r="AM83" s="2"/>
      <c r="AN83" s="2">
        <f>AO83</f>
        <v>2972850.8623685562</v>
      </c>
      <c r="AO83" s="2">
        <v>2972850.8623685562</v>
      </c>
      <c r="AP83" s="2">
        <v>1997753.5514289918</v>
      </c>
      <c r="AQ83" s="2">
        <f t="shared" si="24"/>
        <v>0</v>
      </c>
      <c r="AR83" s="2">
        <v>594404.39739214769</v>
      </c>
      <c r="AS83" s="2"/>
      <c r="AT83" s="2">
        <f>AU83</f>
        <v>2996749.8206820805</v>
      </c>
      <c r="AU83" s="2">
        <v>2996749.8206820805</v>
      </c>
      <c r="AV83" s="2">
        <v>2052361.4675468609</v>
      </c>
      <c r="AW83" s="2">
        <f>AT83-AU83</f>
        <v>0</v>
      </c>
      <c r="AX83" s="2">
        <v>670603.10948427604</v>
      </c>
      <c r="AY83" s="2"/>
      <c r="AZ83" s="2">
        <f>BA83</f>
        <v>3017312.3263397831</v>
      </c>
      <c r="BA83" s="2">
        <v>3017312.3263397831</v>
      </c>
      <c r="BB83" s="2">
        <v>2104936.7526313141</v>
      </c>
      <c r="BC83" s="2">
        <f>AZ83-BA83</f>
        <v>0</v>
      </c>
      <c r="BD83" s="2">
        <v>746502.63069915958</v>
      </c>
    </row>
    <row r="84" spans="1:56" x14ac:dyDescent="0.35">
      <c r="A84">
        <v>2042</v>
      </c>
      <c r="B84">
        <v>2</v>
      </c>
      <c r="C84" s="15">
        <f t="shared" ref="C84:C142" si="26">E84</f>
        <v>3675687.9387088642</v>
      </c>
      <c r="D84" s="9">
        <v>52047</v>
      </c>
      <c r="E84" s="2">
        <v>3675687.9387088642</v>
      </c>
      <c r="F84" s="2">
        <v>1834888.3062623672</v>
      </c>
      <c r="G84" s="10">
        <f t="shared" si="13"/>
        <v>0</v>
      </c>
      <c r="H84" s="10">
        <f t="shared" si="14"/>
        <v>1840799.632446497</v>
      </c>
      <c r="I84" s="13" t="str">
        <f t="shared" si="25"/>
        <v/>
      </c>
      <c r="J84" s="14">
        <f t="shared" ref="J84:J142" si="27">K84</f>
        <v>4058774.0775165502</v>
      </c>
      <c r="K84" s="2">
        <v>4058774.0775165502</v>
      </c>
      <c r="L84" s="2">
        <v>1934581.5799946026</v>
      </c>
      <c r="M84" s="2">
        <f t="shared" si="15"/>
        <v>0</v>
      </c>
      <c r="N84" s="2">
        <f t="shared" si="16"/>
        <v>2124192.4975219476</v>
      </c>
      <c r="P84" s="2">
        <f t="shared" ref="P84:P142" si="28">Q84</f>
        <v>4164660.4668807941</v>
      </c>
      <c r="Q84" s="2">
        <v>4164660.4668807941</v>
      </c>
      <c r="R84" s="2">
        <v>2050429.5333599017</v>
      </c>
      <c r="S84" s="2">
        <f t="shared" si="17"/>
        <v>0</v>
      </c>
      <c r="T84" s="2">
        <f t="shared" si="18"/>
        <v>2114230.9335208926</v>
      </c>
      <c r="V84" s="11">
        <f t="shared" ref="V84:V142" si="29">W84</f>
        <v>4263790.1956736157</v>
      </c>
      <c r="W84" s="2">
        <v>4263790.1956736157</v>
      </c>
      <c r="X84" s="2">
        <v>2143944.6102023986</v>
      </c>
      <c r="Y84" s="2">
        <f t="shared" si="19"/>
        <v>0</v>
      </c>
      <c r="Z84" s="2">
        <f t="shared" si="20"/>
        <v>2119845.5854712171</v>
      </c>
      <c r="AB84" s="2">
        <f t="shared" ref="AB84:AB142" si="30">AC84</f>
        <v>4356692.8987020729</v>
      </c>
      <c r="AC84" s="2">
        <v>4356692.8987020729</v>
      </c>
      <c r="AD84" s="2">
        <v>2229437.8350301329</v>
      </c>
      <c r="AE84" s="2">
        <f t="shared" si="21"/>
        <v>0</v>
      </c>
      <c r="AF84" s="2">
        <f t="shared" si="22"/>
        <v>2127255.06367194</v>
      </c>
      <c r="AH84" s="2">
        <f t="shared" ref="AH84:AH142" si="31">AI84</f>
        <v>4013634.8415196803</v>
      </c>
      <c r="AI84" s="2">
        <v>4013634.8415196803</v>
      </c>
      <c r="AJ84" s="2">
        <v>1897779.2750532778</v>
      </c>
      <c r="AK84" s="2">
        <f t="shared" si="23"/>
        <v>0</v>
      </c>
      <c r="AL84" s="2">
        <v>243460.31530340924</v>
      </c>
      <c r="AM84" s="2"/>
      <c r="AN84" s="2">
        <f t="shared" ref="AN84:AN142" si="32">AO84</f>
        <v>4075933.2810847829</v>
      </c>
      <c r="AO84" s="2">
        <v>4075933.2810847829</v>
      </c>
      <c r="AP84" s="2">
        <v>1948873.205743721</v>
      </c>
      <c r="AQ84" s="2">
        <f t="shared" si="24"/>
        <v>0</v>
      </c>
      <c r="AR84" s="2">
        <v>227999.15764409932</v>
      </c>
      <c r="AS84" s="2"/>
      <c r="AT84" s="2">
        <f t="shared" ref="AT84:AT142" si="33">AU84</f>
        <v>4133881.515257292</v>
      </c>
      <c r="AU84" s="2">
        <v>4133881.515257292</v>
      </c>
      <c r="AV84" s="2">
        <v>2000994.5113172238</v>
      </c>
      <c r="AW84" s="2">
        <f t="shared" ref="AW84:AW147" si="34">AT84-AU84</f>
        <v>0</v>
      </c>
      <c r="AX84" s="2">
        <v>209119.4659500639</v>
      </c>
      <c r="AY84" s="2"/>
      <c r="AZ84" s="2">
        <f t="shared" ref="AZ84:AZ142" si="35">BA84</f>
        <v>4188787.7660505641</v>
      </c>
      <c r="BA84" s="2">
        <v>4188787.7660505641</v>
      </c>
      <c r="BB84" s="2">
        <v>2051075.7785272966</v>
      </c>
      <c r="BC84" s="2">
        <f t="shared" ref="BC84:BC147" si="36">AZ84-BA84</f>
        <v>0</v>
      </c>
      <c r="BD84" s="2">
        <v>190632.54831796279</v>
      </c>
    </row>
    <row r="85" spans="1:56" x14ac:dyDescent="0.35">
      <c r="A85">
        <v>2042</v>
      </c>
      <c r="B85">
        <v>3</v>
      </c>
      <c r="C85" s="15">
        <f t="shared" si="26"/>
        <v>4167007.9519187249</v>
      </c>
      <c r="D85" s="9">
        <v>52139</v>
      </c>
      <c r="E85" s="2">
        <v>4167007.9519187249</v>
      </c>
      <c r="F85" s="2">
        <v>1796557.6528244605</v>
      </c>
      <c r="G85" s="10">
        <f t="shared" si="13"/>
        <v>0</v>
      </c>
      <c r="H85" s="10">
        <f t="shared" si="14"/>
        <v>2370450.2990942644</v>
      </c>
      <c r="I85" s="13" t="str">
        <f t="shared" si="25"/>
        <v/>
      </c>
      <c r="J85" s="14">
        <f t="shared" si="27"/>
        <v>4547252.1022647247</v>
      </c>
      <c r="K85" s="2">
        <v>4547252.1022647247</v>
      </c>
      <c r="L85" s="2">
        <v>1892645.2106764598</v>
      </c>
      <c r="M85" s="2">
        <f t="shared" si="15"/>
        <v>0</v>
      </c>
      <c r="N85" s="2">
        <f t="shared" si="16"/>
        <v>2654606.8915882651</v>
      </c>
      <c r="P85" s="2">
        <f t="shared" si="28"/>
        <v>4653133.7719877614</v>
      </c>
      <c r="Q85" s="2">
        <v>4653133.7719877614</v>
      </c>
      <c r="R85" s="2">
        <v>2003932.0352756528</v>
      </c>
      <c r="S85" s="2">
        <f t="shared" si="17"/>
        <v>0</v>
      </c>
      <c r="T85" s="2">
        <f t="shared" si="18"/>
        <v>2649201.7367121084</v>
      </c>
      <c r="V85" s="11">
        <f t="shared" si="29"/>
        <v>4746384.1768042054</v>
      </c>
      <c r="W85" s="2">
        <v>4746384.1768042054</v>
      </c>
      <c r="X85" s="2">
        <v>2093395.9618135418</v>
      </c>
      <c r="Y85" s="2">
        <f t="shared" si="19"/>
        <v>0</v>
      </c>
      <c r="Z85" s="2">
        <f t="shared" si="20"/>
        <v>2652988.2149906633</v>
      </c>
      <c r="AB85" s="2">
        <f t="shared" si="30"/>
        <v>4828118.0652288925</v>
      </c>
      <c r="AC85" s="2">
        <v>4828118.0652288925</v>
      </c>
      <c r="AD85" s="2">
        <v>2174808.4284483367</v>
      </c>
      <c r="AE85" s="2">
        <f t="shared" si="21"/>
        <v>0</v>
      </c>
      <c r="AF85" s="2">
        <f t="shared" si="22"/>
        <v>2653309.6367805558</v>
      </c>
      <c r="AH85" s="2">
        <f t="shared" si="31"/>
        <v>4504443.1290825717</v>
      </c>
      <c r="AI85" s="2">
        <v>4504443.1290825717</v>
      </c>
      <c r="AJ85" s="2">
        <v>1857204.7888138534</v>
      </c>
      <c r="AK85" s="2">
        <f t="shared" si="23"/>
        <v>0</v>
      </c>
      <c r="AL85" s="2">
        <v>317428.59199390817</v>
      </c>
      <c r="AM85" s="2"/>
      <c r="AN85" s="2">
        <f t="shared" si="32"/>
        <v>4571269.7844921313</v>
      </c>
      <c r="AO85" s="2">
        <v>4571269.7844921313</v>
      </c>
      <c r="AP85" s="2">
        <v>1906397.4796894384</v>
      </c>
      <c r="AQ85" s="2">
        <f t="shared" si="24"/>
        <v>0</v>
      </c>
      <c r="AR85" s="2">
        <v>302950.11006894195</v>
      </c>
      <c r="AS85" s="2"/>
      <c r="AT85" s="2">
        <f t="shared" si="33"/>
        <v>4629866.4593496341</v>
      </c>
      <c r="AU85" s="2">
        <v>4629866.4593496341</v>
      </c>
      <c r="AV85" s="2">
        <v>1956498.2263133351</v>
      </c>
      <c r="AW85" s="2">
        <f t="shared" si="34"/>
        <v>0</v>
      </c>
      <c r="AX85" s="2">
        <v>283556.81515474687</v>
      </c>
      <c r="AY85" s="2"/>
      <c r="AZ85" s="2">
        <f t="shared" si="35"/>
        <v>4682873.2286240878</v>
      </c>
      <c r="BA85" s="2">
        <v>4682873.2286240878</v>
      </c>
      <c r="BB85" s="2">
        <v>2004551.527243787</v>
      </c>
      <c r="BC85" s="2">
        <f t="shared" si="36"/>
        <v>0</v>
      </c>
      <c r="BD85" s="2">
        <v>263390.63726371108</v>
      </c>
    </row>
    <row r="86" spans="1:56" x14ac:dyDescent="0.35">
      <c r="A86">
        <v>2042</v>
      </c>
      <c r="B86">
        <v>4</v>
      </c>
      <c r="C86" s="15">
        <f t="shared" si="26"/>
        <v>2574388.0574980285</v>
      </c>
      <c r="D86" s="9">
        <v>52231</v>
      </c>
      <c r="E86" s="2">
        <v>2574388.0574980285</v>
      </c>
      <c r="F86" s="2">
        <v>1801831.8523029308</v>
      </c>
      <c r="G86" s="10">
        <f t="shared" si="13"/>
        <v>0</v>
      </c>
      <c r="H86" s="10">
        <f t="shared" si="14"/>
        <v>772556.20519509772</v>
      </c>
      <c r="I86" s="13" t="str">
        <f t="shared" si="25"/>
        <v/>
      </c>
      <c r="J86" s="14">
        <f t="shared" si="27"/>
        <v>2716360.7604797278</v>
      </c>
      <c r="K86" s="2">
        <v>2716360.7604797278</v>
      </c>
      <c r="L86" s="2">
        <v>1899380.2700379998</v>
      </c>
      <c r="M86" s="2">
        <f t="shared" si="15"/>
        <v>0</v>
      </c>
      <c r="N86" s="2">
        <f t="shared" si="16"/>
        <v>816980.49044172792</v>
      </c>
      <c r="P86" s="2">
        <f t="shared" si="28"/>
        <v>2726807.5047898819</v>
      </c>
      <c r="Q86" s="2">
        <v>2726807.5047898819</v>
      </c>
      <c r="R86" s="2">
        <v>2012490.1602576831</v>
      </c>
      <c r="S86" s="2">
        <f t="shared" si="17"/>
        <v>0</v>
      </c>
      <c r="T86" s="2">
        <f t="shared" si="18"/>
        <v>714317.34453219874</v>
      </c>
      <c r="V86" s="11">
        <f t="shared" si="29"/>
        <v>2726033.1494608116</v>
      </c>
      <c r="W86" s="2">
        <v>2726033.1494608116</v>
      </c>
      <c r="X86" s="2">
        <v>2103550.0319918264</v>
      </c>
      <c r="Y86" s="2">
        <f t="shared" si="19"/>
        <v>0</v>
      </c>
      <c r="Z86" s="2">
        <f t="shared" si="20"/>
        <v>622483.11746898526</v>
      </c>
      <c r="AB86" s="2">
        <f t="shared" si="30"/>
        <v>2722992.2721815631</v>
      </c>
      <c r="AC86" s="2">
        <v>2722992.2721815631</v>
      </c>
      <c r="AD86" s="2">
        <v>2186548.1230169148</v>
      </c>
      <c r="AE86" s="2">
        <f t="shared" si="21"/>
        <v>0</v>
      </c>
      <c r="AF86" s="2">
        <f t="shared" si="22"/>
        <v>536444.14916464826</v>
      </c>
      <c r="AH86" s="2">
        <f t="shared" si="31"/>
        <v>2708480.2458591764</v>
      </c>
      <c r="AI86" s="2">
        <v>2708480.2458591764</v>
      </c>
      <c r="AJ86" s="2">
        <v>1863390.1165455813</v>
      </c>
      <c r="AK86" s="2">
        <f t="shared" si="23"/>
        <v>0</v>
      </c>
      <c r="AL86" s="2">
        <v>-214960.7444840977</v>
      </c>
      <c r="AM86" s="2"/>
      <c r="AN86" s="2">
        <f t="shared" si="32"/>
        <v>2719825.0425683572</v>
      </c>
      <c r="AO86" s="2">
        <v>2719825.0425683572</v>
      </c>
      <c r="AP86" s="2">
        <v>1913349.5682829432</v>
      </c>
      <c r="AQ86" s="2">
        <f t="shared" si="24"/>
        <v>0</v>
      </c>
      <c r="AR86" s="2">
        <v>-207876.21956556523</v>
      </c>
      <c r="AS86" s="2"/>
      <c r="AT86" s="2">
        <f t="shared" si="33"/>
        <v>2724548.145670861</v>
      </c>
      <c r="AU86" s="2">
        <v>2724548.145670861</v>
      </c>
      <c r="AV86" s="2">
        <v>1964259.8993750603</v>
      </c>
      <c r="AW86" s="2">
        <f t="shared" si="34"/>
        <v>0</v>
      </c>
      <c r="AX86" s="2">
        <v>-204829.9858774934</v>
      </c>
      <c r="AY86" s="2"/>
      <c r="AZ86" s="2">
        <f t="shared" si="35"/>
        <v>2725771.0050492454</v>
      </c>
      <c r="BA86" s="2">
        <v>2725771.0050492454</v>
      </c>
      <c r="BB86" s="2">
        <v>2013120.2633415607</v>
      </c>
      <c r="BC86" s="2">
        <f t="shared" si="36"/>
        <v>0</v>
      </c>
      <c r="BD86" s="2">
        <v>-203817.64231460425</v>
      </c>
    </row>
    <row r="87" spans="1:56" x14ac:dyDescent="0.35">
      <c r="A87">
        <v>2043</v>
      </c>
      <c r="B87">
        <v>1</v>
      </c>
      <c r="C87" s="15">
        <f t="shared" si="26"/>
        <v>2848712.9101445107</v>
      </c>
      <c r="D87" s="9">
        <v>52321</v>
      </c>
      <c r="E87" s="2">
        <v>2848712.9101445107</v>
      </c>
      <c r="F87" s="2">
        <v>1809930.9273074109</v>
      </c>
      <c r="G87" s="10">
        <f t="shared" si="13"/>
        <v>0</v>
      </c>
      <c r="H87" s="10">
        <f t="shared" si="14"/>
        <v>1038781.9828370998</v>
      </c>
      <c r="I87" s="13" t="str">
        <f t="shared" si="25"/>
        <v/>
      </c>
      <c r="J87" s="14">
        <f t="shared" si="27"/>
        <v>3085403.7614024817</v>
      </c>
      <c r="K87" s="2">
        <v>3085403.7614024817</v>
      </c>
      <c r="L87" s="2">
        <v>1911022.5699536146</v>
      </c>
      <c r="M87" s="2">
        <f t="shared" si="15"/>
        <v>0</v>
      </c>
      <c r="N87" s="2">
        <f t="shared" si="16"/>
        <v>1174381.1914488671</v>
      </c>
      <c r="P87" s="2">
        <f t="shared" si="28"/>
        <v>3132730.0359227187</v>
      </c>
      <c r="Q87" s="2">
        <v>3132730.0359227187</v>
      </c>
      <c r="R87" s="2">
        <v>2028547.9624981093</v>
      </c>
      <c r="S87" s="2">
        <f t="shared" si="17"/>
        <v>0</v>
      </c>
      <c r="T87" s="2">
        <f t="shared" si="18"/>
        <v>1104182.0734246094</v>
      </c>
      <c r="V87" s="11">
        <f t="shared" si="29"/>
        <v>3168233.020591252</v>
      </c>
      <c r="W87" s="2">
        <v>3168233.020591252</v>
      </c>
      <c r="X87" s="2">
        <v>2123467.9566159626</v>
      </c>
      <c r="Y87" s="2">
        <f t="shared" si="19"/>
        <v>0</v>
      </c>
      <c r="Z87" s="2">
        <f t="shared" si="20"/>
        <v>1044765.0639752895</v>
      </c>
      <c r="AB87" s="2">
        <f t="shared" si="30"/>
        <v>3191542.1816273313</v>
      </c>
      <c r="AC87" s="2">
        <v>3191542.1816273313</v>
      </c>
      <c r="AD87" s="2">
        <v>2210296.5621364284</v>
      </c>
      <c r="AE87" s="2">
        <f t="shared" si="21"/>
        <v>0</v>
      </c>
      <c r="AF87" s="2">
        <f t="shared" si="22"/>
        <v>981245.61949090287</v>
      </c>
      <c r="AH87" s="2">
        <f t="shared" si="31"/>
        <v>3063942.2962955954</v>
      </c>
      <c r="AI87" s="2">
        <v>3063942.2962955954</v>
      </c>
      <c r="AJ87" s="2">
        <v>1873699.619763738</v>
      </c>
      <c r="AK87" s="2">
        <f t="shared" si="23"/>
        <v>0</v>
      </c>
      <c r="AL87" s="2">
        <v>574626.06608654791</v>
      </c>
      <c r="AM87" s="2"/>
      <c r="AN87" s="2">
        <f t="shared" si="32"/>
        <v>3093132.4458007794</v>
      </c>
      <c r="AO87" s="2">
        <v>3093132.4458007794</v>
      </c>
      <c r="AP87" s="2">
        <v>1925517.8698650186</v>
      </c>
      <c r="AQ87" s="2">
        <f t="shared" si="24"/>
        <v>0</v>
      </c>
      <c r="AR87" s="2">
        <v>654719.57786968839</v>
      </c>
      <c r="AS87" s="2"/>
      <c r="AT87" s="2">
        <f t="shared" si="33"/>
        <v>3117554.0368599487</v>
      </c>
      <c r="AU87" s="2">
        <v>3117554.0368599487</v>
      </c>
      <c r="AV87" s="2">
        <v>1978389.4955093293</v>
      </c>
      <c r="AW87" s="2">
        <f t="shared" si="34"/>
        <v>0</v>
      </c>
      <c r="AX87" s="2">
        <v>730542.5911595067</v>
      </c>
      <c r="AY87" s="2"/>
      <c r="AZ87" s="2">
        <f t="shared" si="35"/>
        <v>3138422.2507840157</v>
      </c>
      <c r="BA87" s="2">
        <v>3138422.2507840157</v>
      </c>
      <c r="BB87" s="2">
        <v>2029203.7466980084</v>
      </c>
      <c r="BC87" s="2">
        <f t="shared" si="36"/>
        <v>0</v>
      </c>
      <c r="BD87" s="2">
        <v>806193.61459023412</v>
      </c>
    </row>
    <row r="88" spans="1:56" x14ac:dyDescent="0.35">
      <c r="A88">
        <v>2043</v>
      </c>
      <c r="B88">
        <v>2</v>
      </c>
      <c r="C88" s="15">
        <f t="shared" si="26"/>
        <v>3740643.0453588557</v>
      </c>
      <c r="D88" s="9">
        <v>52412</v>
      </c>
      <c r="E88" s="2">
        <v>3740643.0453588557</v>
      </c>
      <c r="F88" s="2">
        <v>1765744.1234723183</v>
      </c>
      <c r="G88" s="10">
        <f t="shared" si="13"/>
        <v>0</v>
      </c>
      <c r="H88" s="10">
        <f t="shared" si="14"/>
        <v>1974898.9218865375</v>
      </c>
      <c r="I88" s="13" t="str">
        <f t="shared" si="25"/>
        <v/>
      </c>
      <c r="J88" s="14">
        <f t="shared" si="27"/>
        <v>4143135.5885978807</v>
      </c>
      <c r="K88" s="2">
        <v>4143135.5885978807</v>
      </c>
      <c r="L88" s="2">
        <v>1862330.5487279349</v>
      </c>
      <c r="M88" s="2">
        <f t="shared" si="15"/>
        <v>0</v>
      </c>
      <c r="N88" s="2">
        <f t="shared" si="16"/>
        <v>2280805.0398699455</v>
      </c>
      <c r="P88" s="2">
        <f t="shared" si="28"/>
        <v>4249407.1507208962</v>
      </c>
      <c r="Q88" s="2">
        <v>4249407.1507208962</v>
      </c>
      <c r="R88" s="2">
        <v>1974165.345434237</v>
      </c>
      <c r="S88" s="2">
        <f t="shared" si="17"/>
        <v>0</v>
      </c>
      <c r="T88" s="2">
        <f t="shared" si="18"/>
        <v>2275241.8052866589</v>
      </c>
      <c r="V88" s="11">
        <f t="shared" si="29"/>
        <v>4349031.9273043815</v>
      </c>
      <c r="W88" s="2">
        <v>4349031.9273043815</v>
      </c>
      <c r="X88" s="2">
        <v>2064038.7688153356</v>
      </c>
      <c r="Y88" s="2">
        <f t="shared" si="19"/>
        <v>0</v>
      </c>
      <c r="Z88" s="2">
        <f t="shared" si="20"/>
        <v>2284993.1584890457</v>
      </c>
      <c r="AB88" s="2">
        <f t="shared" si="30"/>
        <v>4441994.7111890018</v>
      </c>
      <c r="AC88" s="2">
        <v>4441994.7111890018</v>
      </c>
      <c r="AD88" s="2">
        <v>2145791.195710714</v>
      </c>
      <c r="AE88" s="2">
        <f t="shared" si="21"/>
        <v>0</v>
      </c>
      <c r="AF88" s="2">
        <f t="shared" si="22"/>
        <v>2296203.5154782878</v>
      </c>
      <c r="AH88" s="2">
        <f t="shared" si="31"/>
        <v>4097681.6135424464</v>
      </c>
      <c r="AI88" s="2">
        <v>4097681.6135424464</v>
      </c>
      <c r="AJ88" s="2">
        <v>1826708.5344358336</v>
      </c>
      <c r="AK88" s="2">
        <f t="shared" si="23"/>
        <v>0</v>
      </c>
      <c r="AL88" s="2">
        <v>310333.63200389198</v>
      </c>
      <c r="AM88" s="2"/>
      <c r="AN88" s="2">
        <f t="shared" si="32"/>
        <v>4160082.7142556207</v>
      </c>
      <c r="AO88" s="2">
        <v>4160082.7142556207</v>
      </c>
      <c r="AP88" s="2">
        <v>1876152.4452632605</v>
      </c>
      <c r="AQ88" s="2">
        <f t="shared" si="24"/>
        <v>0</v>
      </c>
      <c r="AR88" s="2">
        <v>295977.83340569539</v>
      </c>
      <c r="AS88" s="2"/>
      <c r="AT88" s="2">
        <f t="shared" si="33"/>
        <v>4217892.8066830654</v>
      </c>
      <c r="AU88" s="2">
        <v>4217892.8066830654</v>
      </c>
      <c r="AV88" s="2">
        <v>1926502.5030192439</v>
      </c>
      <c r="AW88" s="2">
        <f t="shared" si="34"/>
        <v>0</v>
      </c>
      <c r="AX88" s="2">
        <v>278250.3649806506</v>
      </c>
      <c r="AY88" s="2"/>
      <c r="AZ88" s="2">
        <f t="shared" si="35"/>
        <v>4272794.4712538086</v>
      </c>
      <c r="BA88" s="2">
        <v>4272794.4712538086</v>
      </c>
      <c r="BB88" s="2">
        <v>1974787.7789895809</v>
      </c>
      <c r="BC88" s="2">
        <f t="shared" si="36"/>
        <v>0</v>
      </c>
      <c r="BD88" s="2">
        <v>261021.23710061563</v>
      </c>
    </row>
    <row r="89" spans="1:56" x14ac:dyDescent="0.35">
      <c r="A89">
        <v>2043</v>
      </c>
      <c r="B89">
        <v>3</v>
      </c>
      <c r="C89" s="15">
        <f t="shared" si="26"/>
        <v>4232809.7989115268</v>
      </c>
      <c r="D89" s="9">
        <v>52504</v>
      </c>
      <c r="E89" s="2">
        <v>4232809.7989115268</v>
      </c>
      <c r="F89" s="2">
        <v>1727098.1453471004</v>
      </c>
      <c r="G89" s="10">
        <f t="shared" si="13"/>
        <v>0</v>
      </c>
      <c r="H89" s="10">
        <f t="shared" si="14"/>
        <v>2505711.6535644261</v>
      </c>
      <c r="I89" s="13" t="str">
        <f t="shared" si="25"/>
        <v/>
      </c>
      <c r="J89" s="14">
        <f t="shared" si="27"/>
        <v>4630558.5121155716</v>
      </c>
      <c r="K89" s="2">
        <v>4630558.5121155716</v>
      </c>
      <c r="L89" s="2">
        <v>1820031.7834310418</v>
      </c>
      <c r="M89" s="2">
        <f t="shared" si="15"/>
        <v>0</v>
      </c>
      <c r="N89" s="2">
        <f t="shared" si="16"/>
        <v>2810526.7286845297</v>
      </c>
      <c r="P89" s="2">
        <f t="shared" si="28"/>
        <v>4736179.8415915258</v>
      </c>
      <c r="Q89" s="2">
        <v>4736179.8415915258</v>
      </c>
      <c r="R89" s="2">
        <v>1927246.3458854654</v>
      </c>
      <c r="S89" s="2">
        <f t="shared" si="17"/>
        <v>0</v>
      </c>
      <c r="T89" s="2">
        <f t="shared" si="18"/>
        <v>2808933.4957060604</v>
      </c>
      <c r="V89" s="11">
        <f t="shared" si="29"/>
        <v>4828967.5025596526</v>
      </c>
      <c r="W89" s="2">
        <v>4828967.5025596526</v>
      </c>
      <c r="X89" s="2">
        <v>2013016.5281930945</v>
      </c>
      <c r="Y89" s="2">
        <f t="shared" si="19"/>
        <v>0</v>
      </c>
      <c r="Z89" s="2">
        <f t="shared" si="20"/>
        <v>2815950.9743665578</v>
      </c>
      <c r="AB89" s="2">
        <f t="shared" si="30"/>
        <v>4909335.082417951</v>
      </c>
      <c r="AC89" s="2">
        <v>4909335.082417951</v>
      </c>
      <c r="AD89" s="2">
        <v>2090636.1061266721</v>
      </c>
      <c r="AE89" s="2">
        <f t="shared" si="21"/>
        <v>0</v>
      </c>
      <c r="AF89" s="2">
        <f t="shared" si="22"/>
        <v>2818698.9762912788</v>
      </c>
      <c r="AH89" s="2">
        <f t="shared" si="31"/>
        <v>4587826.8591058953</v>
      </c>
      <c r="AI89" s="2">
        <v>4587826.8591058953</v>
      </c>
      <c r="AJ89" s="2">
        <v>1785789.3949939352</v>
      </c>
      <c r="AK89" s="2">
        <f t="shared" si="23"/>
        <v>0</v>
      </c>
      <c r="AL89" s="2">
        <v>379868.45342233963</v>
      </c>
      <c r="AM89" s="2"/>
      <c r="AN89" s="2">
        <f t="shared" si="32"/>
        <v>4654304.7789798416</v>
      </c>
      <c r="AO89" s="2">
        <v>4654304.7789798416</v>
      </c>
      <c r="AP89" s="2">
        <v>1833307.308513318</v>
      </c>
      <c r="AQ89" s="2">
        <f t="shared" si="24"/>
        <v>0</v>
      </c>
      <c r="AR89" s="2">
        <v>366314.42049180181</v>
      </c>
      <c r="AS89" s="2"/>
      <c r="AT89" s="2">
        <f t="shared" si="33"/>
        <v>4712381.6478006756</v>
      </c>
      <c r="AU89" s="2">
        <v>4712381.6478006756</v>
      </c>
      <c r="AV89" s="2">
        <v>1881610.5893117238</v>
      </c>
      <c r="AW89" s="2">
        <f t="shared" si="34"/>
        <v>0</v>
      </c>
      <c r="AX89" s="2">
        <v>347965.09645050182</v>
      </c>
      <c r="AY89" s="2"/>
      <c r="AZ89" s="2">
        <f t="shared" si="35"/>
        <v>4764802.7443071883</v>
      </c>
      <c r="BA89" s="2">
        <v>4764802.7443071883</v>
      </c>
      <c r="BB89" s="2">
        <v>1927841.680994469</v>
      </c>
      <c r="BC89" s="2">
        <f t="shared" si="36"/>
        <v>0</v>
      </c>
      <c r="BD89" s="2">
        <v>328905.53315000446</v>
      </c>
    </row>
    <row r="90" spans="1:56" x14ac:dyDescent="0.35">
      <c r="A90">
        <v>2043</v>
      </c>
      <c r="B90">
        <v>4</v>
      </c>
      <c r="C90" s="15">
        <f t="shared" si="26"/>
        <v>2660691.0258975881</v>
      </c>
      <c r="D90" s="9">
        <v>52596</v>
      </c>
      <c r="E90" s="2">
        <v>2660691.0258975881</v>
      </c>
      <c r="F90" s="2">
        <v>1736684.3543229366</v>
      </c>
      <c r="G90" s="10">
        <f t="shared" si="13"/>
        <v>0</v>
      </c>
      <c r="H90" s="10">
        <f t="shared" si="14"/>
        <v>924006.6715746515</v>
      </c>
      <c r="I90" s="13" t="str">
        <f t="shared" si="25"/>
        <v/>
      </c>
      <c r="J90" s="14">
        <f t="shared" si="27"/>
        <v>2809339.2018046612</v>
      </c>
      <c r="K90" s="2">
        <v>2809339.2018046612</v>
      </c>
      <c r="L90" s="2">
        <v>1831128.874240302</v>
      </c>
      <c r="M90" s="2">
        <f t="shared" si="15"/>
        <v>0</v>
      </c>
      <c r="N90" s="2">
        <f t="shared" si="16"/>
        <v>978210.32756435918</v>
      </c>
      <c r="P90" s="2">
        <f t="shared" si="28"/>
        <v>2818563.7665606225</v>
      </c>
      <c r="Q90" s="2">
        <v>2818563.7665606225</v>
      </c>
      <c r="R90" s="2">
        <v>1940229.9819260419</v>
      </c>
      <c r="S90" s="2">
        <f t="shared" si="17"/>
        <v>0</v>
      </c>
      <c r="T90" s="2">
        <f t="shared" si="18"/>
        <v>878333.7846345806</v>
      </c>
      <c r="V90" s="11">
        <f t="shared" si="29"/>
        <v>2816774.7498008525</v>
      </c>
      <c r="W90" s="2">
        <v>2816774.7498008525</v>
      </c>
      <c r="X90" s="2">
        <v>2027652.672768333</v>
      </c>
      <c r="Y90" s="2">
        <f t="shared" si="19"/>
        <v>0</v>
      </c>
      <c r="Z90" s="2">
        <f t="shared" si="20"/>
        <v>789122.0770325195</v>
      </c>
      <c r="AB90" s="2">
        <f t="shared" si="30"/>
        <v>2813093.1804759158</v>
      </c>
      <c r="AC90" s="2">
        <v>2813093.1804759158</v>
      </c>
      <c r="AD90" s="2">
        <v>2106915.0170430811</v>
      </c>
      <c r="AE90" s="2">
        <f t="shared" si="21"/>
        <v>0</v>
      </c>
      <c r="AF90" s="2">
        <f t="shared" si="22"/>
        <v>706178.16343283467</v>
      </c>
      <c r="AH90" s="2">
        <f t="shared" si="31"/>
        <v>2802031.7454809514</v>
      </c>
      <c r="AI90" s="2">
        <v>2802031.7454809514</v>
      </c>
      <c r="AJ90" s="2">
        <v>1796317.8437115932</v>
      </c>
      <c r="AK90" s="2">
        <f t="shared" si="23"/>
        <v>0</v>
      </c>
      <c r="AL90" s="2">
        <v>-152062.87394914124</v>
      </c>
      <c r="AM90" s="2"/>
      <c r="AN90" s="2">
        <f t="shared" si="32"/>
        <v>2812702.6034176429</v>
      </c>
      <c r="AO90" s="2">
        <v>2812702.6034176429</v>
      </c>
      <c r="AP90" s="2">
        <v>1844628.9234394326</v>
      </c>
      <c r="AQ90" s="2">
        <f t="shared" si="24"/>
        <v>0</v>
      </c>
      <c r="AR90" s="2">
        <v>-144391.76316436846</v>
      </c>
      <c r="AS90" s="2"/>
      <c r="AT90" s="2">
        <f t="shared" si="33"/>
        <v>2816674.5896709613</v>
      </c>
      <c r="AU90" s="2">
        <v>2816674.5896709613</v>
      </c>
      <c r="AV90" s="2">
        <v>1893769.8942733651</v>
      </c>
      <c r="AW90" s="2">
        <f t="shared" si="34"/>
        <v>0</v>
      </c>
      <c r="AX90" s="2">
        <v>-140749.38120059692</v>
      </c>
      <c r="AY90" s="2"/>
      <c r="AZ90" s="2">
        <f t="shared" si="35"/>
        <v>2817363.0933594694</v>
      </c>
      <c r="BA90" s="2">
        <v>2817363.0933594694</v>
      </c>
      <c r="BB90" s="2">
        <v>1940836.3011363999</v>
      </c>
      <c r="BC90" s="2">
        <f t="shared" si="36"/>
        <v>0</v>
      </c>
      <c r="BD90" s="2">
        <v>-138699.81823953544</v>
      </c>
    </row>
    <row r="91" spans="1:56" x14ac:dyDescent="0.35">
      <c r="A91">
        <v>2044</v>
      </c>
      <c r="B91">
        <v>1</v>
      </c>
      <c r="C91" s="15">
        <f t="shared" si="26"/>
        <v>2966077.2282271092</v>
      </c>
      <c r="D91" s="9">
        <v>52687</v>
      </c>
      <c r="E91" s="2">
        <v>2966077.2282271092</v>
      </c>
      <c r="F91" s="2">
        <v>1746108.5513693029</v>
      </c>
      <c r="G91" s="10">
        <f t="shared" si="13"/>
        <v>0</v>
      </c>
      <c r="H91" s="10">
        <f t="shared" si="14"/>
        <v>1219968.6768578063</v>
      </c>
      <c r="I91" s="13" t="str">
        <f t="shared" si="25"/>
        <v/>
      </c>
      <c r="J91" s="14">
        <f t="shared" si="27"/>
        <v>3218605.8111655582</v>
      </c>
      <c r="K91" s="2">
        <v>3218605.8111655582</v>
      </c>
      <c r="L91" s="2">
        <v>1844183.8487998806</v>
      </c>
      <c r="M91" s="2">
        <f t="shared" si="15"/>
        <v>0</v>
      </c>
      <c r="N91" s="2">
        <f t="shared" si="16"/>
        <v>1374421.9623656776</v>
      </c>
      <c r="P91" s="2">
        <f t="shared" si="28"/>
        <v>3266755.0105765481</v>
      </c>
      <c r="Q91" s="2">
        <v>3266755.0105765481</v>
      </c>
      <c r="R91" s="2">
        <v>1957810.3950139668</v>
      </c>
      <c r="S91" s="2">
        <f t="shared" si="17"/>
        <v>0</v>
      </c>
      <c r="T91" s="2">
        <f t="shared" si="18"/>
        <v>1308944.6155625812</v>
      </c>
      <c r="V91" s="11">
        <f t="shared" si="29"/>
        <v>3301876.0225582328</v>
      </c>
      <c r="W91" s="2">
        <v>3301876.0225582328</v>
      </c>
      <c r="X91" s="2">
        <v>2049190.0970700511</v>
      </c>
      <c r="Y91" s="2">
        <f t="shared" si="19"/>
        <v>0</v>
      </c>
      <c r="Z91" s="2">
        <f t="shared" si="20"/>
        <v>1252685.9254881816</v>
      </c>
      <c r="AB91" s="2">
        <f t="shared" si="30"/>
        <v>3324215.2847086438</v>
      </c>
      <c r="AC91" s="2">
        <v>3324215.2847086438</v>
      </c>
      <c r="AD91" s="2">
        <v>2132379.8446702603</v>
      </c>
      <c r="AE91" s="2">
        <f t="shared" si="21"/>
        <v>0</v>
      </c>
      <c r="AF91" s="2">
        <f t="shared" si="22"/>
        <v>1191835.4400383835</v>
      </c>
      <c r="AH91" s="2">
        <f t="shared" si="31"/>
        <v>3196922.8293569237</v>
      </c>
      <c r="AI91" s="2">
        <v>3196922.8293569237</v>
      </c>
      <c r="AJ91" s="2">
        <v>1808007.0200098378</v>
      </c>
      <c r="AK91" s="2">
        <f t="shared" si="23"/>
        <v>0</v>
      </c>
      <c r="AL91" s="2">
        <v>659609.02078276756</v>
      </c>
      <c r="AM91" s="2"/>
      <c r="AN91" s="2">
        <f t="shared" si="32"/>
        <v>3226771.886353245</v>
      </c>
      <c r="AO91" s="2">
        <v>3226771.886353245</v>
      </c>
      <c r="AP91" s="2">
        <v>1858222.9470389243</v>
      </c>
      <c r="AQ91" s="2">
        <f t="shared" si="24"/>
        <v>0</v>
      </c>
      <c r="AR91" s="2">
        <v>741034.18207057193</v>
      </c>
      <c r="AS91" s="2"/>
      <c r="AT91" s="2">
        <f t="shared" si="33"/>
        <v>3251323.7773670503</v>
      </c>
      <c r="AU91" s="2">
        <v>3251323.7773670503</v>
      </c>
      <c r="AV91" s="2">
        <v>1909373.9779198766</v>
      </c>
      <c r="AW91" s="2">
        <f t="shared" si="34"/>
        <v>0</v>
      </c>
      <c r="AX91" s="2">
        <v>818004.71336719766</v>
      </c>
      <c r="AY91" s="2"/>
      <c r="AZ91" s="2">
        <f t="shared" si="35"/>
        <v>3272241.9819646897</v>
      </c>
      <c r="BA91" s="2">
        <v>3272241.9819646897</v>
      </c>
      <c r="BB91" s="2">
        <v>1958443.0374999163</v>
      </c>
      <c r="BC91" s="2">
        <f t="shared" si="36"/>
        <v>0</v>
      </c>
      <c r="BD91" s="2">
        <v>894860.07466764981</v>
      </c>
    </row>
    <row r="92" spans="1:56" x14ac:dyDescent="0.35">
      <c r="A92">
        <v>2044</v>
      </c>
      <c r="B92">
        <v>2</v>
      </c>
      <c r="C92" s="15">
        <f t="shared" si="26"/>
        <v>3882094.9988031071</v>
      </c>
      <c r="D92" s="9">
        <v>52778</v>
      </c>
      <c r="E92" s="2">
        <v>3882094.9988031071</v>
      </c>
      <c r="F92" s="2">
        <v>1701238.4635027677</v>
      </c>
      <c r="G92" s="10">
        <f t="shared" si="13"/>
        <v>0</v>
      </c>
      <c r="H92" s="10">
        <f t="shared" si="14"/>
        <v>2180856.5353003396</v>
      </c>
      <c r="I92" s="13" t="str">
        <f t="shared" si="25"/>
        <v/>
      </c>
      <c r="J92" s="14">
        <f t="shared" si="27"/>
        <v>4313678.8520247079</v>
      </c>
      <c r="K92" s="2">
        <v>4313678.8520247079</v>
      </c>
      <c r="L92" s="2">
        <v>1794744.5265864008</v>
      </c>
      <c r="M92" s="2">
        <f t="shared" si="15"/>
        <v>0</v>
      </c>
      <c r="N92" s="2">
        <f t="shared" si="16"/>
        <v>2518934.3254383071</v>
      </c>
      <c r="P92" s="2">
        <f t="shared" si="28"/>
        <v>4423494.4706009533</v>
      </c>
      <c r="Q92" s="2">
        <v>4423494.4706009533</v>
      </c>
      <c r="R92" s="2">
        <v>1902600.0935016444</v>
      </c>
      <c r="S92" s="2">
        <f t="shared" si="17"/>
        <v>0</v>
      </c>
      <c r="T92" s="2">
        <f t="shared" si="18"/>
        <v>2520894.3770993091</v>
      </c>
      <c r="V92" s="11">
        <f t="shared" si="29"/>
        <v>4526613.0107970024</v>
      </c>
      <c r="W92" s="2">
        <v>4526613.0107970024</v>
      </c>
      <c r="X92" s="2">
        <v>1988862.3813753212</v>
      </c>
      <c r="Y92" s="2">
        <f t="shared" si="19"/>
        <v>0</v>
      </c>
      <c r="Z92" s="2">
        <f t="shared" si="20"/>
        <v>2537750.6294216812</v>
      </c>
      <c r="AB92" s="2">
        <f t="shared" si="30"/>
        <v>4622895.3089141231</v>
      </c>
      <c r="AC92" s="2">
        <v>4622895.3089141231</v>
      </c>
      <c r="AD92" s="2">
        <v>2066905.1069047914</v>
      </c>
      <c r="AE92" s="2">
        <f t="shared" si="21"/>
        <v>0</v>
      </c>
      <c r="AF92" s="2">
        <f t="shared" si="22"/>
        <v>2555990.2020093314</v>
      </c>
      <c r="AH92" s="2">
        <f t="shared" si="31"/>
        <v>4266469.2558696475</v>
      </c>
      <c r="AI92" s="2">
        <v>4266469.2558696475</v>
      </c>
      <c r="AJ92" s="2">
        <v>1760292.7638698693</v>
      </c>
      <c r="AK92" s="2">
        <f t="shared" si="23"/>
        <v>0</v>
      </c>
      <c r="AL92" s="2">
        <v>376179.08237803751</v>
      </c>
      <c r="AM92" s="2"/>
      <c r="AN92" s="2">
        <f t="shared" si="32"/>
        <v>4330618.8927983502</v>
      </c>
      <c r="AO92" s="2">
        <v>4330618.8927983502</v>
      </c>
      <c r="AP92" s="2">
        <v>1808100.6814343682</v>
      </c>
      <c r="AQ92" s="2">
        <f t="shared" si="24"/>
        <v>0</v>
      </c>
      <c r="AR92" s="2">
        <v>362703.73168926314</v>
      </c>
      <c r="AS92" s="2"/>
      <c r="AT92" s="2">
        <f t="shared" si="33"/>
        <v>4390132.8141259393</v>
      </c>
      <c r="AU92" s="2">
        <v>4390132.8141259393</v>
      </c>
      <c r="AV92" s="2">
        <v>1856694.4879361521</v>
      </c>
      <c r="AW92" s="2">
        <f t="shared" si="34"/>
        <v>0</v>
      </c>
      <c r="AX92" s="2">
        <v>346098.26189134084</v>
      </c>
      <c r="AY92" s="2"/>
      <c r="AZ92" s="2">
        <f t="shared" si="35"/>
        <v>4446648.1723065525</v>
      </c>
      <c r="BA92" s="2">
        <v>4446648.1723065525</v>
      </c>
      <c r="BB92" s="2">
        <v>1903198.9158070087</v>
      </c>
      <c r="BC92" s="2">
        <f t="shared" si="36"/>
        <v>0</v>
      </c>
      <c r="BD92" s="2">
        <v>330055.14583980059</v>
      </c>
    </row>
    <row r="93" spans="1:56" x14ac:dyDescent="0.35">
      <c r="A93">
        <v>2044</v>
      </c>
      <c r="B93">
        <v>3</v>
      </c>
      <c r="C93" s="15">
        <f t="shared" si="26"/>
        <v>4351618.166393009</v>
      </c>
      <c r="D93" s="9">
        <v>52870</v>
      </c>
      <c r="E93" s="2">
        <v>4351618.166393009</v>
      </c>
      <c r="F93" s="2">
        <v>1662041.1001219745</v>
      </c>
      <c r="G93" s="10">
        <f t="shared" si="13"/>
        <v>0</v>
      </c>
      <c r="H93" s="10">
        <f t="shared" si="14"/>
        <v>2689577.0662710345</v>
      </c>
      <c r="I93" s="13" t="str">
        <f t="shared" si="25"/>
        <v/>
      </c>
      <c r="J93" s="14">
        <f t="shared" si="27"/>
        <v>4772771.752815973</v>
      </c>
      <c r="K93" s="2">
        <v>4772771.752815973</v>
      </c>
      <c r="L93" s="2">
        <v>1751846.3633166635</v>
      </c>
      <c r="M93" s="2">
        <f t="shared" si="15"/>
        <v>0</v>
      </c>
      <c r="N93" s="2">
        <f t="shared" si="16"/>
        <v>3020925.3894993095</v>
      </c>
      <c r="P93" s="2">
        <f t="shared" si="28"/>
        <v>4880043.9399439264</v>
      </c>
      <c r="Q93" s="2">
        <v>4880043.9399439264</v>
      </c>
      <c r="R93" s="2">
        <v>1855021.4083845415</v>
      </c>
      <c r="S93" s="2">
        <f t="shared" si="17"/>
        <v>0</v>
      </c>
      <c r="T93" s="2">
        <f t="shared" si="18"/>
        <v>3025022.5315593849</v>
      </c>
      <c r="V93" s="11">
        <f t="shared" si="29"/>
        <v>4974023.3303216537</v>
      </c>
      <c r="W93" s="2">
        <v>4974023.3303216537</v>
      </c>
      <c r="X93" s="2">
        <v>1937127.3226005104</v>
      </c>
      <c r="Y93" s="2">
        <f t="shared" si="19"/>
        <v>0</v>
      </c>
      <c r="Z93" s="2">
        <f t="shared" si="20"/>
        <v>3036896.0077211433</v>
      </c>
      <c r="AB93" s="2">
        <f t="shared" si="30"/>
        <v>5055714.2900129119</v>
      </c>
      <c r="AC93" s="2">
        <v>5055714.2900129119</v>
      </c>
      <c r="AD93" s="2">
        <v>2010984.0665839398</v>
      </c>
      <c r="AE93" s="2">
        <f t="shared" si="21"/>
        <v>0</v>
      </c>
      <c r="AF93" s="2">
        <f t="shared" si="22"/>
        <v>3044730.2234289721</v>
      </c>
      <c r="AH93" s="2">
        <f t="shared" si="31"/>
        <v>4729387.2678015437</v>
      </c>
      <c r="AI93" s="2">
        <v>4729387.2678015437</v>
      </c>
      <c r="AJ93" s="2">
        <v>1718792.3240869306</v>
      </c>
      <c r="AK93" s="2">
        <f t="shared" si="23"/>
        <v>0</v>
      </c>
      <c r="AL93" s="2">
        <v>443847.17625277955</v>
      </c>
      <c r="AM93" s="2"/>
      <c r="AN93" s="2">
        <f t="shared" si="32"/>
        <v>4796551.3821436893</v>
      </c>
      <c r="AO93" s="2">
        <v>4796551.3821436893</v>
      </c>
      <c r="AP93" s="2">
        <v>1764648.9917003338</v>
      </c>
      <c r="AQ93" s="2">
        <f t="shared" si="24"/>
        <v>0</v>
      </c>
      <c r="AR93" s="2">
        <v>431167.63319108798</v>
      </c>
      <c r="AS93" s="2"/>
      <c r="AT93" s="2">
        <f t="shared" si="33"/>
        <v>4855717.6894444348</v>
      </c>
      <c r="AU93" s="2">
        <v>4855717.6894444348</v>
      </c>
      <c r="AV93" s="2">
        <v>1811169.2788764087</v>
      </c>
      <c r="AW93" s="2">
        <f t="shared" si="34"/>
        <v>0</v>
      </c>
      <c r="AX93" s="2">
        <v>414104.46321396413</v>
      </c>
      <c r="AY93" s="2"/>
      <c r="AZ93" s="2">
        <f t="shared" si="35"/>
        <v>4908834.243295515</v>
      </c>
      <c r="BA93" s="2">
        <v>4908834.243295515</v>
      </c>
      <c r="BB93" s="2">
        <v>1855592.7800915434</v>
      </c>
      <c r="BC93" s="2">
        <f t="shared" si="36"/>
        <v>0</v>
      </c>
      <c r="BD93" s="2">
        <v>396310.78879304812</v>
      </c>
    </row>
    <row r="94" spans="1:56" x14ac:dyDescent="0.35">
      <c r="A94">
        <v>2044</v>
      </c>
      <c r="B94">
        <v>4</v>
      </c>
      <c r="C94" s="15">
        <f t="shared" si="26"/>
        <v>2759044.0521555436</v>
      </c>
      <c r="D94" s="9">
        <v>52962</v>
      </c>
      <c r="E94" s="2">
        <v>2759044.0521555436</v>
      </c>
      <c r="F94" s="2">
        <v>1678226.490701355</v>
      </c>
      <c r="G94" s="10">
        <f t="shared" si="13"/>
        <v>0</v>
      </c>
      <c r="H94" s="10">
        <f t="shared" si="14"/>
        <v>1080817.5614541885</v>
      </c>
      <c r="I94" s="13" t="str">
        <f t="shared" si="25"/>
        <v/>
      </c>
      <c r="J94" s="14">
        <f t="shared" si="27"/>
        <v>2915580.8869796912</v>
      </c>
      <c r="K94" s="2">
        <v>2915580.8869796912</v>
      </c>
      <c r="L94" s="2">
        <v>1769593.6876254191</v>
      </c>
      <c r="M94" s="2">
        <f t="shared" si="15"/>
        <v>0</v>
      </c>
      <c r="N94" s="2">
        <f t="shared" si="16"/>
        <v>1145987.1993542721</v>
      </c>
      <c r="P94" s="2">
        <f t="shared" si="28"/>
        <v>2923582.5186885102</v>
      </c>
      <c r="Q94" s="2">
        <v>2923582.5186885102</v>
      </c>
      <c r="R94" s="2">
        <v>1874720.0708689045</v>
      </c>
      <c r="S94" s="2">
        <f t="shared" si="17"/>
        <v>0</v>
      </c>
      <c r="T94" s="2">
        <f t="shared" si="18"/>
        <v>1048862.4478196057</v>
      </c>
      <c r="V94" s="11">
        <f t="shared" si="29"/>
        <v>2921226.0416952074</v>
      </c>
      <c r="W94" s="2">
        <v>2921226.0416952074</v>
      </c>
      <c r="X94" s="2">
        <v>1958536.2329504057</v>
      </c>
      <c r="Y94" s="2">
        <f t="shared" si="19"/>
        <v>0</v>
      </c>
      <c r="Z94" s="2">
        <f t="shared" si="20"/>
        <v>962689.80874480167</v>
      </c>
      <c r="AB94" s="2">
        <f t="shared" si="30"/>
        <v>2916734.7761212252</v>
      </c>
      <c r="AC94" s="2">
        <v>2916734.7761212252</v>
      </c>
      <c r="AD94" s="2">
        <v>2034094.0785767224</v>
      </c>
      <c r="AE94" s="2">
        <f t="shared" si="21"/>
        <v>0</v>
      </c>
      <c r="AF94" s="2">
        <f t="shared" si="22"/>
        <v>882640.69754450279</v>
      </c>
      <c r="AH94" s="2">
        <f t="shared" si="31"/>
        <v>2908506.0457815789</v>
      </c>
      <c r="AI94" s="2">
        <v>2908506.0457815789</v>
      </c>
      <c r="AJ94" s="2">
        <v>1735951.7059562004</v>
      </c>
      <c r="AK94" s="2">
        <f t="shared" si="23"/>
        <v>0</v>
      </c>
      <c r="AL94" s="2">
        <v>-98466.892376983771</v>
      </c>
      <c r="AM94" s="2"/>
      <c r="AN94" s="2">
        <f t="shared" si="32"/>
        <v>2918486.308574019</v>
      </c>
      <c r="AO94" s="2">
        <v>2918486.308574019</v>
      </c>
      <c r="AP94" s="2">
        <v>1782628.4897102099</v>
      </c>
      <c r="AQ94" s="2">
        <f t="shared" si="24"/>
        <v>0</v>
      </c>
      <c r="AR94" s="2">
        <v>-90869.714212553576</v>
      </c>
      <c r="AS94" s="2"/>
      <c r="AT94" s="2">
        <f t="shared" si="33"/>
        <v>2921970.7297867513</v>
      </c>
      <c r="AU94" s="2">
        <v>2921970.7297867513</v>
      </c>
      <c r="AV94" s="2">
        <v>1830015.1534760578</v>
      </c>
      <c r="AW94" s="2">
        <f t="shared" si="34"/>
        <v>0</v>
      </c>
      <c r="AX94" s="2">
        <v>-87048.846077405149</v>
      </c>
      <c r="AY94" s="2"/>
      <c r="AZ94" s="2">
        <f t="shared" si="35"/>
        <v>2922256.9393470082</v>
      </c>
      <c r="BA94" s="2">
        <v>2922256.9393470082</v>
      </c>
      <c r="BB94" s="2">
        <v>1875302.8073999719</v>
      </c>
      <c r="BC94" s="2">
        <f t="shared" si="36"/>
        <v>0</v>
      </c>
      <c r="BD94" s="2">
        <v>-84514.240341073601</v>
      </c>
    </row>
    <row r="95" spans="1:56" x14ac:dyDescent="0.35">
      <c r="A95">
        <v>2045</v>
      </c>
      <c r="B95">
        <v>1</v>
      </c>
      <c r="C95" s="15">
        <f t="shared" si="26"/>
        <v>3038230.2133095399</v>
      </c>
      <c r="D95" s="9">
        <v>53052</v>
      </c>
      <c r="E95" s="2">
        <v>3038230.2133095399</v>
      </c>
      <c r="F95" s="2">
        <v>1689109.7918136446</v>
      </c>
      <c r="G95" s="10">
        <f t="shared" si="13"/>
        <v>0</v>
      </c>
      <c r="H95" s="10">
        <f t="shared" si="14"/>
        <v>1349120.4214958954</v>
      </c>
      <c r="I95" s="13" t="str">
        <f t="shared" si="25"/>
        <v/>
      </c>
      <c r="J95" s="14">
        <f t="shared" si="27"/>
        <v>3304357.2514436445</v>
      </c>
      <c r="K95" s="2">
        <v>3304357.2514436445</v>
      </c>
      <c r="L95" s="2">
        <v>1784197.0699050399</v>
      </c>
      <c r="M95" s="2">
        <f t="shared" si="15"/>
        <v>0</v>
      </c>
      <c r="N95" s="2">
        <f t="shared" si="16"/>
        <v>1520160.1815386047</v>
      </c>
      <c r="P95" s="2">
        <f t="shared" si="28"/>
        <v>3353071.6838614396</v>
      </c>
      <c r="Q95" s="2">
        <v>3353071.6838614396</v>
      </c>
      <c r="R95" s="2">
        <v>1893961.0266044778</v>
      </c>
      <c r="S95" s="2">
        <f t="shared" si="17"/>
        <v>0</v>
      </c>
      <c r="T95" s="2">
        <f t="shared" si="18"/>
        <v>1459110.6572569618</v>
      </c>
      <c r="V95" s="11">
        <f t="shared" si="29"/>
        <v>3388604.9129180256</v>
      </c>
      <c r="W95" s="2">
        <v>3388604.9129180256</v>
      </c>
      <c r="X95" s="2">
        <v>1981833.0265064572</v>
      </c>
      <c r="Y95" s="2">
        <f t="shared" si="19"/>
        <v>0</v>
      </c>
      <c r="Z95" s="2">
        <f t="shared" si="20"/>
        <v>1406771.8864115684</v>
      </c>
      <c r="AB95" s="2">
        <f t="shared" si="30"/>
        <v>3410526.6685369578</v>
      </c>
      <c r="AC95" s="2">
        <v>3410526.6685369578</v>
      </c>
      <c r="AD95" s="2">
        <v>2061417.1020649192</v>
      </c>
      <c r="AE95" s="2">
        <f t="shared" si="21"/>
        <v>0</v>
      </c>
      <c r="AF95" s="2">
        <f t="shared" si="22"/>
        <v>1349109.5664720386</v>
      </c>
      <c r="AH95" s="2">
        <f t="shared" si="31"/>
        <v>3282583.4832394067</v>
      </c>
      <c r="AI95" s="2">
        <v>3282583.4832394067</v>
      </c>
      <c r="AJ95" s="2">
        <v>1749155.6283793347</v>
      </c>
      <c r="AK95" s="2">
        <f t="shared" si="23"/>
        <v>0</v>
      </c>
      <c r="AL95" s="2">
        <v>683201.38277603779</v>
      </c>
      <c r="AM95" s="2"/>
      <c r="AN95" s="2">
        <f t="shared" si="32"/>
        <v>3312525.8390633482</v>
      </c>
      <c r="AO95" s="2">
        <v>3312525.8390633482</v>
      </c>
      <c r="AP95" s="2">
        <v>1797784.2293506647</v>
      </c>
      <c r="AQ95" s="2">
        <f t="shared" si="24"/>
        <v>0</v>
      </c>
      <c r="AR95" s="2">
        <v>762737.58806168661</v>
      </c>
      <c r="AS95" s="2"/>
      <c r="AT95" s="2">
        <f t="shared" si="33"/>
        <v>3337198.1355762114</v>
      </c>
      <c r="AU95" s="2">
        <v>3337198.1355762114</v>
      </c>
      <c r="AV95" s="2">
        <v>1847230.6939682555</v>
      </c>
      <c r="AW95" s="2">
        <f t="shared" si="34"/>
        <v>0</v>
      </c>
      <c r="AX95" s="2">
        <v>837961.28700674977</v>
      </c>
      <c r="AY95" s="2"/>
      <c r="AZ95" s="2">
        <f t="shared" si="35"/>
        <v>3358616.5925123524</v>
      </c>
      <c r="BA95" s="2">
        <v>3358616.5925123524</v>
      </c>
      <c r="BB95" s="2">
        <v>1894570.7414138976</v>
      </c>
      <c r="BC95" s="2">
        <f t="shared" si="36"/>
        <v>0</v>
      </c>
      <c r="BD95" s="2">
        <v>913361.89714316209</v>
      </c>
    </row>
    <row r="96" spans="1:56" x14ac:dyDescent="0.35">
      <c r="A96">
        <v>2045</v>
      </c>
      <c r="B96">
        <v>2</v>
      </c>
      <c r="C96" s="15">
        <f t="shared" si="26"/>
        <v>4006338.616458958</v>
      </c>
      <c r="D96" s="9">
        <v>53143</v>
      </c>
      <c r="E96" s="2">
        <v>4006338.616458958</v>
      </c>
      <c r="F96" s="2">
        <v>1643338.0036343797</v>
      </c>
      <c r="G96" s="10">
        <f t="shared" si="13"/>
        <v>0</v>
      </c>
      <c r="H96" s="10">
        <f t="shared" si="14"/>
        <v>2363000.6128245783</v>
      </c>
      <c r="I96" s="13" t="str">
        <f t="shared" si="25"/>
        <v/>
      </c>
      <c r="J96" s="14">
        <f t="shared" si="27"/>
        <v>4465468.708740592</v>
      </c>
      <c r="K96" s="2">
        <v>4465468.708740592</v>
      </c>
      <c r="L96" s="2">
        <v>1733790.7500833443</v>
      </c>
      <c r="M96" s="2">
        <f t="shared" si="15"/>
        <v>0</v>
      </c>
      <c r="N96" s="2">
        <f t="shared" si="16"/>
        <v>2731677.9586572479</v>
      </c>
      <c r="P96" s="2">
        <f t="shared" si="28"/>
        <v>4577399.717442682</v>
      </c>
      <c r="Q96" s="2">
        <v>4577399.717442682</v>
      </c>
      <c r="R96" s="2">
        <v>1837701.7363540777</v>
      </c>
      <c r="S96" s="2">
        <f t="shared" si="17"/>
        <v>0</v>
      </c>
      <c r="T96" s="2">
        <f t="shared" si="18"/>
        <v>2739697.9810886043</v>
      </c>
      <c r="V96" s="11">
        <f t="shared" si="29"/>
        <v>4682090.6669151178</v>
      </c>
      <c r="W96" s="2">
        <v>4682090.6669151178</v>
      </c>
      <c r="X96" s="2">
        <v>1920384.0617590852</v>
      </c>
      <c r="Y96" s="2">
        <f t="shared" si="19"/>
        <v>0</v>
      </c>
      <c r="Z96" s="2">
        <f t="shared" si="20"/>
        <v>2761706.6051560324</v>
      </c>
      <c r="AB96" s="2">
        <f t="shared" si="30"/>
        <v>4779955.351782239</v>
      </c>
      <c r="AC96" s="2">
        <v>4779955.351782239</v>
      </c>
      <c r="AD96" s="2">
        <v>1994748.8549322423</v>
      </c>
      <c r="AE96" s="2">
        <f t="shared" si="21"/>
        <v>0</v>
      </c>
      <c r="AF96" s="2">
        <f t="shared" si="22"/>
        <v>2785206.496849997</v>
      </c>
      <c r="AH96" s="2">
        <f t="shared" si="31"/>
        <v>4417528.225020187</v>
      </c>
      <c r="AI96" s="2">
        <v>4417528.225020187</v>
      </c>
      <c r="AJ96" s="2">
        <v>1700498.9874104026</v>
      </c>
      <c r="AK96" s="2">
        <f t="shared" si="23"/>
        <v>0</v>
      </c>
      <c r="AL96" s="2">
        <v>432810.15920292516</v>
      </c>
      <c r="AM96" s="2"/>
      <c r="AN96" s="2">
        <f t="shared" si="32"/>
        <v>4482701.4873537812</v>
      </c>
      <c r="AO96" s="2">
        <v>4482701.4873537812</v>
      </c>
      <c r="AP96" s="2">
        <v>1746685.235322596</v>
      </c>
      <c r="AQ96" s="2">
        <f t="shared" si="24"/>
        <v>0</v>
      </c>
      <c r="AR96" s="2">
        <v>420389.43520857021</v>
      </c>
      <c r="AS96" s="2"/>
      <c r="AT96" s="2">
        <f t="shared" si="33"/>
        <v>4543026.7489641197</v>
      </c>
      <c r="AU96" s="2">
        <v>4543026.7489641197</v>
      </c>
      <c r="AV96" s="2">
        <v>1793538.1059403608</v>
      </c>
      <c r="AW96" s="2">
        <f t="shared" si="34"/>
        <v>0</v>
      </c>
      <c r="AX96" s="2">
        <v>404980.45615169755</v>
      </c>
      <c r="AY96" s="2"/>
      <c r="AZ96" s="2">
        <f t="shared" si="35"/>
        <v>4600413.0083594136</v>
      </c>
      <c r="BA96" s="2">
        <v>4600413.0083594136</v>
      </c>
      <c r="BB96" s="2">
        <v>1838277.1520561625</v>
      </c>
      <c r="BC96" s="2">
        <f t="shared" si="36"/>
        <v>0</v>
      </c>
      <c r="BD96" s="2">
        <v>390237.33181944373</v>
      </c>
    </row>
    <row r="97" spans="1:56" x14ac:dyDescent="0.35">
      <c r="A97">
        <v>2045</v>
      </c>
      <c r="B97">
        <v>3</v>
      </c>
      <c r="C97" s="15">
        <f t="shared" si="26"/>
        <v>4483614.998314593</v>
      </c>
      <c r="D97" s="9">
        <v>53235</v>
      </c>
      <c r="E97" s="2">
        <v>4483614.998314593</v>
      </c>
      <c r="F97" s="2">
        <v>1603406.4414816622</v>
      </c>
      <c r="G97" s="10">
        <f t="shared" si="13"/>
        <v>0</v>
      </c>
      <c r="H97" s="10">
        <f t="shared" si="14"/>
        <v>2880208.556832931</v>
      </c>
      <c r="I97" s="13" t="str">
        <f t="shared" si="25"/>
        <v/>
      </c>
      <c r="J97" s="14">
        <f t="shared" si="27"/>
        <v>4930878.6436411142</v>
      </c>
      <c r="K97" s="2">
        <v>4930878.6436411142</v>
      </c>
      <c r="L97" s="2">
        <v>1690109.4150700693</v>
      </c>
      <c r="M97" s="2">
        <f t="shared" si="15"/>
        <v>0</v>
      </c>
      <c r="N97" s="2">
        <f t="shared" si="16"/>
        <v>3240769.2285710452</v>
      </c>
      <c r="P97" s="2">
        <f t="shared" si="28"/>
        <v>5040777.9823658317</v>
      </c>
      <c r="Q97" s="2">
        <v>5040777.9823658317</v>
      </c>
      <c r="R97" s="2">
        <v>1789278.3861460399</v>
      </c>
      <c r="S97" s="2">
        <f t="shared" si="17"/>
        <v>0</v>
      </c>
      <c r="T97" s="2">
        <f t="shared" si="18"/>
        <v>3251499.596219792</v>
      </c>
      <c r="V97" s="11">
        <f t="shared" si="29"/>
        <v>5138279.3848591568</v>
      </c>
      <c r="W97" s="2">
        <v>5138279.3848591568</v>
      </c>
      <c r="X97" s="2">
        <v>1867750.1426574162</v>
      </c>
      <c r="Y97" s="2">
        <f t="shared" si="19"/>
        <v>0</v>
      </c>
      <c r="Z97" s="2">
        <f t="shared" si="20"/>
        <v>3270529.2422017409</v>
      </c>
      <c r="AB97" s="2">
        <f t="shared" si="30"/>
        <v>5220129.8578930525</v>
      </c>
      <c r="AC97" s="2">
        <v>5220129.8578930525</v>
      </c>
      <c r="AD97" s="2">
        <v>1937874.7590486081</v>
      </c>
      <c r="AE97" s="2">
        <f t="shared" si="21"/>
        <v>0</v>
      </c>
      <c r="AF97" s="2">
        <f t="shared" si="22"/>
        <v>3282255.0988444444</v>
      </c>
      <c r="AH97" s="2">
        <f t="shared" si="31"/>
        <v>4886428.7287994092</v>
      </c>
      <c r="AI97" s="2">
        <v>4886428.7287994092</v>
      </c>
      <c r="AJ97" s="2">
        <v>1658233.8354683644</v>
      </c>
      <c r="AK97" s="2">
        <f t="shared" si="23"/>
        <v>0</v>
      </c>
      <c r="AL97" s="2">
        <v>502578.57052228786</v>
      </c>
      <c r="AM97" s="2"/>
      <c r="AN97" s="2">
        <f t="shared" si="32"/>
        <v>4954945.5411540316</v>
      </c>
      <c r="AO97" s="2">
        <v>4954945.5411540316</v>
      </c>
      <c r="AP97" s="2">
        <v>1702443.0757335501</v>
      </c>
      <c r="AQ97" s="2">
        <f t="shared" si="24"/>
        <v>0</v>
      </c>
      <c r="AR97" s="2">
        <v>490948.9731459904</v>
      </c>
      <c r="AS97" s="2"/>
      <c r="AT97" s="2">
        <f t="shared" si="33"/>
        <v>5015773.358193554</v>
      </c>
      <c r="AU97" s="2">
        <v>5015773.358193554</v>
      </c>
      <c r="AV97" s="2">
        <v>1747195.1498101139</v>
      </c>
      <c r="AW97" s="2">
        <f t="shared" si="34"/>
        <v>0</v>
      </c>
      <c r="AX97" s="2">
        <v>475322.79857534356</v>
      </c>
      <c r="AY97" s="2"/>
      <c r="AZ97" s="2">
        <f t="shared" si="35"/>
        <v>5070059.2018166725</v>
      </c>
      <c r="BA97" s="2">
        <v>5070059.2018166725</v>
      </c>
      <c r="BB97" s="2">
        <v>1789825.9920546999</v>
      </c>
      <c r="BC97" s="2">
        <f t="shared" si="36"/>
        <v>0</v>
      </c>
      <c r="BD97" s="2">
        <v>458868.81992425863</v>
      </c>
    </row>
    <row r="98" spans="1:56" x14ac:dyDescent="0.35">
      <c r="A98">
        <v>2045</v>
      </c>
      <c r="B98">
        <v>4</v>
      </c>
      <c r="C98" s="15">
        <f t="shared" si="26"/>
        <v>2850518.0440478446</v>
      </c>
      <c r="D98" s="9">
        <v>53327</v>
      </c>
      <c r="E98" s="2">
        <v>2850518.0440478446</v>
      </c>
      <c r="F98" s="2">
        <v>1652013.7379668106</v>
      </c>
      <c r="G98" s="10">
        <f t="shared" si="13"/>
        <v>0</v>
      </c>
      <c r="H98" s="10">
        <f t="shared" si="14"/>
        <v>1198504.306081034</v>
      </c>
      <c r="I98" s="13" t="str">
        <f t="shared" si="25"/>
        <v/>
      </c>
      <c r="J98" s="14">
        <f t="shared" si="27"/>
        <v>3017439.5732047996</v>
      </c>
      <c r="K98" s="2">
        <v>3017439.5732047996</v>
      </c>
      <c r="L98" s="2">
        <v>1740330.7486102481</v>
      </c>
      <c r="M98" s="2">
        <f t="shared" si="15"/>
        <v>0</v>
      </c>
      <c r="N98" s="2">
        <f t="shared" si="16"/>
        <v>1277108.8245945515</v>
      </c>
      <c r="P98" s="2">
        <f t="shared" si="28"/>
        <v>3022921.8475746699</v>
      </c>
      <c r="Q98" s="2">
        <v>3022921.8475746699</v>
      </c>
      <c r="R98" s="2">
        <v>1841517.191718492</v>
      </c>
      <c r="S98" s="2">
        <f t="shared" si="17"/>
        <v>0</v>
      </c>
      <c r="T98" s="2">
        <f t="shared" si="18"/>
        <v>1181404.6558561779</v>
      </c>
      <c r="V98" s="11">
        <f t="shared" si="29"/>
        <v>3018346.3047149247</v>
      </c>
      <c r="W98" s="2">
        <v>3018346.3047149247</v>
      </c>
      <c r="X98" s="2">
        <v>1921758.1362803567</v>
      </c>
      <c r="Y98" s="2">
        <f t="shared" si="19"/>
        <v>0</v>
      </c>
      <c r="Z98" s="2">
        <f t="shared" si="20"/>
        <v>1096588.168434568</v>
      </c>
      <c r="AB98" s="2">
        <f t="shared" si="30"/>
        <v>3005870.8430657033</v>
      </c>
      <c r="AC98" s="2">
        <v>3005870.8430657033</v>
      </c>
      <c r="AD98" s="2">
        <v>1993643.4083493587</v>
      </c>
      <c r="AE98" s="2">
        <f t="shared" si="21"/>
        <v>0</v>
      </c>
      <c r="AF98" s="2">
        <f t="shared" si="22"/>
        <v>1012227.4347163446</v>
      </c>
      <c r="AH98" s="2">
        <f t="shared" si="31"/>
        <v>3011146.9571193997</v>
      </c>
      <c r="AI98" s="2">
        <v>3011146.9571193997</v>
      </c>
      <c r="AJ98" s="2">
        <v>1707847.5281870568</v>
      </c>
      <c r="AK98" s="2">
        <f t="shared" si="23"/>
        <v>0</v>
      </c>
      <c r="AL98" s="2">
        <v>-82996.01518408535</v>
      </c>
      <c r="AM98" s="2"/>
      <c r="AN98" s="2">
        <f t="shared" si="32"/>
        <v>3020790.2408861844</v>
      </c>
      <c r="AO98" s="2">
        <v>3020790.2408861844</v>
      </c>
      <c r="AP98" s="2">
        <v>1752904.3904965324</v>
      </c>
      <c r="AQ98" s="2">
        <f t="shared" si="24"/>
        <v>0</v>
      </c>
      <c r="AR98" s="2">
        <v>-75119.848146560602</v>
      </c>
      <c r="AS98" s="2"/>
      <c r="AT98" s="2">
        <f t="shared" si="33"/>
        <v>3021385.6995957694</v>
      </c>
      <c r="AU98" s="2">
        <v>3021385.6995957694</v>
      </c>
      <c r="AV98" s="2">
        <v>1798552.1208900597</v>
      </c>
      <c r="AW98" s="2">
        <f t="shared" si="34"/>
        <v>0</v>
      </c>
      <c r="AX98" s="2">
        <v>-70696.656700617168</v>
      </c>
      <c r="AY98" s="2"/>
      <c r="AZ98" s="2">
        <f t="shared" si="35"/>
        <v>3019279.4658630127</v>
      </c>
      <c r="BA98" s="2">
        <v>3019279.4658630127</v>
      </c>
      <c r="BB98" s="2">
        <v>1842076.5510740876</v>
      </c>
      <c r="BC98" s="2">
        <f t="shared" si="36"/>
        <v>0</v>
      </c>
      <c r="BD98" s="2">
        <v>-67474.681140649598</v>
      </c>
    </row>
    <row r="99" spans="1:56" x14ac:dyDescent="0.35">
      <c r="A99">
        <v>2046</v>
      </c>
      <c r="B99">
        <v>1</v>
      </c>
      <c r="C99" s="15">
        <f t="shared" si="26"/>
        <v>3122839.573787197</v>
      </c>
      <c r="D99" s="9">
        <v>53417</v>
      </c>
      <c r="E99" s="2">
        <v>3122839.573787197</v>
      </c>
      <c r="F99" s="2">
        <v>1662261.8612492736</v>
      </c>
      <c r="G99" s="10">
        <f t="shared" si="13"/>
        <v>0</v>
      </c>
      <c r="H99" s="10">
        <f t="shared" si="14"/>
        <v>1460577.7125379234</v>
      </c>
      <c r="I99" s="13" t="str">
        <f t="shared" si="25"/>
        <v/>
      </c>
      <c r="J99" s="14">
        <f t="shared" si="27"/>
        <v>3414739.671115356</v>
      </c>
      <c r="K99" s="2">
        <v>3414739.671115356</v>
      </c>
      <c r="L99" s="2">
        <v>1754356.48768815</v>
      </c>
      <c r="M99" s="2">
        <f t="shared" si="15"/>
        <v>0</v>
      </c>
      <c r="N99" s="2">
        <f t="shared" si="16"/>
        <v>1660383.183427206</v>
      </c>
      <c r="P99" s="2">
        <f t="shared" si="28"/>
        <v>3470502.9699765942</v>
      </c>
      <c r="Q99" s="2">
        <v>3470502.9699765942</v>
      </c>
      <c r="R99" s="2">
        <v>1860252.7481198704</v>
      </c>
      <c r="S99" s="2">
        <f t="shared" si="17"/>
        <v>0</v>
      </c>
      <c r="T99" s="2">
        <f t="shared" si="18"/>
        <v>1610250.2218567238</v>
      </c>
      <c r="V99" s="11">
        <f t="shared" si="29"/>
        <v>3506099.59788035</v>
      </c>
      <c r="W99" s="2">
        <v>3506099.59788035</v>
      </c>
      <c r="X99" s="2">
        <v>1944613.2003723735</v>
      </c>
      <c r="Y99" s="2">
        <f t="shared" si="19"/>
        <v>0</v>
      </c>
      <c r="Z99" s="2">
        <f t="shared" si="20"/>
        <v>1561486.3975079765</v>
      </c>
      <c r="AB99" s="2">
        <f t="shared" si="30"/>
        <v>3524051.7030389765</v>
      </c>
      <c r="AC99" s="2">
        <v>3524051.7030389765</v>
      </c>
      <c r="AD99" s="2">
        <v>2020588.3722436819</v>
      </c>
      <c r="AE99" s="2">
        <f t="shared" si="21"/>
        <v>0</v>
      </c>
      <c r="AF99" s="2">
        <f t="shared" si="22"/>
        <v>1503463.3307952946</v>
      </c>
      <c r="AH99" s="2">
        <f t="shared" si="31"/>
        <v>3389933.5854525766</v>
      </c>
      <c r="AI99" s="2">
        <v>3389933.5854525766</v>
      </c>
      <c r="AJ99" s="2">
        <v>1720452.1206434937</v>
      </c>
      <c r="AK99" s="2">
        <f t="shared" si="23"/>
        <v>0</v>
      </c>
      <c r="AL99" s="2">
        <v>741185.92941779876</v>
      </c>
      <c r="AM99" s="2"/>
      <c r="AN99" s="2">
        <f t="shared" si="32"/>
        <v>3427037.0031764028</v>
      </c>
      <c r="AO99" s="2">
        <v>3427037.0031764028</v>
      </c>
      <c r="AP99" s="2">
        <v>1767491.0609326314</v>
      </c>
      <c r="AQ99" s="2">
        <f t="shared" si="24"/>
        <v>0</v>
      </c>
      <c r="AR99" s="2">
        <v>854324.08348207758</v>
      </c>
      <c r="AS99" s="2"/>
      <c r="AT99" s="2">
        <f t="shared" si="33"/>
        <v>3457779.5164145599</v>
      </c>
      <c r="AU99" s="2">
        <v>3457779.5164145599</v>
      </c>
      <c r="AV99" s="2">
        <v>1815230.6381084933</v>
      </c>
      <c r="AW99" s="2">
        <f t="shared" si="34"/>
        <v>0</v>
      </c>
      <c r="AX99" s="2">
        <v>961927.69308251934</v>
      </c>
      <c r="AY99" s="2"/>
      <c r="AZ99" s="2">
        <f t="shared" si="35"/>
        <v>3481603.8226117855</v>
      </c>
      <c r="BA99" s="2">
        <v>3481603.8226117855</v>
      </c>
      <c r="BB99" s="2">
        <v>1860839.5077448401</v>
      </c>
      <c r="BC99" s="2">
        <f t="shared" si="36"/>
        <v>0</v>
      </c>
      <c r="BD99" s="2">
        <v>1063294.3863537812</v>
      </c>
    </row>
    <row r="100" spans="1:56" x14ac:dyDescent="0.35">
      <c r="A100">
        <v>2046</v>
      </c>
      <c r="B100">
        <v>2</v>
      </c>
      <c r="C100" s="15">
        <f t="shared" si="26"/>
        <v>4106190.0819656225</v>
      </c>
      <c r="D100" s="9">
        <v>53508</v>
      </c>
      <c r="E100" s="2">
        <v>4106190.0819656225</v>
      </c>
      <c r="F100" s="2">
        <v>1615727.6596511544</v>
      </c>
      <c r="G100" s="10">
        <f t="shared" si="13"/>
        <v>0</v>
      </c>
      <c r="H100" s="10">
        <f t="shared" si="14"/>
        <v>2490462.4223144678</v>
      </c>
      <c r="I100" s="13" t="str">
        <f t="shared" si="25"/>
        <v/>
      </c>
      <c r="J100" s="14">
        <f t="shared" si="27"/>
        <v>4614754.6852176096</v>
      </c>
      <c r="K100" s="2">
        <v>4614754.6852176096</v>
      </c>
      <c r="L100" s="2">
        <v>1703087.5961071113</v>
      </c>
      <c r="M100" s="2">
        <f t="shared" si="15"/>
        <v>0</v>
      </c>
      <c r="N100" s="2">
        <f t="shared" si="16"/>
        <v>2911667.0891104983</v>
      </c>
      <c r="P100" s="2">
        <f t="shared" si="28"/>
        <v>4751071.943373763</v>
      </c>
      <c r="Q100" s="2">
        <v>4751071.943373763</v>
      </c>
      <c r="R100" s="2">
        <v>1803005.1213990333</v>
      </c>
      <c r="S100" s="2">
        <f t="shared" si="17"/>
        <v>0</v>
      </c>
      <c r="T100" s="2">
        <f t="shared" si="18"/>
        <v>2948066.8219747297</v>
      </c>
      <c r="V100" s="11">
        <f t="shared" si="29"/>
        <v>4879495.8222793331</v>
      </c>
      <c r="W100" s="2">
        <v>4879495.8222793331</v>
      </c>
      <c r="X100" s="2">
        <v>1882065.0603650517</v>
      </c>
      <c r="Y100" s="2">
        <f t="shared" si="19"/>
        <v>0</v>
      </c>
      <c r="Z100" s="2">
        <f t="shared" si="20"/>
        <v>2997430.7619142812</v>
      </c>
      <c r="AB100" s="2">
        <f t="shared" si="30"/>
        <v>4999030.0097306045</v>
      </c>
      <c r="AC100" s="2">
        <v>4999030.0097306045</v>
      </c>
      <c r="AD100" s="2">
        <v>1952710.1110615409</v>
      </c>
      <c r="AE100" s="2">
        <f t="shared" si="21"/>
        <v>0</v>
      </c>
      <c r="AF100" s="2">
        <f t="shared" si="22"/>
        <v>3046319.8986690636</v>
      </c>
      <c r="AH100" s="2">
        <f t="shared" si="31"/>
        <v>4560850.5561753735</v>
      </c>
      <c r="AI100" s="2">
        <v>4560850.5561753735</v>
      </c>
      <c r="AJ100" s="2">
        <v>1670970.6610121331</v>
      </c>
      <c r="AK100" s="2">
        <f t="shared" si="23"/>
        <v>0</v>
      </c>
      <c r="AL100" s="2">
        <v>466486.78989059618</v>
      </c>
      <c r="AM100" s="2"/>
      <c r="AN100" s="2">
        <f t="shared" si="32"/>
        <v>4644980.47812087</v>
      </c>
      <c r="AO100" s="2">
        <v>4644980.47812087</v>
      </c>
      <c r="AP100" s="2">
        <v>1715514.5692236396</v>
      </c>
      <c r="AQ100" s="2">
        <f t="shared" si="24"/>
        <v>0</v>
      </c>
      <c r="AR100" s="2">
        <v>464319.60810546437</v>
      </c>
      <c r="AS100" s="2"/>
      <c r="AT100" s="2">
        <f t="shared" si="33"/>
        <v>4722935.5531506371</v>
      </c>
      <c r="AU100" s="2">
        <v>4722935.5531506371</v>
      </c>
      <c r="AV100" s="2">
        <v>1760604.7656963796</v>
      </c>
      <c r="AW100" s="2">
        <f t="shared" si="34"/>
        <v>0</v>
      </c>
      <c r="AX100" s="2">
        <v>458703.73908751155</v>
      </c>
      <c r="AY100" s="2"/>
      <c r="AZ100" s="2">
        <f t="shared" si="35"/>
        <v>4795660.7584708501</v>
      </c>
      <c r="BA100" s="2">
        <v>4795660.7584708501</v>
      </c>
      <c r="BB100" s="2">
        <v>1803556.8472995888</v>
      </c>
      <c r="BC100" s="2">
        <f t="shared" si="36"/>
        <v>0</v>
      </c>
      <c r="BD100" s="2">
        <v>452830.50338592567</v>
      </c>
    </row>
    <row r="101" spans="1:56" x14ac:dyDescent="0.35">
      <c r="A101">
        <v>2046</v>
      </c>
      <c r="B101">
        <v>3</v>
      </c>
      <c r="C101" s="15">
        <f t="shared" si="26"/>
        <v>4571856.2455368452</v>
      </c>
      <c r="D101" s="9">
        <v>53600</v>
      </c>
      <c r="E101" s="2">
        <v>4571856.2455368452</v>
      </c>
      <c r="F101" s="2">
        <v>1530769.2473245503</v>
      </c>
      <c r="G101" s="10">
        <f t="shared" si="13"/>
        <v>0</v>
      </c>
      <c r="H101" s="10">
        <f t="shared" si="14"/>
        <v>3041086.9982122947</v>
      </c>
      <c r="I101" s="13" t="str">
        <f t="shared" si="25"/>
        <v/>
      </c>
      <c r="J101" s="14">
        <f t="shared" si="27"/>
        <v>5060817.7462721467</v>
      </c>
      <c r="K101" s="2">
        <v>5060817.7462721467</v>
      </c>
      <c r="L101" s="2">
        <v>1610126.7780764417</v>
      </c>
      <c r="M101" s="2">
        <f t="shared" si="15"/>
        <v>0</v>
      </c>
      <c r="N101" s="2">
        <f t="shared" si="16"/>
        <v>3450690.9681957047</v>
      </c>
      <c r="P101" s="2">
        <f t="shared" si="28"/>
        <v>5189998.399714807</v>
      </c>
      <c r="Q101" s="2">
        <v>5189998.399714807</v>
      </c>
      <c r="R101" s="2">
        <v>1699018.2591453178</v>
      </c>
      <c r="S101" s="2">
        <f t="shared" si="17"/>
        <v>0</v>
      </c>
      <c r="T101" s="2">
        <f t="shared" si="18"/>
        <v>3490980.1405694894</v>
      </c>
      <c r="V101" s="11">
        <f t="shared" si="29"/>
        <v>5301910.1105890041</v>
      </c>
      <c r="W101" s="2">
        <v>5301910.1105890041</v>
      </c>
      <c r="X101" s="2">
        <v>1767458.0766749971</v>
      </c>
      <c r="Y101" s="2">
        <f t="shared" si="19"/>
        <v>0</v>
      </c>
      <c r="Z101" s="2">
        <f t="shared" si="20"/>
        <v>3534452.0339140072</v>
      </c>
      <c r="AB101" s="2">
        <f t="shared" si="30"/>
        <v>5392641.7762840092</v>
      </c>
      <c r="AC101" s="2">
        <v>5392641.7762840092</v>
      </c>
      <c r="AD101" s="2">
        <v>1826637.1011539346</v>
      </c>
      <c r="AE101" s="2">
        <f t="shared" si="21"/>
        <v>0</v>
      </c>
      <c r="AF101" s="2">
        <f t="shared" si="22"/>
        <v>3566004.6751300748</v>
      </c>
      <c r="AH101" s="2">
        <f t="shared" si="31"/>
        <v>5012377.83565096</v>
      </c>
      <c r="AI101" s="2">
        <v>5012377.83565096</v>
      </c>
      <c r="AJ101" s="2">
        <v>1581107.2868274206</v>
      </c>
      <c r="AK101" s="2">
        <f t="shared" si="23"/>
        <v>0</v>
      </c>
      <c r="AL101" s="2">
        <v>582973.32821469218</v>
      </c>
      <c r="AM101" s="2"/>
      <c r="AN101" s="2">
        <f t="shared" si="32"/>
        <v>5097701.7960233474</v>
      </c>
      <c r="AO101" s="2">
        <v>5097701.7960233474</v>
      </c>
      <c r="AP101" s="2">
        <v>1621302.1008628514</v>
      </c>
      <c r="AQ101" s="2">
        <f t="shared" si="24"/>
        <v>0</v>
      </c>
      <c r="AR101" s="2">
        <v>582536.71028372226</v>
      </c>
      <c r="AS101" s="2"/>
      <c r="AT101" s="2">
        <f t="shared" si="33"/>
        <v>5173526.701342077</v>
      </c>
      <c r="AU101" s="2">
        <v>5173526.701342077</v>
      </c>
      <c r="AV101" s="2">
        <v>1661578.4086744147</v>
      </c>
      <c r="AW101" s="2">
        <f t="shared" si="34"/>
        <v>0</v>
      </c>
      <c r="AX101" s="2">
        <v>577865.00349344965</v>
      </c>
      <c r="AY101" s="2"/>
      <c r="AZ101" s="2">
        <f t="shared" si="35"/>
        <v>5239693.8300595637</v>
      </c>
      <c r="BA101" s="2">
        <v>5239693.8300595637</v>
      </c>
      <c r="BB101" s="2">
        <v>1699502.3813130937</v>
      </c>
      <c r="BC101" s="2">
        <f t="shared" si="36"/>
        <v>0</v>
      </c>
      <c r="BD101" s="2">
        <v>571326.26702356734</v>
      </c>
    </row>
    <row r="102" spans="1:56" x14ac:dyDescent="0.35">
      <c r="A102">
        <v>2046</v>
      </c>
      <c r="B102">
        <v>4</v>
      </c>
      <c r="C102" s="15">
        <f t="shared" si="26"/>
        <v>2925287.2386592897</v>
      </c>
      <c r="D102" s="9">
        <v>53692</v>
      </c>
      <c r="E102" s="2">
        <v>2925287.2386592897</v>
      </c>
      <c r="F102" s="2">
        <v>632734.11486544937</v>
      </c>
      <c r="G102" s="10">
        <f t="shared" si="13"/>
        <v>0</v>
      </c>
      <c r="H102" s="10">
        <f t="shared" si="14"/>
        <v>2292553.1237938404</v>
      </c>
      <c r="I102" s="13" t="str">
        <f t="shared" si="25"/>
        <v/>
      </c>
      <c r="J102" s="14">
        <f t="shared" si="27"/>
        <v>3097882.2046246366</v>
      </c>
      <c r="K102" s="2">
        <v>3097882.2046246366</v>
      </c>
      <c r="L102" s="2">
        <v>788817.80387320253</v>
      </c>
      <c r="M102" s="2">
        <f t="shared" si="15"/>
        <v>0</v>
      </c>
      <c r="N102" s="2">
        <f t="shared" si="16"/>
        <v>2309064.4007514343</v>
      </c>
      <c r="P102" s="2">
        <f t="shared" si="28"/>
        <v>3101962.5994837559</v>
      </c>
      <c r="Q102" s="2">
        <v>3101962.5994837559</v>
      </c>
      <c r="R102" s="2">
        <v>985038.4129568279</v>
      </c>
      <c r="S102" s="2">
        <f t="shared" si="17"/>
        <v>0</v>
      </c>
      <c r="T102" s="2">
        <f t="shared" si="18"/>
        <v>2116924.1865269281</v>
      </c>
      <c r="V102" s="11">
        <f t="shared" si="29"/>
        <v>3097756.1455296138</v>
      </c>
      <c r="W102" s="2">
        <v>3097756.1455296138</v>
      </c>
      <c r="X102" s="2">
        <v>1158186.1253623152</v>
      </c>
      <c r="Y102" s="2">
        <f t="shared" si="19"/>
        <v>0</v>
      </c>
      <c r="Z102" s="2">
        <f t="shared" si="20"/>
        <v>1939570.0201672986</v>
      </c>
      <c r="AB102" s="2">
        <f t="shared" si="30"/>
        <v>3086884.9832188194</v>
      </c>
      <c r="AC102" s="2">
        <v>3086884.9832188194</v>
      </c>
      <c r="AD102" s="2">
        <v>1331535.1144167408</v>
      </c>
      <c r="AE102" s="2">
        <f t="shared" si="21"/>
        <v>0</v>
      </c>
      <c r="AF102" s="2">
        <f t="shared" si="22"/>
        <v>1755349.8688020785</v>
      </c>
      <c r="AH102" s="2">
        <f t="shared" si="31"/>
        <v>3092298.3973423322</v>
      </c>
      <c r="AI102" s="2">
        <v>3092298.3973423322</v>
      </c>
      <c r="AJ102" s="2">
        <v>729965.23680746916</v>
      </c>
      <c r="AK102" s="2">
        <f t="shared" si="23"/>
        <v>0</v>
      </c>
      <c r="AL102" s="2">
        <v>906164.66891196498</v>
      </c>
      <c r="AM102" s="2"/>
      <c r="AN102" s="2">
        <f t="shared" si="32"/>
        <v>3100677.9491223725</v>
      </c>
      <c r="AO102" s="2">
        <v>3100677.9491223725</v>
      </c>
      <c r="AP102" s="2">
        <v>812091.97267632128</v>
      </c>
      <c r="AQ102" s="2">
        <f t="shared" si="24"/>
        <v>0</v>
      </c>
      <c r="AR102" s="2">
        <v>891688.62912084779</v>
      </c>
      <c r="AS102" s="2"/>
      <c r="AT102" s="2">
        <f t="shared" si="33"/>
        <v>3100932.195442271</v>
      </c>
      <c r="AU102" s="2">
        <v>3100932.195442271</v>
      </c>
      <c r="AV102" s="2">
        <v>899113.16240982898</v>
      </c>
      <c r="AW102" s="2">
        <f t="shared" si="34"/>
        <v>0</v>
      </c>
      <c r="AX102" s="2">
        <v>866591.14357091533</v>
      </c>
      <c r="AY102" s="2"/>
      <c r="AZ102" s="2">
        <f t="shared" si="35"/>
        <v>3098696.0742090619</v>
      </c>
      <c r="BA102" s="2">
        <v>3098696.0742090619</v>
      </c>
      <c r="BB102" s="2">
        <v>986185.33839204279</v>
      </c>
      <c r="BC102" s="2">
        <f t="shared" si="36"/>
        <v>0</v>
      </c>
      <c r="BD102" s="2">
        <v>834308.97721065371</v>
      </c>
    </row>
    <row r="103" spans="1:56" x14ac:dyDescent="0.35">
      <c r="A103">
        <v>2047</v>
      </c>
      <c r="B103">
        <v>1</v>
      </c>
      <c r="C103" s="15">
        <f t="shared" si="26"/>
        <v>3202755.2776577696</v>
      </c>
      <c r="D103" s="9">
        <v>53782</v>
      </c>
      <c r="E103" s="2">
        <v>3202755.2776577696</v>
      </c>
      <c r="F103" s="2">
        <v>665691.29008628626</v>
      </c>
      <c r="G103" s="10">
        <f t="shared" si="13"/>
        <v>0</v>
      </c>
      <c r="H103" s="10">
        <f t="shared" si="14"/>
        <v>2537063.9875714835</v>
      </c>
      <c r="I103" s="13" t="str">
        <f t="shared" si="25"/>
        <v/>
      </c>
      <c r="J103" s="14">
        <f t="shared" si="27"/>
        <v>3506568.7572006062</v>
      </c>
      <c r="K103" s="2">
        <v>3506568.7572006062</v>
      </c>
      <c r="L103" s="2">
        <v>838420.70276022458</v>
      </c>
      <c r="M103" s="2">
        <f t="shared" si="15"/>
        <v>0</v>
      </c>
      <c r="N103" s="2">
        <f t="shared" si="16"/>
        <v>2668148.0544403815</v>
      </c>
      <c r="P103" s="2">
        <f t="shared" si="28"/>
        <v>3560294.8646935173</v>
      </c>
      <c r="Q103" s="2">
        <v>3560294.8646935173</v>
      </c>
      <c r="R103" s="2">
        <v>1055525.0287762166</v>
      </c>
      <c r="S103" s="2">
        <f t="shared" si="17"/>
        <v>0</v>
      </c>
      <c r="T103" s="2">
        <f t="shared" si="18"/>
        <v>2504769.8359173005</v>
      </c>
      <c r="V103" s="11">
        <f t="shared" si="29"/>
        <v>3594710.9387538484</v>
      </c>
      <c r="W103" s="2">
        <v>3594710.9387538484</v>
      </c>
      <c r="X103" s="2">
        <v>1247061.6751595642</v>
      </c>
      <c r="Y103" s="2">
        <f t="shared" si="19"/>
        <v>0</v>
      </c>
      <c r="Z103" s="2">
        <f t="shared" si="20"/>
        <v>2347649.2635942842</v>
      </c>
      <c r="AB103" s="2">
        <f t="shared" si="30"/>
        <v>3610107.0866596224</v>
      </c>
      <c r="AC103" s="2">
        <v>3610107.0866596224</v>
      </c>
      <c r="AD103" s="2">
        <v>1438784.3490244718</v>
      </c>
      <c r="AE103" s="2">
        <f t="shared" si="21"/>
        <v>0</v>
      </c>
      <c r="AF103" s="2">
        <f t="shared" si="22"/>
        <v>2171322.7376351506</v>
      </c>
      <c r="AH103" s="2">
        <f t="shared" si="31"/>
        <v>3482706.9857848892</v>
      </c>
      <c r="AI103" s="2">
        <v>3482706.9857848892</v>
      </c>
      <c r="AJ103" s="2">
        <v>773295.25652773958</v>
      </c>
      <c r="AK103" s="2">
        <f t="shared" si="23"/>
        <v>0</v>
      </c>
      <c r="AL103" s="2">
        <v>1673248.2870866368</v>
      </c>
      <c r="AM103" s="2"/>
      <c r="AN103" s="2">
        <f t="shared" si="32"/>
        <v>3518889.668678124</v>
      </c>
      <c r="AO103" s="2">
        <v>3518889.668678124</v>
      </c>
      <c r="AP103" s="2">
        <v>864174.40535046882</v>
      </c>
      <c r="AQ103" s="2">
        <f t="shared" si="24"/>
        <v>0</v>
      </c>
      <c r="AR103" s="2">
        <v>1734200.839613022</v>
      </c>
      <c r="AS103" s="2"/>
      <c r="AT103" s="2">
        <f t="shared" si="33"/>
        <v>3548671.6135408012</v>
      </c>
      <c r="AU103" s="2">
        <v>3548671.6135408012</v>
      </c>
      <c r="AV103" s="2">
        <v>960460.5823205593</v>
      </c>
      <c r="AW103" s="2">
        <f t="shared" si="34"/>
        <v>0</v>
      </c>
      <c r="AX103" s="2">
        <v>1785624.534355734</v>
      </c>
      <c r="AY103" s="2"/>
      <c r="AZ103" s="2">
        <f t="shared" si="35"/>
        <v>3572121.9281677851</v>
      </c>
      <c r="BA103" s="2">
        <v>3572121.9281677851</v>
      </c>
      <c r="BB103" s="2">
        <v>1056793.8825458477</v>
      </c>
      <c r="BC103" s="2">
        <f t="shared" si="36"/>
        <v>0</v>
      </c>
      <c r="BD103" s="2">
        <v>1831008.263298813</v>
      </c>
    </row>
    <row r="104" spans="1:56" x14ac:dyDescent="0.35">
      <c r="A104">
        <v>2047</v>
      </c>
      <c r="B104">
        <v>2</v>
      </c>
      <c r="C104" s="15">
        <f t="shared" si="26"/>
        <v>4213438.2269536536</v>
      </c>
      <c r="D104" s="9">
        <v>53873</v>
      </c>
      <c r="E104" s="2">
        <v>4213438.2269536536</v>
      </c>
      <c r="F104" s="2">
        <v>640736.53756045178</v>
      </c>
      <c r="G104" s="10">
        <f t="shared" si="13"/>
        <v>0</v>
      </c>
      <c r="H104" s="10">
        <f t="shared" si="14"/>
        <v>3572701.6893932018</v>
      </c>
      <c r="I104" s="13" t="str">
        <f t="shared" si="25"/>
        <v/>
      </c>
      <c r="J104" s="14">
        <f t="shared" si="27"/>
        <v>4745381.4414220378</v>
      </c>
      <c r="K104" s="2">
        <v>4745381.4414220378</v>
      </c>
      <c r="L104" s="2">
        <v>824253.55341598729</v>
      </c>
      <c r="M104" s="2">
        <f t="shared" si="15"/>
        <v>0</v>
      </c>
      <c r="N104" s="2">
        <f t="shared" si="16"/>
        <v>3921127.8880060506</v>
      </c>
      <c r="P104" s="2">
        <f t="shared" si="28"/>
        <v>4878236.5077423993</v>
      </c>
      <c r="Q104" s="2">
        <v>4878236.5077423993</v>
      </c>
      <c r="R104" s="2">
        <v>1054885.7952728369</v>
      </c>
      <c r="S104" s="2">
        <f t="shared" si="17"/>
        <v>0</v>
      </c>
      <c r="T104" s="2">
        <f t="shared" si="18"/>
        <v>3823350.7124695624</v>
      </c>
      <c r="V104" s="11">
        <f t="shared" si="29"/>
        <v>5001934.0594619773</v>
      </c>
      <c r="W104" s="2">
        <v>5001934.0594619773</v>
      </c>
      <c r="X104" s="2">
        <v>1258328.5707057205</v>
      </c>
      <c r="Y104" s="2">
        <f t="shared" si="19"/>
        <v>0</v>
      </c>
      <c r="Z104" s="2">
        <f t="shared" si="20"/>
        <v>3743605.4887562571</v>
      </c>
      <c r="AB104" s="2">
        <f t="shared" si="30"/>
        <v>5117508.4687656742</v>
      </c>
      <c r="AC104" s="2">
        <v>5117508.4687656742</v>
      </c>
      <c r="AD104" s="2">
        <v>1461942.1244527851</v>
      </c>
      <c r="AE104" s="2">
        <f t="shared" si="21"/>
        <v>0</v>
      </c>
      <c r="AF104" s="2">
        <f t="shared" si="22"/>
        <v>3655566.344312889</v>
      </c>
      <c r="AH104" s="2">
        <f t="shared" si="31"/>
        <v>4690239.0677482421</v>
      </c>
      <c r="AI104" s="2">
        <v>4690239.0677482421</v>
      </c>
      <c r="AJ104" s="2">
        <v>755063.35356386309</v>
      </c>
      <c r="AK104" s="2">
        <f t="shared" si="23"/>
        <v>0</v>
      </c>
      <c r="AL104" s="2">
        <v>1375669.7924998968</v>
      </c>
      <c r="AM104" s="2"/>
      <c r="AN104" s="2">
        <f t="shared" si="32"/>
        <v>4770359.5990377348</v>
      </c>
      <c r="AO104" s="2">
        <v>4770359.5990377348</v>
      </c>
      <c r="AP104" s="2">
        <v>851613.79363017273</v>
      </c>
      <c r="AQ104" s="2">
        <f t="shared" si="24"/>
        <v>0</v>
      </c>
      <c r="AR104" s="2">
        <v>1318242.0934668144</v>
      </c>
      <c r="AS104" s="2"/>
      <c r="AT104" s="2">
        <f t="shared" si="33"/>
        <v>4844524.4683994176</v>
      </c>
      <c r="AU104" s="2">
        <v>4844524.4683994176</v>
      </c>
      <c r="AV104" s="2">
        <v>953902.07201274135</v>
      </c>
      <c r="AW104" s="2">
        <f t="shared" si="34"/>
        <v>0</v>
      </c>
      <c r="AX104" s="2">
        <v>1252299.0885001624</v>
      </c>
      <c r="AY104" s="2"/>
      <c r="AZ104" s="2">
        <f t="shared" si="35"/>
        <v>4915229.9826988243</v>
      </c>
      <c r="BA104" s="2">
        <v>4915229.9826988243</v>
      </c>
      <c r="BB104" s="2">
        <v>1056233.6106569995</v>
      </c>
      <c r="BC104" s="2">
        <f t="shared" si="36"/>
        <v>0</v>
      </c>
      <c r="BD104" s="2">
        <v>1184792.0086763562</v>
      </c>
    </row>
    <row r="105" spans="1:56" x14ac:dyDescent="0.35">
      <c r="A105">
        <v>2047</v>
      </c>
      <c r="B105">
        <v>3</v>
      </c>
      <c r="C105" s="15">
        <f t="shared" si="26"/>
        <v>4672717.9498951072</v>
      </c>
      <c r="D105" s="9">
        <v>53965</v>
      </c>
      <c r="E105" s="2">
        <v>4672717.9498951072</v>
      </c>
      <c r="F105" s="2">
        <v>621872.02655942773</v>
      </c>
      <c r="G105" s="10">
        <f t="shared" si="13"/>
        <v>0</v>
      </c>
      <c r="H105" s="10">
        <f t="shared" si="14"/>
        <v>4050845.9233356793</v>
      </c>
      <c r="I105" s="13" t="str">
        <f t="shared" si="25"/>
        <v/>
      </c>
      <c r="J105" s="14">
        <f t="shared" si="27"/>
        <v>5183160.2747137034</v>
      </c>
      <c r="K105" s="2">
        <v>5183160.2747137034</v>
      </c>
      <c r="L105" s="2">
        <v>816949.22994941904</v>
      </c>
      <c r="M105" s="2">
        <f t="shared" si="15"/>
        <v>0</v>
      </c>
      <c r="N105" s="2">
        <f t="shared" si="16"/>
        <v>4366211.044764284</v>
      </c>
      <c r="P105" s="2">
        <f t="shared" si="28"/>
        <v>5311770.2264350569</v>
      </c>
      <c r="Q105" s="2">
        <v>5311770.2264350569</v>
      </c>
      <c r="R105" s="2">
        <v>1062079.4900615418</v>
      </c>
      <c r="S105" s="2">
        <f t="shared" si="17"/>
        <v>0</v>
      </c>
      <c r="T105" s="2">
        <f t="shared" si="18"/>
        <v>4249690.7363735149</v>
      </c>
      <c r="V105" s="11">
        <f t="shared" si="29"/>
        <v>5424147.5684257559</v>
      </c>
      <c r="W105" s="2">
        <v>5424147.5684257559</v>
      </c>
      <c r="X105" s="2">
        <v>1278283.3639259387</v>
      </c>
      <c r="Y105" s="2">
        <f t="shared" si="19"/>
        <v>0</v>
      </c>
      <c r="Z105" s="2">
        <f t="shared" si="20"/>
        <v>4145864.2044998175</v>
      </c>
      <c r="AB105" s="2">
        <f t="shared" si="30"/>
        <v>5514471.3770862762</v>
      </c>
      <c r="AC105" s="2">
        <v>5514471.3770862762</v>
      </c>
      <c r="AD105" s="2">
        <v>1494642.7669371378</v>
      </c>
      <c r="AE105" s="2">
        <f t="shared" si="21"/>
        <v>0</v>
      </c>
      <c r="AF105" s="2">
        <f t="shared" si="22"/>
        <v>4019828.6101491386</v>
      </c>
      <c r="AH105" s="2">
        <f t="shared" si="31"/>
        <v>5133781.7790824762</v>
      </c>
      <c r="AI105" s="2">
        <v>5133781.7790824762</v>
      </c>
      <c r="AJ105" s="2">
        <v>743403.06306691503</v>
      </c>
      <c r="AK105" s="2">
        <f t="shared" si="23"/>
        <v>0</v>
      </c>
      <c r="AL105" s="2">
        <v>1413303.4628873351</v>
      </c>
      <c r="AM105" s="2"/>
      <c r="AN105" s="2">
        <f t="shared" si="32"/>
        <v>5216587.9117534198</v>
      </c>
      <c r="AO105" s="2">
        <v>5216587.9117534198</v>
      </c>
      <c r="AP105" s="2">
        <v>846031.14081998391</v>
      </c>
      <c r="AQ105" s="2">
        <f t="shared" si="24"/>
        <v>0</v>
      </c>
      <c r="AR105" s="2">
        <v>1348321.4618131034</v>
      </c>
      <c r="AS105" s="2"/>
      <c r="AT105" s="2">
        <f t="shared" si="33"/>
        <v>5290755.7281896891</v>
      </c>
      <c r="AU105" s="2">
        <v>5290755.7281896891</v>
      </c>
      <c r="AV105" s="2">
        <v>954751.83858809096</v>
      </c>
      <c r="AW105" s="2">
        <f t="shared" si="34"/>
        <v>0</v>
      </c>
      <c r="AX105" s="2">
        <v>1273556.420455703</v>
      </c>
      <c r="AY105" s="2"/>
      <c r="AZ105" s="2">
        <f t="shared" si="35"/>
        <v>5355312.784121179</v>
      </c>
      <c r="BA105" s="2">
        <v>5355312.784121179</v>
      </c>
      <c r="BB105" s="2">
        <v>1063511.9336243784</v>
      </c>
      <c r="BC105" s="2">
        <f t="shared" si="36"/>
        <v>0</v>
      </c>
      <c r="BD105" s="2">
        <v>1194683.3020198997</v>
      </c>
    </row>
    <row r="106" spans="1:56" x14ac:dyDescent="0.35">
      <c r="A106">
        <v>2047</v>
      </c>
      <c r="B106">
        <v>4</v>
      </c>
      <c r="C106" s="15">
        <f t="shared" si="26"/>
        <v>2987035.7752788872</v>
      </c>
      <c r="D106" s="9">
        <v>54057</v>
      </c>
      <c r="E106" s="2">
        <v>2987035.7752788872</v>
      </c>
      <c r="F106" s="2">
        <v>650055.33578086039</v>
      </c>
      <c r="G106" s="10">
        <f t="shared" si="13"/>
        <v>0</v>
      </c>
      <c r="H106" s="10">
        <f t="shared" si="14"/>
        <v>2336980.4394980269</v>
      </c>
      <c r="I106" s="13" t="str">
        <f t="shared" si="25"/>
        <v/>
      </c>
      <c r="J106" s="14">
        <f t="shared" si="27"/>
        <v>3165668.433083815</v>
      </c>
      <c r="K106" s="2">
        <v>3165668.433083815</v>
      </c>
      <c r="L106" s="2">
        <v>845416.69887556345</v>
      </c>
      <c r="M106" s="2">
        <f t="shared" si="15"/>
        <v>0</v>
      </c>
      <c r="N106" s="2">
        <f t="shared" si="16"/>
        <v>2320251.7342082513</v>
      </c>
      <c r="P106" s="2">
        <f t="shared" si="28"/>
        <v>3168494.0961493086</v>
      </c>
      <c r="Q106" s="2">
        <v>3168494.0961493086</v>
      </c>
      <c r="R106" s="2">
        <v>1090911.9884324071</v>
      </c>
      <c r="S106" s="2">
        <f t="shared" si="17"/>
        <v>0</v>
      </c>
      <c r="T106" s="2">
        <f t="shared" si="18"/>
        <v>2077582.1077169015</v>
      </c>
      <c r="V106" s="11">
        <f t="shared" si="29"/>
        <v>3163718.1665715943</v>
      </c>
      <c r="W106" s="2">
        <v>3163718.1665715943</v>
      </c>
      <c r="X106" s="2">
        <v>1307445.1581312434</v>
      </c>
      <c r="Y106" s="2">
        <f t="shared" si="19"/>
        <v>0</v>
      </c>
      <c r="Z106" s="2">
        <f t="shared" si="20"/>
        <v>1856273.0084403509</v>
      </c>
      <c r="AB106" s="2">
        <f t="shared" si="30"/>
        <v>3152542.6018605884</v>
      </c>
      <c r="AC106" s="2">
        <v>3152542.6018605884</v>
      </c>
      <c r="AD106" s="2">
        <v>1524140.966824064</v>
      </c>
      <c r="AE106" s="2">
        <f t="shared" si="21"/>
        <v>0</v>
      </c>
      <c r="AF106" s="2">
        <f t="shared" si="22"/>
        <v>1628401.6350365244</v>
      </c>
      <c r="AH106" s="2">
        <f t="shared" si="31"/>
        <v>3160573.0869532679</v>
      </c>
      <c r="AI106" s="2">
        <v>3160573.0869532679</v>
      </c>
      <c r="AJ106" s="2">
        <v>771762.74075951043</v>
      </c>
      <c r="AK106" s="2">
        <f t="shared" si="23"/>
        <v>0</v>
      </c>
      <c r="AL106" s="2">
        <v>853426.73446802807</v>
      </c>
      <c r="AM106" s="2"/>
      <c r="AN106" s="2">
        <f t="shared" si="32"/>
        <v>3168092.2564508198</v>
      </c>
      <c r="AO106" s="2">
        <v>3168092.2564508198</v>
      </c>
      <c r="AP106" s="2">
        <v>874541.45320358977</v>
      </c>
      <c r="AQ106" s="2">
        <f t="shared" si="24"/>
        <v>0</v>
      </c>
      <c r="AR106" s="2">
        <v>813806.91673558031</v>
      </c>
      <c r="AS106" s="2"/>
      <c r="AT106" s="2">
        <f t="shared" si="33"/>
        <v>3168008.4764826912</v>
      </c>
      <c r="AU106" s="2">
        <v>3168008.4764826912</v>
      </c>
      <c r="AV106" s="2">
        <v>983423.42296524858</v>
      </c>
      <c r="AW106" s="2">
        <f t="shared" si="34"/>
        <v>0</v>
      </c>
      <c r="AX106" s="2">
        <v>763658.06071728282</v>
      </c>
      <c r="AY106" s="2"/>
      <c r="AZ106" s="2">
        <f t="shared" si="35"/>
        <v>3165700.0855790037</v>
      </c>
      <c r="BA106" s="2">
        <v>3165700.0855790037</v>
      </c>
      <c r="BB106" s="2">
        <v>1092346.5910962771</v>
      </c>
      <c r="BC106" s="2">
        <f t="shared" si="36"/>
        <v>0</v>
      </c>
      <c r="BD106" s="2">
        <v>708058.73071311088</v>
      </c>
    </row>
    <row r="107" spans="1:56" x14ac:dyDescent="0.35">
      <c r="A107">
        <v>2048</v>
      </c>
      <c r="B107">
        <v>1</v>
      </c>
      <c r="C107" s="15">
        <f t="shared" si="26"/>
        <v>3314203.1772467182</v>
      </c>
      <c r="D107" s="9">
        <v>54148</v>
      </c>
      <c r="E107" s="2">
        <v>3314203.1772467182</v>
      </c>
      <c r="F107" s="2">
        <v>685243.26024625299</v>
      </c>
      <c r="G107" s="10">
        <f t="shared" si="13"/>
        <v>0</v>
      </c>
      <c r="H107" s="10">
        <f t="shared" si="14"/>
        <v>2628959.9170004651</v>
      </c>
      <c r="I107" s="13" t="str">
        <f t="shared" si="25"/>
        <v/>
      </c>
      <c r="J107" s="14">
        <f t="shared" si="27"/>
        <v>3635259.0038622287</v>
      </c>
      <c r="K107" s="2">
        <v>3635259.0038622287</v>
      </c>
      <c r="L107" s="2">
        <v>880381.32667135936</v>
      </c>
      <c r="M107" s="2">
        <f t="shared" si="15"/>
        <v>0</v>
      </c>
      <c r="N107" s="2">
        <f t="shared" si="16"/>
        <v>2754877.6771908691</v>
      </c>
      <c r="P107" s="2">
        <f t="shared" si="28"/>
        <v>3689482.7725035376</v>
      </c>
      <c r="Q107" s="2">
        <v>3689482.7725035376</v>
      </c>
      <c r="R107" s="2">
        <v>1125578.5977344913</v>
      </c>
      <c r="S107" s="2">
        <f t="shared" si="17"/>
        <v>0</v>
      </c>
      <c r="T107" s="2">
        <f t="shared" si="18"/>
        <v>2563904.1747690463</v>
      </c>
      <c r="V107" s="11">
        <f t="shared" si="29"/>
        <v>3723042.7300432008</v>
      </c>
      <c r="W107" s="2">
        <v>3723042.7300432008</v>
      </c>
      <c r="X107" s="2">
        <v>1341832.8422477385</v>
      </c>
      <c r="Y107" s="2">
        <f t="shared" si="19"/>
        <v>0</v>
      </c>
      <c r="Z107" s="2">
        <f t="shared" si="20"/>
        <v>2381209.8877954623</v>
      </c>
      <c r="AB107" s="2">
        <f t="shared" si="30"/>
        <v>3738510.3396242335</v>
      </c>
      <c r="AC107" s="2">
        <v>3738510.3396242335</v>
      </c>
      <c r="AD107" s="2">
        <v>1558234.476587591</v>
      </c>
      <c r="AE107" s="2">
        <f t="shared" si="21"/>
        <v>0</v>
      </c>
      <c r="AF107" s="2">
        <f t="shared" si="22"/>
        <v>2180275.8630366428</v>
      </c>
      <c r="AH107" s="2">
        <f t="shared" si="31"/>
        <v>3610421.7113447688</v>
      </c>
      <c r="AI107" s="2">
        <v>3610421.7113447688</v>
      </c>
      <c r="AJ107" s="2">
        <v>806812.99888937455</v>
      </c>
      <c r="AK107" s="2">
        <f t="shared" si="23"/>
        <v>0</v>
      </c>
      <c r="AL107" s="2">
        <v>1655582.8835603595</v>
      </c>
      <c r="AM107" s="2"/>
      <c r="AN107" s="2">
        <f t="shared" si="32"/>
        <v>3646577.7437587841</v>
      </c>
      <c r="AO107" s="2">
        <v>3646577.7437587841</v>
      </c>
      <c r="AP107" s="2">
        <v>909471.7385238827</v>
      </c>
      <c r="AQ107" s="2">
        <f t="shared" si="24"/>
        <v>0</v>
      </c>
      <c r="AR107" s="2">
        <v>1702424.5649168962</v>
      </c>
      <c r="AS107" s="2"/>
      <c r="AT107" s="2">
        <f t="shared" si="33"/>
        <v>3675392.6056601582</v>
      </c>
      <c r="AU107" s="2">
        <v>3675392.6056601582</v>
      </c>
      <c r="AV107" s="2">
        <v>1018222.9025429672</v>
      </c>
      <c r="AW107" s="2">
        <f t="shared" si="34"/>
        <v>0</v>
      </c>
      <c r="AX107" s="2">
        <v>1738736.2822979912</v>
      </c>
      <c r="AY107" s="2"/>
      <c r="AZ107" s="2">
        <f t="shared" si="35"/>
        <v>3698300.1086699083</v>
      </c>
      <c r="BA107" s="2">
        <v>3698300.1086699083</v>
      </c>
      <c r="BB107" s="2">
        <v>1127011.4019379131</v>
      </c>
      <c r="BC107" s="2">
        <f t="shared" si="36"/>
        <v>0</v>
      </c>
      <c r="BD107" s="2">
        <v>1770154.2899876414</v>
      </c>
    </row>
    <row r="108" spans="1:56" x14ac:dyDescent="0.35">
      <c r="A108">
        <v>2048</v>
      </c>
      <c r="B108">
        <v>2</v>
      </c>
      <c r="C108" s="15">
        <f t="shared" si="26"/>
        <v>4322508.3440398788</v>
      </c>
      <c r="D108" s="9">
        <v>54239</v>
      </c>
      <c r="E108" s="2">
        <v>4322508.3440398788</v>
      </c>
      <c r="F108" s="2">
        <v>659607.56064239994</v>
      </c>
      <c r="G108" s="10">
        <f t="shared" si="13"/>
        <v>0</v>
      </c>
      <c r="H108" s="10">
        <f t="shared" si="14"/>
        <v>3662900.783397479</v>
      </c>
      <c r="I108" s="13" t="str">
        <f t="shared" si="25"/>
        <v/>
      </c>
      <c r="J108" s="14">
        <f t="shared" si="27"/>
        <v>4882607.597115228</v>
      </c>
      <c r="K108" s="2">
        <v>4882607.597115228</v>
      </c>
      <c r="L108" s="2">
        <v>847093.62960382516</v>
      </c>
      <c r="M108" s="2">
        <f t="shared" si="15"/>
        <v>0</v>
      </c>
      <c r="N108" s="2">
        <f t="shared" si="16"/>
        <v>4035513.9675114029</v>
      </c>
      <c r="P108" s="2">
        <f t="shared" si="28"/>
        <v>5016541.5232020291</v>
      </c>
      <c r="Q108" s="2">
        <v>5016541.5232020291</v>
      </c>
      <c r="R108" s="2">
        <v>1082664.9679465957</v>
      </c>
      <c r="S108" s="2">
        <f t="shared" si="17"/>
        <v>0</v>
      </c>
      <c r="T108" s="2">
        <f t="shared" si="18"/>
        <v>3933876.5552554335</v>
      </c>
      <c r="V108" s="11">
        <f t="shared" si="29"/>
        <v>5141275.1993693048</v>
      </c>
      <c r="W108" s="2">
        <v>5141275.1993693048</v>
      </c>
      <c r="X108" s="2">
        <v>1290419.4221954916</v>
      </c>
      <c r="Y108" s="2">
        <f t="shared" si="19"/>
        <v>0</v>
      </c>
      <c r="Z108" s="2">
        <f t="shared" si="20"/>
        <v>3850855.7771738134</v>
      </c>
      <c r="AB108" s="2">
        <f t="shared" si="30"/>
        <v>5257291.0063420087</v>
      </c>
      <c r="AC108" s="2">
        <v>5257291.0063420087</v>
      </c>
      <c r="AD108" s="2">
        <v>1498306.0171036141</v>
      </c>
      <c r="AE108" s="2">
        <f t="shared" si="21"/>
        <v>0</v>
      </c>
      <c r="AF108" s="2">
        <f t="shared" si="22"/>
        <v>3758984.9892383944</v>
      </c>
      <c r="AH108" s="2">
        <f t="shared" si="31"/>
        <v>4826549.8594574966</v>
      </c>
      <c r="AI108" s="2">
        <v>4826549.8594574966</v>
      </c>
      <c r="AJ108" s="2">
        <v>776411.06302525976</v>
      </c>
      <c r="AK108" s="2">
        <f t="shared" si="23"/>
        <v>0</v>
      </c>
      <c r="AL108" s="2">
        <v>1346839.0050978702</v>
      </c>
      <c r="AM108" s="2"/>
      <c r="AN108" s="2">
        <f t="shared" si="32"/>
        <v>4907285.8263569176</v>
      </c>
      <c r="AO108" s="2">
        <v>4907285.8263569176</v>
      </c>
      <c r="AP108" s="2">
        <v>875042.64983295789</v>
      </c>
      <c r="AQ108" s="2">
        <f t="shared" si="24"/>
        <v>0</v>
      </c>
      <c r="AR108" s="2">
        <v>1286543.1874840092</v>
      </c>
      <c r="AS108" s="2"/>
      <c r="AT108" s="2">
        <f t="shared" si="33"/>
        <v>4981894.9932336342</v>
      </c>
      <c r="AU108" s="2">
        <v>4981894.9932336342</v>
      </c>
      <c r="AV108" s="2">
        <v>979525.3324545729</v>
      </c>
      <c r="AW108" s="2">
        <f t="shared" si="34"/>
        <v>0</v>
      </c>
      <c r="AX108" s="2">
        <v>1217643.5952733443</v>
      </c>
      <c r="AY108" s="2"/>
      <c r="AZ108" s="2">
        <f t="shared" si="35"/>
        <v>5053082.6035820413</v>
      </c>
      <c r="BA108" s="2">
        <v>5053082.6035820413</v>
      </c>
      <c r="BB108" s="2">
        <v>1084041.4874585401</v>
      </c>
      <c r="BC108" s="2">
        <f t="shared" si="36"/>
        <v>0</v>
      </c>
      <c r="BD108" s="2">
        <v>1147211.852850195</v>
      </c>
    </row>
    <row r="109" spans="1:56" x14ac:dyDescent="0.35">
      <c r="A109">
        <v>2048</v>
      </c>
      <c r="B109">
        <v>3</v>
      </c>
      <c r="C109" s="15">
        <f t="shared" si="26"/>
        <v>4810352.4277165309</v>
      </c>
      <c r="D109" s="9">
        <v>54331</v>
      </c>
      <c r="E109" s="2">
        <v>4810352.4277165309</v>
      </c>
      <c r="F109" s="2">
        <v>640242.20213586604</v>
      </c>
      <c r="G109" s="10">
        <f t="shared" si="13"/>
        <v>0</v>
      </c>
      <c r="H109" s="10">
        <f t="shared" si="14"/>
        <v>4170110.2255806648</v>
      </c>
      <c r="I109" s="13" t="str">
        <f t="shared" si="25"/>
        <v/>
      </c>
      <c r="J109" s="14">
        <f t="shared" si="27"/>
        <v>5343128.7834436493</v>
      </c>
      <c r="K109" s="2">
        <v>5343128.7834436493</v>
      </c>
      <c r="L109" s="2">
        <v>820863.26530823682</v>
      </c>
      <c r="M109" s="2">
        <f t="shared" si="15"/>
        <v>0</v>
      </c>
      <c r="N109" s="2">
        <f t="shared" si="16"/>
        <v>4522265.5181354126</v>
      </c>
      <c r="P109" s="2">
        <f t="shared" si="28"/>
        <v>5468421.3624030706</v>
      </c>
      <c r="Q109" s="2">
        <v>5468421.3624030706</v>
      </c>
      <c r="R109" s="2">
        <v>1047796.8640267866</v>
      </c>
      <c r="S109" s="2">
        <f t="shared" si="17"/>
        <v>0</v>
      </c>
      <c r="T109" s="2">
        <f t="shared" si="18"/>
        <v>4420624.4983762838</v>
      </c>
      <c r="V109" s="11">
        <f t="shared" si="29"/>
        <v>5577527.2268039687</v>
      </c>
      <c r="W109" s="2">
        <v>5577527.2268039687</v>
      </c>
      <c r="X109" s="2">
        <v>1247922.4410490955</v>
      </c>
      <c r="Y109" s="2">
        <f t="shared" si="19"/>
        <v>0</v>
      </c>
      <c r="Z109" s="2">
        <f t="shared" si="20"/>
        <v>4329604.7857548734</v>
      </c>
      <c r="AB109" s="2">
        <f t="shared" si="30"/>
        <v>5663248.9220113624</v>
      </c>
      <c r="AC109" s="2">
        <v>5663248.9220113624</v>
      </c>
      <c r="AD109" s="2">
        <v>1448164.9095632518</v>
      </c>
      <c r="AE109" s="2">
        <f t="shared" si="21"/>
        <v>0</v>
      </c>
      <c r="AF109" s="2">
        <f t="shared" si="22"/>
        <v>4215084.0124481106</v>
      </c>
      <c r="AH109" s="2">
        <f t="shared" si="31"/>
        <v>5294894.3175512645</v>
      </c>
      <c r="AI109" s="2">
        <v>5294894.3175512645</v>
      </c>
      <c r="AJ109" s="2">
        <v>752769.81591105682</v>
      </c>
      <c r="AK109" s="2">
        <f t="shared" si="23"/>
        <v>0</v>
      </c>
      <c r="AL109" s="2">
        <v>1392321.5761218909</v>
      </c>
      <c r="AM109" s="2"/>
      <c r="AN109" s="2">
        <f t="shared" si="32"/>
        <v>5375614.0924679171</v>
      </c>
      <c r="AO109" s="2">
        <v>5375614.0924679171</v>
      </c>
      <c r="AP109" s="2">
        <v>847788.17397235567</v>
      </c>
      <c r="AQ109" s="2">
        <f t="shared" si="24"/>
        <v>0</v>
      </c>
      <c r="AR109" s="2">
        <v>1332979.3484031125</v>
      </c>
      <c r="AS109" s="2"/>
      <c r="AT109" s="2">
        <f t="shared" si="33"/>
        <v>5447936.3097505635</v>
      </c>
      <c r="AU109" s="2">
        <v>5447936.3097505635</v>
      </c>
      <c r="AV109" s="2">
        <v>948440.71783311677</v>
      </c>
      <c r="AW109" s="2">
        <f t="shared" si="34"/>
        <v>0</v>
      </c>
      <c r="AX109" s="2">
        <v>1264551.1583073135</v>
      </c>
      <c r="AY109" s="2"/>
      <c r="AZ109" s="2">
        <f t="shared" si="35"/>
        <v>5510222.0938155157</v>
      </c>
      <c r="BA109" s="2">
        <v>5510222.0938155157</v>
      </c>
      <c r="BB109" s="2">
        <v>1049122.8710827215</v>
      </c>
      <c r="BC109" s="2">
        <f t="shared" si="36"/>
        <v>0</v>
      </c>
      <c r="BD109" s="2">
        <v>1191980.1641011916</v>
      </c>
    </row>
    <row r="110" spans="1:56" x14ac:dyDescent="0.35">
      <c r="A110">
        <v>2048</v>
      </c>
      <c r="B110">
        <v>4</v>
      </c>
      <c r="C110" s="15">
        <f t="shared" si="26"/>
        <v>3075919.3221284971</v>
      </c>
      <c r="D110" s="9">
        <v>54423</v>
      </c>
      <c r="E110" s="2">
        <v>3075919.3221284971</v>
      </c>
      <c r="F110" s="2">
        <v>672437.87674829236</v>
      </c>
      <c r="G110" s="10">
        <f t="shared" si="13"/>
        <v>0</v>
      </c>
      <c r="H110" s="10">
        <f t="shared" si="14"/>
        <v>2403481.4453802048</v>
      </c>
      <c r="I110" s="13" t="str">
        <f t="shared" si="25"/>
        <v/>
      </c>
      <c r="J110" s="14">
        <f t="shared" si="27"/>
        <v>3261423.8970692605</v>
      </c>
      <c r="K110" s="2">
        <v>3261423.8970692605</v>
      </c>
      <c r="L110" s="2">
        <v>857876.9642545922</v>
      </c>
      <c r="M110" s="2">
        <f t="shared" si="15"/>
        <v>0</v>
      </c>
      <c r="N110" s="2">
        <f t="shared" si="16"/>
        <v>2403546.9328146684</v>
      </c>
      <c r="P110" s="2">
        <f t="shared" si="28"/>
        <v>3262513.4085252997</v>
      </c>
      <c r="Q110" s="2">
        <v>3262513.4085252997</v>
      </c>
      <c r="R110" s="2">
        <v>1090869.3555408397</v>
      </c>
      <c r="S110" s="2">
        <f t="shared" si="17"/>
        <v>0</v>
      </c>
      <c r="T110" s="2">
        <f t="shared" si="18"/>
        <v>2171644.0529844603</v>
      </c>
      <c r="V110" s="11">
        <f t="shared" si="29"/>
        <v>3256335.7308638161</v>
      </c>
      <c r="W110" s="2">
        <v>3256335.7308638161</v>
      </c>
      <c r="X110" s="2">
        <v>1296342.964147384</v>
      </c>
      <c r="Y110" s="2">
        <f t="shared" si="19"/>
        <v>0</v>
      </c>
      <c r="Z110" s="2">
        <f t="shared" si="20"/>
        <v>1959992.7667164321</v>
      </c>
      <c r="AB110" s="2">
        <f t="shared" si="30"/>
        <v>3243879.3850609898</v>
      </c>
      <c r="AC110" s="2">
        <v>3243879.3850609898</v>
      </c>
      <c r="AD110" s="2">
        <v>1501941.2448633942</v>
      </c>
      <c r="AE110" s="2">
        <f t="shared" si="21"/>
        <v>0</v>
      </c>
      <c r="AF110" s="2">
        <f t="shared" si="22"/>
        <v>1741938.1401975956</v>
      </c>
      <c r="AH110" s="2">
        <f t="shared" si="31"/>
        <v>3257082.9733622656</v>
      </c>
      <c r="AI110" s="2">
        <v>3257082.9733622656</v>
      </c>
      <c r="AJ110" s="2">
        <v>787966.69098700269</v>
      </c>
      <c r="AK110" s="2">
        <f t="shared" si="23"/>
        <v>0</v>
      </c>
      <c r="AL110" s="2">
        <v>831711.37623518019</v>
      </c>
      <c r="AM110" s="2"/>
      <c r="AN110" s="2">
        <f t="shared" si="32"/>
        <v>3263110.8332900498</v>
      </c>
      <c r="AO110" s="2">
        <v>3263110.8332900498</v>
      </c>
      <c r="AP110" s="2">
        <v>885520.41451979021</v>
      </c>
      <c r="AQ110" s="2">
        <f t="shared" si="24"/>
        <v>0</v>
      </c>
      <c r="AR110" s="2">
        <v>795137.88544654509</v>
      </c>
      <c r="AS110" s="2"/>
      <c r="AT110" s="2">
        <f t="shared" si="33"/>
        <v>3262417.9510979089</v>
      </c>
      <c r="AU110" s="2">
        <v>3262417.9510979089</v>
      </c>
      <c r="AV110" s="2">
        <v>988859.80838103779</v>
      </c>
      <c r="AW110" s="2">
        <f t="shared" si="34"/>
        <v>0</v>
      </c>
      <c r="AX110" s="2">
        <v>748973.5359003013</v>
      </c>
      <c r="AY110" s="2"/>
      <c r="AZ110" s="2">
        <f t="shared" si="35"/>
        <v>3259613.8940228838</v>
      </c>
      <c r="BA110" s="2">
        <v>3259613.8940228838</v>
      </c>
      <c r="BB110" s="2">
        <v>1092230.7826551597</v>
      </c>
      <c r="BC110" s="2">
        <f t="shared" si="36"/>
        <v>0</v>
      </c>
      <c r="BD110" s="2">
        <v>698598.17586287786</v>
      </c>
    </row>
    <row r="111" spans="1:56" x14ac:dyDescent="0.35">
      <c r="A111">
        <v>2049</v>
      </c>
      <c r="B111">
        <v>1</v>
      </c>
      <c r="C111" s="15">
        <f t="shared" si="26"/>
        <v>3362361.655086162</v>
      </c>
      <c r="D111" s="9">
        <v>54513</v>
      </c>
      <c r="E111" s="2">
        <v>3362361.655086162</v>
      </c>
      <c r="F111" s="2">
        <v>710339.60584513121</v>
      </c>
      <c r="G111" s="10">
        <f t="shared" si="13"/>
        <v>0</v>
      </c>
      <c r="H111" s="10">
        <f t="shared" si="14"/>
        <v>2652022.0492410306</v>
      </c>
      <c r="I111" s="13" t="str">
        <f t="shared" si="25"/>
        <v/>
      </c>
      <c r="J111" s="14">
        <f t="shared" si="27"/>
        <v>3695726.3894725386</v>
      </c>
      <c r="K111" s="2">
        <v>3695726.3894725386</v>
      </c>
      <c r="L111" s="2">
        <v>902667.4541755449</v>
      </c>
      <c r="M111" s="2">
        <f t="shared" si="15"/>
        <v>0</v>
      </c>
      <c r="N111" s="2">
        <f t="shared" si="16"/>
        <v>2793058.9352969937</v>
      </c>
      <c r="P111" s="2">
        <f t="shared" si="28"/>
        <v>3749759.4796111225</v>
      </c>
      <c r="Q111" s="2">
        <v>3749759.4796111225</v>
      </c>
      <c r="R111" s="2">
        <v>1144292.145218234</v>
      </c>
      <c r="S111" s="2">
        <f t="shared" si="17"/>
        <v>0</v>
      </c>
      <c r="T111" s="2">
        <f t="shared" si="18"/>
        <v>2605467.3343928885</v>
      </c>
      <c r="V111" s="11">
        <f t="shared" si="29"/>
        <v>3782214.2885289975</v>
      </c>
      <c r="W111" s="2">
        <v>3782214.2885289975</v>
      </c>
      <c r="X111" s="2">
        <v>1357357.2849556922</v>
      </c>
      <c r="Y111" s="2">
        <f t="shared" si="19"/>
        <v>0</v>
      </c>
      <c r="Z111" s="2">
        <f t="shared" si="20"/>
        <v>2424857.003573305</v>
      </c>
      <c r="AB111" s="2">
        <f t="shared" si="30"/>
        <v>3797719.074108874</v>
      </c>
      <c r="AC111" s="2">
        <v>3797719.074108874</v>
      </c>
      <c r="AD111" s="2">
        <v>1570531.8476352356</v>
      </c>
      <c r="AE111" s="2">
        <f t="shared" si="21"/>
        <v>0</v>
      </c>
      <c r="AF111" s="2">
        <f t="shared" si="22"/>
        <v>2227187.2264736383</v>
      </c>
      <c r="AH111" s="2">
        <f t="shared" si="31"/>
        <v>3670604.8883139454</v>
      </c>
      <c r="AI111" s="2">
        <v>3670604.8883139454</v>
      </c>
      <c r="AJ111" s="2">
        <v>830162.03403955512</v>
      </c>
      <c r="AK111" s="2">
        <f t="shared" si="23"/>
        <v>0</v>
      </c>
      <c r="AL111" s="2">
        <v>1589724.6104579656</v>
      </c>
      <c r="AM111" s="2"/>
      <c r="AN111" s="2">
        <f t="shared" si="32"/>
        <v>3706473.9759484925</v>
      </c>
      <c r="AO111" s="2">
        <v>3706473.9759484925</v>
      </c>
      <c r="AP111" s="2">
        <v>931336.42389889224</v>
      </c>
      <c r="AQ111" s="2">
        <f t="shared" si="24"/>
        <v>0</v>
      </c>
      <c r="AR111" s="2">
        <v>1633240.0047656342</v>
      </c>
      <c r="AS111" s="2"/>
      <c r="AT111" s="2">
        <f t="shared" si="33"/>
        <v>3735223.0792829883</v>
      </c>
      <c r="AU111" s="2">
        <v>3735223.0792829883</v>
      </c>
      <c r="AV111" s="2">
        <v>1038506.3220721286</v>
      </c>
      <c r="AW111" s="2">
        <f t="shared" si="34"/>
        <v>0</v>
      </c>
      <c r="AX111" s="2">
        <v>1666619.8200697294</v>
      </c>
      <c r="AY111" s="2"/>
      <c r="AZ111" s="2">
        <f t="shared" si="35"/>
        <v>3758023.2997234836</v>
      </c>
      <c r="BA111" s="2">
        <v>3758023.2997234836</v>
      </c>
      <c r="BB111" s="2">
        <v>1145703.9376647314</v>
      </c>
      <c r="BC111" s="2">
        <f t="shared" si="36"/>
        <v>0</v>
      </c>
      <c r="BD111" s="2">
        <v>1695478.5912033324</v>
      </c>
    </row>
    <row r="112" spans="1:56" x14ac:dyDescent="0.35">
      <c r="A112">
        <v>2049</v>
      </c>
      <c r="B112">
        <v>2</v>
      </c>
      <c r="C112" s="15">
        <f t="shared" si="26"/>
        <v>4416529.8833578993</v>
      </c>
      <c r="D112" s="9">
        <v>54604</v>
      </c>
      <c r="E112" s="2">
        <v>4416529.8833578993</v>
      </c>
      <c r="F112" s="2">
        <v>683663.87280123029</v>
      </c>
      <c r="G112" s="10">
        <f t="shared" si="13"/>
        <v>0</v>
      </c>
      <c r="H112" s="10">
        <f t="shared" si="14"/>
        <v>3732866.010556669</v>
      </c>
      <c r="I112" s="13" t="str">
        <f t="shared" si="25"/>
        <v/>
      </c>
      <c r="J112" s="14">
        <f t="shared" si="27"/>
        <v>5003682.9837942161</v>
      </c>
      <c r="K112" s="2">
        <v>5003682.9837942161</v>
      </c>
      <c r="L112" s="2">
        <v>870761.34083238663</v>
      </c>
      <c r="M112" s="2">
        <f t="shared" si="15"/>
        <v>0</v>
      </c>
      <c r="N112" s="2">
        <f t="shared" si="16"/>
        <v>4132921.6429618294</v>
      </c>
      <c r="P112" s="2">
        <f t="shared" si="28"/>
        <v>5139187.5840619113</v>
      </c>
      <c r="Q112" s="2">
        <v>5139187.5840619113</v>
      </c>
      <c r="R112" s="2">
        <v>1105800.8242862909</v>
      </c>
      <c r="S112" s="2">
        <f t="shared" si="17"/>
        <v>0</v>
      </c>
      <c r="T112" s="2">
        <f t="shared" si="18"/>
        <v>4033386.7597756204</v>
      </c>
      <c r="V112" s="11">
        <f t="shared" si="29"/>
        <v>5264668.8166893432</v>
      </c>
      <c r="W112" s="2">
        <v>5264668.8166893432</v>
      </c>
      <c r="X112" s="2">
        <v>1313046.0216268746</v>
      </c>
      <c r="Y112" s="2">
        <f t="shared" si="19"/>
        <v>0</v>
      </c>
      <c r="Z112" s="2">
        <f t="shared" si="20"/>
        <v>3951622.7950624684</v>
      </c>
      <c r="AB112" s="2">
        <f t="shared" si="30"/>
        <v>5381939.81136664</v>
      </c>
      <c r="AC112" s="2">
        <v>5381939.81136664</v>
      </c>
      <c r="AD112" s="2">
        <v>1520385.3927421633</v>
      </c>
      <c r="AE112" s="2">
        <f t="shared" si="21"/>
        <v>0</v>
      </c>
      <c r="AF112" s="2">
        <f t="shared" si="22"/>
        <v>3861554.4186244765</v>
      </c>
      <c r="AH112" s="2">
        <f t="shared" si="31"/>
        <v>4946962.285476408</v>
      </c>
      <c r="AI112" s="2">
        <v>4946962.285476408</v>
      </c>
      <c r="AJ112" s="2">
        <v>800228.89174123935</v>
      </c>
      <c r="AK112" s="2">
        <f t="shared" si="23"/>
        <v>0</v>
      </c>
      <c r="AL112" s="2">
        <v>1321841.3228877215</v>
      </c>
      <c r="AM112" s="2"/>
      <c r="AN112" s="2">
        <f t="shared" si="32"/>
        <v>5028389.4322368056</v>
      </c>
      <c r="AO112" s="2">
        <v>5028389.4322368056</v>
      </c>
      <c r="AP112" s="2">
        <v>898649.79619644431</v>
      </c>
      <c r="AQ112" s="2">
        <f t="shared" si="24"/>
        <v>0</v>
      </c>
      <c r="AR112" s="2">
        <v>1261016.3125966536</v>
      </c>
      <c r="AS112" s="2"/>
      <c r="AT112" s="2">
        <f t="shared" si="33"/>
        <v>5103100.0980509808</v>
      </c>
      <c r="AU112" s="2">
        <v>5103100.0980509808</v>
      </c>
      <c r="AV112" s="2">
        <v>1002900.0176507744</v>
      </c>
      <c r="AW112" s="2">
        <f t="shared" si="34"/>
        <v>0</v>
      </c>
      <c r="AX112" s="2">
        <v>1191450.4691945326</v>
      </c>
      <c r="AY112" s="2"/>
      <c r="AZ112" s="2">
        <f t="shared" si="35"/>
        <v>5174495.9617526624</v>
      </c>
      <c r="BA112" s="2">
        <v>5174495.9617526624</v>
      </c>
      <c r="BB112" s="2">
        <v>1107174.0935309629</v>
      </c>
      <c r="BC112" s="2">
        <f t="shared" si="36"/>
        <v>0</v>
      </c>
      <c r="BD112" s="2">
        <v>1120499.9875216337</v>
      </c>
    </row>
    <row r="113" spans="1:56" x14ac:dyDescent="0.35">
      <c r="A113">
        <v>2049</v>
      </c>
      <c r="B113">
        <v>3</v>
      </c>
      <c r="C113" s="15">
        <f t="shared" si="26"/>
        <v>4896952.0393425683</v>
      </c>
      <c r="D113" s="9">
        <v>54696</v>
      </c>
      <c r="E113" s="2">
        <v>4896952.0393425683</v>
      </c>
      <c r="F113" s="2">
        <v>663503.27440577222</v>
      </c>
      <c r="G113" s="10">
        <f t="shared" si="13"/>
        <v>0</v>
      </c>
      <c r="H113" s="10">
        <f t="shared" si="14"/>
        <v>4233448.7649367964</v>
      </c>
      <c r="I113" s="13" t="str">
        <f t="shared" si="25"/>
        <v/>
      </c>
      <c r="J113" s="14">
        <f t="shared" si="27"/>
        <v>5451742.5060138274</v>
      </c>
      <c r="K113" s="2">
        <v>5451742.5060138274</v>
      </c>
      <c r="L113" s="2">
        <v>846309.96641992626</v>
      </c>
      <c r="M113" s="2">
        <f t="shared" si="15"/>
        <v>0</v>
      </c>
      <c r="N113" s="2">
        <f t="shared" si="16"/>
        <v>4605432.5395939015</v>
      </c>
      <c r="P113" s="2">
        <f t="shared" si="28"/>
        <v>5577152.3047549902</v>
      </c>
      <c r="Q113" s="2">
        <v>5577152.3047549902</v>
      </c>
      <c r="R113" s="2">
        <v>1075944.0647593664</v>
      </c>
      <c r="S113" s="2">
        <f t="shared" si="17"/>
        <v>0</v>
      </c>
      <c r="T113" s="2">
        <f t="shared" si="18"/>
        <v>4501208.2399956239</v>
      </c>
      <c r="V113" s="11">
        <f t="shared" si="29"/>
        <v>5686354.1217151042</v>
      </c>
      <c r="W113" s="2">
        <v>5686354.1217151042</v>
      </c>
      <c r="X113" s="2">
        <v>1278409.1192919889</v>
      </c>
      <c r="Y113" s="2">
        <f t="shared" si="19"/>
        <v>0</v>
      </c>
      <c r="Z113" s="2">
        <f t="shared" si="20"/>
        <v>4407945.0024231151</v>
      </c>
      <c r="AB113" s="2">
        <f t="shared" si="30"/>
        <v>5770708.6008462366</v>
      </c>
      <c r="AC113" s="2">
        <v>5770708.6008462366</v>
      </c>
      <c r="AD113" s="2">
        <v>1480953.0984319358</v>
      </c>
      <c r="AE113" s="2">
        <f t="shared" si="21"/>
        <v>0</v>
      </c>
      <c r="AF113" s="2">
        <f t="shared" si="22"/>
        <v>4289755.502414301</v>
      </c>
      <c r="AH113" s="2">
        <f t="shared" si="31"/>
        <v>5403211.3681810442</v>
      </c>
      <c r="AI113" s="2">
        <v>5403211.3681810442</v>
      </c>
      <c r="AJ113" s="2">
        <v>777396.31945113465</v>
      </c>
      <c r="AK113" s="2">
        <f t="shared" si="23"/>
        <v>0</v>
      </c>
      <c r="AL113" s="2">
        <v>1365601.8278697776</v>
      </c>
      <c r="AM113" s="2"/>
      <c r="AN113" s="2">
        <f t="shared" si="32"/>
        <v>5483649.1549189342</v>
      </c>
      <c r="AO113" s="2">
        <v>5483649.1549189342</v>
      </c>
      <c r="AP113" s="2">
        <v>873557.93031010218</v>
      </c>
      <c r="AQ113" s="2">
        <f t="shared" si="24"/>
        <v>0</v>
      </c>
      <c r="AR113" s="2">
        <v>1304332.839642392</v>
      </c>
      <c r="AS113" s="2"/>
      <c r="AT113" s="2">
        <f t="shared" si="33"/>
        <v>5555740.6150791524</v>
      </c>
      <c r="AU113" s="2">
        <v>5555740.6150791524</v>
      </c>
      <c r="AV113" s="2">
        <v>975411.82063066808</v>
      </c>
      <c r="AW113" s="2">
        <f t="shared" si="34"/>
        <v>0</v>
      </c>
      <c r="AX113" s="2">
        <v>1233990.9423130066</v>
      </c>
      <c r="AY113" s="2"/>
      <c r="AZ113" s="2">
        <f t="shared" si="35"/>
        <v>5617363.0145521648</v>
      </c>
      <c r="BA113" s="2">
        <v>5617363.0145521648</v>
      </c>
      <c r="BB113" s="2">
        <v>1077285.7023835843</v>
      </c>
      <c r="BC113" s="2">
        <f t="shared" si="36"/>
        <v>0</v>
      </c>
      <c r="BD113" s="2">
        <v>1159454.537308157</v>
      </c>
    </row>
    <row r="114" spans="1:56" x14ac:dyDescent="0.35">
      <c r="A114">
        <v>2049</v>
      </c>
      <c r="B114">
        <v>4</v>
      </c>
      <c r="C114" s="15">
        <f t="shared" si="26"/>
        <v>3138961.4297105805</v>
      </c>
      <c r="D114" s="9">
        <v>54788</v>
      </c>
      <c r="E114" s="2">
        <v>3138961.4297105805</v>
      </c>
      <c r="F114" s="2">
        <v>685711.71628504281</v>
      </c>
      <c r="G114" s="10">
        <f t="shared" si="13"/>
        <v>0</v>
      </c>
      <c r="H114" s="10">
        <f t="shared" si="14"/>
        <v>2453249.7134255376</v>
      </c>
      <c r="I114" s="13" t="str">
        <f t="shared" si="25"/>
        <v/>
      </c>
      <c r="J114" s="14">
        <f t="shared" si="27"/>
        <v>3329754.0840690462</v>
      </c>
      <c r="K114" s="2">
        <v>3329754.0840690462</v>
      </c>
      <c r="L114" s="2">
        <v>869934.00432078191</v>
      </c>
      <c r="M114" s="2">
        <f t="shared" si="15"/>
        <v>0</v>
      </c>
      <c r="N114" s="2">
        <f t="shared" si="16"/>
        <v>2459820.0797482645</v>
      </c>
      <c r="P114" s="2">
        <f t="shared" si="28"/>
        <v>3328815.0821580826</v>
      </c>
      <c r="Q114" s="2">
        <v>3328815.0821580826</v>
      </c>
      <c r="R114" s="2">
        <v>1101355.4047997347</v>
      </c>
      <c r="S114" s="2">
        <f t="shared" si="17"/>
        <v>0</v>
      </c>
      <c r="T114" s="2">
        <f t="shared" si="18"/>
        <v>2227459.6773583479</v>
      </c>
      <c r="V114" s="11">
        <f t="shared" si="29"/>
        <v>3321011.922431963</v>
      </c>
      <c r="W114" s="2">
        <v>3321011.922431963</v>
      </c>
      <c r="X114" s="2">
        <v>1305404.6840117378</v>
      </c>
      <c r="Y114" s="2">
        <f t="shared" si="19"/>
        <v>0</v>
      </c>
      <c r="Z114" s="2">
        <f t="shared" si="20"/>
        <v>2015607.2384202252</v>
      </c>
      <c r="AB114" s="2">
        <f t="shared" si="30"/>
        <v>3307159.6708353478</v>
      </c>
      <c r="AC114" s="2">
        <v>3307159.6708353478</v>
      </c>
      <c r="AD114" s="2">
        <v>1509541.3593422326</v>
      </c>
      <c r="AE114" s="2">
        <f t="shared" si="21"/>
        <v>0</v>
      </c>
      <c r="AF114" s="2">
        <f t="shared" si="22"/>
        <v>1797618.3114931153</v>
      </c>
      <c r="AH114" s="2">
        <f t="shared" si="31"/>
        <v>3326311.3096504565</v>
      </c>
      <c r="AI114" s="2">
        <v>3326311.3096504565</v>
      </c>
      <c r="AJ114" s="2">
        <v>800485.95858892601</v>
      </c>
      <c r="AK114" s="2">
        <f t="shared" si="23"/>
        <v>0</v>
      </c>
      <c r="AL114" s="2">
        <v>816055.48456210026</v>
      </c>
      <c r="AM114" s="2"/>
      <c r="AN114" s="2">
        <f t="shared" si="32"/>
        <v>3330626.9353046906</v>
      </c>
      <c r="AO114" s="2">
        <v>3330626.9353046906</v>
      </c>
      <c r="AP114" s="2">
        <v>897393.51718225761</v>
      </c>
      <c r="AQ114" s="2">
        <f t="shared" si="24"/>
        <v>0</v>
      </c>
      <c r="AR114" s="2">
        <v>778207.35101418465</v>
      </c>
      <c r="AS114" s="2"/>
      <c r="AT114" s="2">
        <f t="shared" si="33"/>
        <v>3329193.7272834256</v>
      </c>
      <c r="AU114" s="2">
        <v>3329193.7272834256</v>
      </c>
      <c r="AV114" s="2">
        <v>1000039.4470811978</v>
      </c>
      <c r="AW114" s="2">
        <f t="shared" si="34"/>
        <v>0</v>
      </c>
      <c r="AX114" s="2">
        <v>731364.35883567366</v>
      </c>
      <c r="AY114" s="2"/>
      <c r="AZ114" s="2">
        <f t="shared" si="35"/>
        <v>3325782.6582534872</v>
      </c>
      <c r="BA114" s="2">
        <v>3325782.6582534872</v>
      </c>
      <c r="BB114" s="2">
        <v>1102707.5144570454</v>
      </c>
      <c r="BC114" s="2">
        <f t="shared" si="36"/>
        <v>0</v>
      </c>
      <c r="BD114" s="2">
        <v>680723.78712049872</v>
      </c>
    </row>
    <row r="115" spans="1:56" x14ac:dyDescent="0.35">
      <c r="A115">
        <v>2050</v>
      </c>
      <c r="B115">
        <v>1</v>
      </c>
      <c r="C115" s="15">
        <f t="shared" si="26"/>
        <v>3393162.9086316451</v>
      </c>
      <c r="D115" s="9">
        <v>54878</v>
      </c>
      <c r="E115" s="2">
        <v>3393162.9086316451</v>
      </c>
      <c r="F115" s="2">
        <v>718461.85672222706</v>
      </c>
      <c r="G115" s="10">
        <f t="shared" si="13"/>
        <v>0</v>
      </c>
      <c r="H115" s="10">
        <f t="shared" si="14"/>
        <v>2674701.0519094178</v>
      </c>
      <c r="I115" s="13" t="str">
        <f t="shared" si="25"/>
        <v/>
      </c>
      <c r="J115" s="14">
        <f t="shared" si="27"/>
        <v>3737338.2504767315</v>
      </c>
      <c r="K115" s="2">
        <v>3737338.2504767315</v>
      </c>
      <c r="L115" s="2">
        <v>906489.31267959974</v>
      </c>
      <c r="M115" s="2">
        <f t="shared" si="15"/>
        <v>0</v>
      </c>
      <c r="N115" s="2">
        <f t="shared" si="16"/>
        <v>2830848.9377971319</v>
      </c>
      <c r="P115" s="2">
        <f t="shared" si="28"/>
        <v>3790902.23486142</v>
      </c>
      <c r="Q115" s="2">
        <v>3790902.23486142</v>
      </c>
      <c r="R115" s="2">
        <v>1142671.0720599878</v>
      </c>
      <c r="S115" s="2">
        <f t="shared" si="17"/>
        <v>0</v>
      </c>
      <c r="T115" s="2">
        <f t="shared" si="18"/>
        <v>2648231.1628014324</v>
      </c>
      <c r="V115" s="11">
        <f t="shared" si="29"/>
        <v>3822070.1901656785</v>
      </c>
      <c r="W115" s="2">
        <v>3822070.1901656785</v>
      </c>
      <c r="X115" s="2">
        <v>1350899.4685889962</v>
      </c>
      <c r="Y115" s="2">
        <f t="shared" si="19"/>
        <v>0</v>
      </c>
      <c r="Z115" s="2">
        <f t="shared" si="20"/>
        <v>2471170.7215766823</v>
      </c>
      <c r="AB115" s="2">
        <f t="shared" si="30"/>
        <v>3837527.7528880681</v>
      </c>
      <c r="AC115" s="2">
        <v>3837527.7528880681</v>
      </c>
      <c r="AD115" s="2">
        <v>1559200.0120691175</v>
      </c>
      <c r="AE115" s="2">
        <f t="shared" si="21"/>
        <v>0</v>
      </c>
      <c r="AF115" s="2">
        <f t="shared" si="22"/>
        <v>2278327.7408189503</v>
      </c>
      <c r="AH115" s="2">
        <f t="shared" si="31"/>
        <v>3712060.4413116514</v>
      </c>
      <c r="AI115" s="2">
        <v>3712060.4413116514</v>
      </c>
      <c r="AJ115" s="2">
        <v>835608.43148669356</v>
      </c>
      <c r="AK115" s="2">
        <f t="shared" si="23"/>
        <v>0</v>
      </c>
      <c r="AL115" s="2">
        <v>1572787.2397830118</v>
      </c>
      <c r="AM115" s="2"/>
      <c r="AN115" s="2">
        <f t="shared" si="32"/>
        <v>3747458.6539239306</v>
      </c>
      <c r="AO115" s="2">
        <v>3747458.6539239306</v>
      </c>
      <c r="AP115" s="2">
        <v>934514.81795812468</v>
      </c>
      <c r="AQ115" s="2">
        <f t="shared" si="24"/>
        <v>0</v>
      </c>
      <c r="AR115" s="2">
        <v>1615731.9875104476</v>
      </c>
      <c r="AS115" s="2"/>
      <c r="AT115" s="2">
        <f t="shared" si="33"/>
        <v>3776003.9027015623</v>
      </c>
      <c r="AU115" s="2">
        <v>3776003.9027015623</v>
      </c>
      <c r="AV115" s="2">
        <v>1039273.7368678105</v>
      </c>
      <c r="AW115" s="2">
        <f t="shared" si="34"/>
        <v>0</v>
      </c>
      <c r="AX115" s="2">
        <v>1648575.9048339268</v>
      </c>
      <c r="AY115" s="2"/>
      <c r="AZ115" s="2">
        <f t="shared" si="35"/>
        <v>3798584.707445072</v>
      </c>
      <c r="BA115" s="2">
        <v>3798584.707445072</v>
      </c>
      <c r="BB115" s="2">
        <v>1144050.9302608953</v>
      </c>
      <c r="BC115" s="2">
        <f t="shared" si="36"/>
        <v>0</v>
      </c>
      <c r="BD115" s="2">
        <v>1677570.1674323496</v>
      </c>
    </row>
    <row r="116" spans="1:56" x14ac:dyDescent="0.35">
      <c r="A116">
        <v>2050</v>
      </c>
      <c r="B116">
        <v>2</v>
      </c>
      <c r="C116" s="15">
        <f t="shared" si="26"/>
        <v>4528042.7943236427</v>
      </c>
      <c r="D116" s="9">
        <v>54969</v>
      </c>
      <c r="E116" s="2">
        <v>4528042.7943236427</v>
      </c>
      <c r="F116" s="2">
        <v>691606.62318295683</v>
      </c>
      <c r="G116" s="10">
        <f t="shared" si="13"/>
        <v>0</v>
      </c>
      <c r="H116" s="10">
        <f t="shared" si="14"/>
        <v>3836436.1711406857</v>
      </c>
      <c r="I116" s="13" t="str">
        <f t="shared" si="25"/>
        <v/>
      </c>
      <c r="J116" s="14">
        <f t="shared" si="27"/>
        <v>5145303.02529791</v>
      </c>
      <c r="K116" s="2">
        <v>5145303.02529791</v>
      </c>
      <c r="L116" s="2">
        <v>874397.13374990784</v>
      </c>
      <c r="M116" s="2">
        <f t="shared" si="15"/>
        <v>0</v>
      </c>
      <c r="N116" s="2">
        <f t="shared" si="16"/>
        <v>4270905.8915480021</v>
      </c>
      <c r="P116" s="2">
        <f t="shared" si="28"/>
        <v>5282834.9944502795</v>
      </c>
      <c r="Q116" s="2">
        <v>5282834.9944502795</v>
      </c>
      <c r="R116" s="2">
        <v>1103985.4420263986</v>
      </c>
      <c r="S116" s="2">
        <f t="shared" si="17"/>
        <v>0</v>
      </c>
      <c r="T116" s="2">
        <f t="shared" si="18"/>
        <v>4178849.5524238809</v>
      </c>
      <c r="V116" s="11">
        <f t="shared" si="29"/>
        <v>5409451.9009930743</v>
      </c>
      <c r="W116" s="2">
        <v>5409451.9009930743</v>
      </c>
      <c r="X116" s="2">
        <v>1306386.6309946517</v>
      </c>
      <c r="Y116" s="2">
        <f t="shared" si="19"/>
        <v>0</v>
      </c>
      <c r="Z116" s="2">
        <f t="shared" si="20"/>
        <v>4103065.2699984228</v>
      </c>
      <c r="AB116" s="2">
        <f t="shared" si="30"/>
        <v>5528377.2238537911</v>
      </c>
      <c r="AC116" s="2">
        <v>5528377.2238537911</v>
      </c>
      <c r="AD116" s="2">
        <v>1508844.7177466387</v>
      </c>
      <c r="AE116" s="2">
        <f t="shared" si="21"/>
        <v>0</v>
      </c>
      <c r="AF116" s="2">
        <f t="shared" si="22"/>
        <v>4019532.5061071524</v>
      </c>
      <c r="AH116" s="2">
        <f t="shared" si="31"/>
        <v>5087725.5451128036</v>
      </c>
      <c r="AI116" s="2">
        <v>5087725.5451128036</v>
      </c>
      <c r="AJ116" s="2">
        <v>805491.69820876943</v>
      </c>
      <c r="AK116" s="2">
        <f t="shared" si="23"/>
        <v>0</v>
      </c>
      <c r="AL116" s="2">
        <v>1314765.1150875865</v>
      </c>
      <c r="AM116" s="2"/>
      <c r="AN116" s="2">
        <f t="shared" si="32"/>
        <v>5170101.3693265738</v>
      </c>
      <c r="AO116" s="2">
        <v>5170101.3693265738</v>
      </c>
      <c r="AP116" s="2">
        <v>901641.1463179104</v>
      </c>
      <c r="AQ116" s="2">
        <f t="shared" si="24"/>
        <v>0</v>
      </c>
      <c r="AR116" s="2">
        <v>1255286.5932460381</v>
      </c>
      <c r="AS116" s="2"/>
      <c r="AT116" s="2">
        <f t="shared" si="33"/>
        <v>5245121.9765206585</v>
      </c>
      <c r="AU116" s="2">
        <v>5245121.9765206585</v>
      </c>
      <c r="AV116" s="2">
        <v>1003476.7318507326</v>
      </c>
      <c r="AW116" s="2">
        <f t="shared" si="34"/>
        <v>0</v>
      </c>
      <c r="AX116" s="2">
        <v>1187394.9548329762</v>
      </c>
      <c r="AY116" s="2"/>
      <c r="AZ116" s="2">
        <f t="shared" si="35"/>
        <v>5316934.7310413662</v>
      </c>
      <c r="BA116" s="2">
        <v>5316934.7310413662</v>
      </c>
      <c r="BB116" s="2">
        <v>1105326.7288734443</v>
      </c>
      <c r="BC116" s="2">
        <f t="shared" si="36"/>
        <v>0</v>
      </c>
      <c r="BD116" s="2">
        <v>1118072.8055904428</v>
      </c>
    </row>
    <row r="117" spans="1:56" x14ac:dyDescent="0.35">
      <c r="A117">
        <v>2050</v>
      </c>
      <c r="B117">
        <v>3</v>
      </c>
      <c r="C117" s="15">
        <f t="shared" si="26"/>
        <v>5006064.4754490154</v>
      </c>
      <c r="D117" s="9">
        <v>55061</v>
      </c>
      <c r="E117" s="2">
        <v>5006064.4754490154</v>
      </c>
      <c r="F117" s="2">
        <v>671293.94970697397</v>
      </c>
      <c r="G117" s="10">
        <f t="shared" si="13"/>
        <v>0</v>
      </c>
      <c r="H117" s="10">
        <f t="shared" si="14"/>
        <v>4334770.5257420409</v>
      </c>
      <c r="I117" s="13" t="str">
        <f t="shared" si="25"/>
        <v/>
      </c>
      <c r="J117" s="14">
        <f t="shared" si="27"/>
        <v>5585921.6534433765</v>
      </c>
      <c r="K117" s="2">
        <v>5585921.6534433765</v>
      </c>
      <c r="L117" s="2">
        <v>849804.86688611493</v>
      </c>
      <c r="M117" s="2">
        <f t="shared" si="15"/>
        <v>0</v>
      </c>
      <c r="N117" s="2">
        <f t="shared" si="16"/>
        <v>4736116.7865572618</v>
      </c>
      <c r="P117" s="2">
        <f t="shared" si="28"/>
        <v>5711903.9662970556</v>
      </c>
      <c r="Q117" s="2">
        <v>5711903.9662970556</v>
      </c>
      <c r="R117" s="2">
        <v>1074001.8316159516</v>
      </c>
      <c r="S117" s="2">
        <f t="shared" si="17"/>
        <v>0</v>
      </c>
      <c r="T117" s="2">
        <f t="shared" si="18"/>
        <v>4637902.1346811038</v>
      </c>
      <c r="V117" s="11">
        <f t="shared" si="29"/>
        <v>5821591.5548682883</v>
      </c>
      <c r="W117" s="2">
        <v>5821591.5548682883</v>
      </c>
      <c r="X117" s="2">
        <v>1271635.2528722882</v>
      </c>
      <c r="Y117" s="2">
        <f t="shared" si="19"/>
        <v>0</v>
      </c>
      <c r="Z117" s="2">
        <f t="shared" si="20"/>
        <v>4549956.3019960001</v>
      </c>
      <c r="AB117" s="2">
        <f t="shared" si="30"/>
        <v>5904807.5671610031</v>
      </c>
      <c r="AC117" s="2">
        <v>5904807.5671610031</v>
      </c>
      <c r="AD117" s="2">
        <v>1469310.3227449795</v>
      </c>
      <c r="AE117" s="2">
        <f t="shared" si="21"/>
        <v>0</v>
      </c>
      <c r="AF117" s="2">
        <f t="shared" si="22"/>
        <v>4435497.2444160236</v>
      </c>
      <c r="AH117" s="2">
        <f t="shared" si="31"/>
        <v>5536916.9619322149</v>
      </c>
      <c r="AI117" s="2">
        <v>5536916.9619322149</v>
      </c>
      <c r="AJ117" s="2">
        <v>782514.01835272915</v>
      </c>
      <c r="AK117" s="2">
        <f t="shared" si="23"/>
        <v>0</v>
      </c>
      <c r="AL117" s="2">
        <v>1353490.4184477059</v>
      </c>
      <c r="AM117" s="2"/>
      <c r="AN117" s="2">
        <f t="shared" si="32"/>
        <v>5617359.1498535266</v>
      </c>
      <c r="AO117" s="2">
        <v>5617359.1498535266</v>
      </c>
      <c r="AP117" s="2">
        <v>876410.05445199995</v>
      </c>
      <c r="AQ117" s="2">
        <f t="shared" si="24"/>
        <v>0</v>
      </c>
      <c r="AR117" s="2">
        <v>1293696.2473729693</v>
      </c>
      <c r="AS117" s="2"/>
      <c r="AT117" s="2">
        <f t="shared" si="33"/>
        <v>5689472.5796539532</v>
      </c>
      <c r="AU117" s="2">
        <v>5689472.5796539532</v>
      </c>
      <c r="AV117" s="2">
        <v>975855.53740889777</v>
      </c>
      <c r="AW117" s="2">
        <f t="shared" si="34"/>
        <v>0</v>
      </c>
      <c r="AX117" s="2">
        <v>1224878.9417493404</v>
      </c>
      <c r="AY117" s="2"/>
      <c r="AZ117" s="2">
        <f t="shared" si="35"/>
        <v>5750615.1966148214</v>
      </c>
      <c r="BA117" s="2">
        <v>5750615.1966148214</v>
      </c>
      <c r="BB117" s="2">
        <v>1075311.568862177</v>
      </c>
      <c r="BC117" s="2">
        <f t="shared" si="36"/>
        <v>0</v>
      </c>
      <c r="BD117" s="2">
        <v>1151920.4589685374</v>
      </c>
    </row>
    <row r="118" spans="1:56" x14ac:dyDescent="0.35">
      <c r="A118">
        <v>2050</v>
      </c>
      <c r="B118">
        <v>4</v>
      </c>
      <c r="C118" s="15">
        <f t="shared" si="26"/>
        <v>3222745.6403747862</v>
      </c>
      <c r="D118" s="9">
        <v>55153</v>
      </c>
      <c r="E118" s="2">
        <v>3222745.6403747862</v>
      </c>
      <c r="F118" s="2">
        <v>709468.50565678196</v>
      </c>
      <c r="G118" s="10">
        <f t="shared" si="13"/>
        <v>0</v>
      </c>
      <c r="H118" s="10">
        <f t="shared" si="14"/>
        <v>2513277.1347180041</v>
      </c>
      <c r="I118" s="13" t="str">
        <f t="shared" si="25"/>
        <v/>
      </c>
      <c r="J118" s="14">
        <f t="shared" si="27"/>
        <v>3420276.9561074623</v>
      </c>
      <c r="K118" s="2">
        <v>3420276.9561074623</v>
      </c>
      <c r="L118" s="2">
        <v>889516.31674712244</v>
      </c>
      <c r="M118" s="2">
        <f t="shared" si="15"/>
        <v>0</v>
      </c>
      <c r="N118" s="2">
        <f t="shared" si="16"/>
        <v>2530760.6393603398</v>
      </c>
      <c r="P118" s="2">
        <f t="shared" si="28"/>
        <v>3417414.627229963</v>
      </c>
      <c r="Q118" s="2">
        <v>3417414.627229963</v>
      </c>
      <c r="R118" s="2">
        <v>1115653.7153039044</v>
      </c>
      <c r="S118" s="2">
        <f t="shared" si="17"/>
        <v>0</v>
      </c>
      <c r="T118" s="2">
        <f t="shared" si="18"/>
        <v>2301760.9119260586</v>
      </c>
      <c r="V118" s="11">
        <f t="shared" si="29"/>
        <v>3408083.3376690475</v>
      </c>
      <c r="W118" s="2">
        <v>3408083.3376690475</v>
      </c>
      <c r="X118" s="2">
        <v>1315007.0785916145</v>
      </c>
      <c r="Y118" s="2">
        <f t="shared" si="19"/>
        <v>0</v>
      </c>
      <c r="Z118" s="2">
        <f t="shared" si="20"/>
        <v>2093076.259077433</v>
      </c>
      <c r="AB118" s="2">
        <f t="shared" si="30"/>
        <v>3392862.2620217237</v>
      </c>
      <c r="AC118" s="2">
        <v>3392862.2620217237</v>
      </c>
      <c r="AD118" s="2">
        <v>1514411.2736272044</v>
      </c>
      <c r="AE118" s="2">
        <f t="shared" si="21"/>
        <v>0</v>
      </c>
      <c r="AF118" s="2">
        <f t="shared" si="22"/>
        <v>1878450.9883945193</v>
      </c>
      <c r="AH118" s="2">
        <f t="shared" si="31"/>
        <v>3417681.7337750024</v>
      </c>
      <c r="AI118" s="2">
        <v>3417681.7337750024</v>
      </c>
      <c r="AJ118" s="2">
        <v>821645.27990100218</v>
      </c>
      <c r="AK118" s="2">
        <f t="shared" si="23"/>
        <v>0</v>
      </c>
      <c r="AL118" s="2">
        <v>782724.48763877817</v>
      </c>
      <c r="AM118" s="2"/>
      <c r="AN118" s="2">
        <f t="shared" si="32"/>
        <v>3420324.133466579</v>
      </c>
      <c r="AO118" s="2">
        <v>3420324.133466579</v>
      </c>
      <c r="AP118" s="2">
        <v>916351.17924010253</v>
      </c>
      <c r="AQ118" s="2">
        <f t="shared" si="24"/>
        <v>0</v>
      </c>
      <c r="AR118" s="2">
        <v>745012.00552597374</v>
      </c>
      <c r="AS118" s="2"/>
      <c r="AT118" s="2">
        <f t="shared" si="33"/>
        <v>3418223.7712757136</v>
      </c>
      <c r="AU118" s="2">
        <v>3418223.7712757136</v>
      </c>
      <c r="AV118" s="2">
        <v>1016656.5630878982</v>
      </c>
      <c r="AW118" s="2">
        <f t="shared" si="34"/>
        <v>0</v>
      </c>
      <c r="AX118" s="2">
        <v>698835.68442113057</v>
      </c>
      <c r="AY118" s="2"/>
      <c r="AZ118" s="2">
        <f t="shared" si="35"/>
        <v>3414275.4657006944</v>
      </c>
      <c r="BA118" s="2">
        <v>3414275.4657006944</v>
      </c>
      <c r="BB118" s="2">
        <v>1116974.8217477736</v>
      </c>
      <c r="BC118" s="2">
        <f t="shared" si="36"/>
        <v>0</v>
      </c>
      <c r="BD118" s="2">
        <v>649212.25152542489</v>
      </c>
    </row>
    <row r="119" spans="1:56" x14ac:dyDescent="0.35">
      <c r="A119">
        <v>2051</v>
      </c>
      <c r="B119">
        <v>1</v>
      </c>
      <c r="C119" s="15">
        <f t="shared" si="26"/>
        <v>3425002.9223538237</v>
      </c>
      <c r="D119" s="9">
        <v>55243</v>
      </c>
      <c r="E119" s="2">
        <v>3425002.9223538237</v>
      </c>
      <c r="F119" s="2">
        <v>748130.83005306311</v>
      </c>
      <c r="G119" s="10">
        <f t="shared" si="13"/>
        <v>0</v>
      </c>
      <c r="H119" s="10">
        <f t="shared" si="14"/>
        <v>2676872.0923007606</v>
      </c>
      <c r="I119" s="13" t="str">
        <f t="shared" si="25"/>
        <v/>
      </c>
      <c r="J119" s="14">
        <f t="shared" si="27"/>
        <v>3780204.8269008901</v>
      </c>
      <c r="K119" s="2">
        <v>3780204.8269008901</v>
      </c>
      <c r="L119" s="2">
        <v>932092.50521316507</v>
      </c>
      <c r="M119" s="2">
        <f t="shared" si="15"/>
        <v>0</v>
      </c>
      <c r="N119" s="2">
        <f t="shared" si="16"/>
        <v>2848112.3216877249</v>
      </c>
      <c r="P119" s="2">
        <f t="shared" si="28"/>
        <v>3833217.2326275818</v>
      </c>
      <c r="Q119" s="2">
        <v>3833217.2326275818</v>
      </c>
      <c r="R119" s="2">
        <v>1163126.7479565754</v>
      </c>
      <c r="S119" s="2">
        <f t="shared" si="17"/>
        <v>0</v>
      </c>
      <c r="T119" s="2">
        <f t="shared" si="18"/>
        <v>2670090.4846710064</v>
      </c>
      <c r="V119" s="11">
        <f t="shared" si="29"/>
        <v>3862973.0397763648</v>
      </c>
      <c r="W119" s="2">
        <v>3862973.0397763648</v>
      </c>
      <c r="X119" s="2">
        <v>1366779.5155930498</v>
      </c>
      <c r="Y119" s="2">
        <f t="shared" si="19"/>
        <v>0</v>
      </c>
      <c r="Z119" s="2">
        <f t="shared" si="20"/>
        <v>2496193.5241833152</v>
      </c>
      <c r="AB119" s="2">
        <f t="shared" si="30"/>
        <v>3878292.5233171913</v>
      </c>
      <c r="AC119" s="2">
        <v>3878292.5233171913</v>
      </c>
      <c r="AD119" s="2">
        <v>1570467.8658100229</v>
      </c>
      <c r="AE119" s="2">
        <f t="shared" si="21"/>
        <v>0</v>
      </c>
      <c r="AF119" s="2">
        <f t="shared" si="22"/>
        <v>2307824.6575071681</v>
      </c>
      <c r="AH119" s="2">
        <f t="shared" si="31"/>
        <v>3754788.2238247767</v>
      </c>
      <c r="AI119" s="2">
        <v>3754788.2238247767</v>
      </c>
      <c r="AJ119" s="2">
        <v>862747.66161798686</v>
      </c>
      <c r="AK119" s="2">
        <f t="shared" si="23"/>
        <v>0</v>
      </c>
      <c r="AL119" s="2">
        <v>1539696.5983189135</v>
      </c>
      <c r="AM119" s="2"/>
      <c r="AN119" s="2">
        <f t="shared" si="32"/>
        <v>3789667.8267629067</v>
      </c>
      <c r="AO119" s="2">
        <v>3789667.8267629067</v>
      </c>
      <c r="AP119" s="2">
        <v>959509.55837663065</v>
      </c>
      <c r="AQ119" s="2">
        <f t="shared" si="24"/>
        <v>0</v>
      </c>
      <c r="AR119" s="2">
        <v>1581607.6602364127</v>
      </c>
      <c r="AS119" s="2"/>
      <c r="AT119" s="2">
        <f t="shared" si="33"/>
        <v>3817964.0742610926</v>
      </c>
      <c r="AU119" s="2">
        <v>3817964.0742610926</v>
      </c>
      <c r="AV119" s="2">
        <v>1061988.4733701102</v>
      </c>
      <c r="AW119" s="2">
        <f t="shared" si="34"/>
        <v>0</v>
      </c>
      <c r="AX119" s="2">
        <v>1613357.5011545741</v>
      </c>
      <c r="AY119" s="2"/>
      <c r="AZ119" s="2">
        <f t="shared" si="35"/>
        <v>3840271.650281427</v>
      </c>
      <c r="BA119" s="2">
        <v>3840271.650281427</v>
      </c>
      <c r="BB119" s="2">
        <v>1164476.4001821596</v>
      </c>
      <c r="BC119" s="2">
        <f t="shared" si="36"/>
        <v>0</v>
      </c>
      <c r="BD119" s="2">
        <v>1641894.7631123951</v>
      </c>
    </row>
    <row r="120" spans="1:56" x14ac:dyDescent="0.35">
      <c r="A120">
        <v>2051</v>
      </c>
      <c r="B120">
        <v>2</v>
      </c>
      <c r="C120" s="15">
        <f t="shared" si="26"/>
        <v>4628850.6110536559</v>
      </c>
      <c r="D120" s="9">
        <v>55334</v>
      </c>
      <c r="E120" s="2">
        <v>4628850.6110536559</v>
      </c>
      <c r="F120" s="2">
        <v>720834.09195438656</v>
      </c>
      <c r="G120" s="10">
        <f t="shared" si="13"/>
        <v>0</v>
      </c>
      <c r="H120" s="10">
        <f t="shared" si="14"/>
        <v>3908016.5190992691</v>
      </c>
      <c r="I120" s="13" t="str">
        <f t="shared" si="25"/>
        <v/>
      </c>
      <c r="J120" s="14">
        <f t="shared" si="27"/>
        <v>5275534.2858571215</v>
      </c>
      <c r="K120" s="2">
        <v>5275534.2858571215</v>
      </c>
      <c r="L120" s="2">
        <v>899496.07489355304</v>
      </c>
      <c r="M120" s="2">
        <f t="shared" si="15"/>
        <v>0</v>
      </c>
      <c r="N120" s="2">
        <f t="shared" si="16"/>
        <v>4376038.2109635687</v>
      </c>
      <c r="P120" s="2">
        <f t="shared" si="28"/>
        <v>5414705.7993377596</v>
      </c>
      <c r="Q120" s="2">
        <v>5414705.7993377596</v>
      </c>
      <c r="R120" s="2">
        <v>1123858.0779172282</v>
      </c>
      <c r="S120" s="2">
        <f t="shared" si="17"/>
        <v>0</v>
      </c>
      <c r="T120" s="2">
        <f t="shared" si="18"/>
        <v>4290847.7214205312</v>
      </c>
      <c r="V120" s="11">
        <f t="shared" si="29"/>
        <v>5542064.3972075125</v>
      </c>
      <c r="W120" s="2">
        <v>5542064.3972075125</v>
      </c>
      <c r="X120" s="2">
        <v>1321614.200113825</v>
      </c>
      <c r="Y120" s="2">
        <f t="shared" si="19"/>
        <v>0</v>
      </c>
      <c r="Z120" s="2">
        <f t="shared" si="20"/>
        <v>4220450.197093688</v>
      </c>
      <c r="AB120" s="2">
        <f t="shared" si="30"/>
        <v>5662297.8147790087</v>
      </c>
      <c r="AC120" s="2">
        <v>5662297.8147790087</v>
      </c>
      <c r="AD120" s="2">
        <v>1519390.6557235403</v>
      </c>
      <c r="AE120" s="2">
        <f t="shared" si="21"/>
        <v>0</v>
      </c>
      <c r="AF120" s="2">
        <f t="shared" si="22"/>
        <v>4142907.1590554686</v>
      </c>
      <c r="AH120" s="2">
        <f t="shared" si="31"/>
        <v>5217264.0044086128</v>
      </c>
      <c r="AI120" s="2">
        <v>5217264.0044086128</v>
      </c>
      <c r="AJ120" s="2">
        <v>832150.32837209955</v>
      </c>
      <c r="AK120" s="2">
        <f t="shared" si="23"/>
        <v>0</v>
      </c>
      <c r="AL120" s="2">
        <v>1284530.7887876653</v>
      </c>
      <c r="AM120" s="2"/>
      <c r="AN120" s="2">
        <f t="shared" si="32"/>
        <v>5300342.1636405233</v>
      </c>
      <c r="AO120" s="2">
        <v>5300342.1636405233</v>
      </c>
      <c r="AP120" s="2">
        <v>926122.28460978181</v>
      </c>
      <c r="AQ120" s="2">
        <f t="shared" si="24"/>
        <v>0</v>
      </c>
      <c r="AR120" s="2">
        <v>1226478.6201201358</v>
      </c>
      <c r="AS120" s="2"/>
      <c r="AT120" s="2">
        <f t="shared" si="33"/>
        <v>5375421.3213182585</v>
      </c>
      <c r="AU120" s="2">
        <v>5375421.3213182585</v>
      </c>
      <c r="AV120" s="2">
        <v>1025642.9171767264</v>
      </c>
      <c r="AW120" s="2">
        <f t="shared" si="34"/>
        <v>0</v>
      </c>
      <c r="AX120" s="2">
        <v>1160103.9975020345</v>
      </c>
      <c r="AY120" s="2"/>
      <c r="AZ120" s="2">
        <f t="shared" si="35"/>
        <v>5447414.8350206465</v>
      </c>
      <c r="BA120" s="2">
        <v>5447414.8350206465</v>
      </c>
      <c r="BB120" s="2">
        <v>1125168.698568732</v>
      </c>
      <c r="BC120" s="2">
        <f t="shared" si="36"/>
        <v>0</v>
      </c>
      <c r="BD120" s="2">
        <v>1092374.7449561344</v>
      </c>
    </row>
    <row r="121" spans="1:56" x14ac:dyDescent="0.35">
      <c r="A121">
        <v>2051</v>
      </c>
      <c r="B121">
        <v>3</v>
      </c>
      <c r="C121" s="15">
        <f t="shared" si="26"/>
        <v>5117514.4888659241</v>
      </c>
      <c r="D121" s="9">
        <v>55426</v>
      </c>
      <c r="E121" s="2">
        <v>5117514.4888659241</v>
      </c>
      <c r="F121" s="2">
        <v>700290.22691054177</v>
      </c>
      <c r="G121" s="10">
        <f t="shared" si="13"/>
        <v>0</v>
      </c>
      <c r="H121" s="10">
        <f t="shared" si="14"/>
        <v>4417224.2619553823</v>
      </c>
      <c r="I121" s="13" t="str">
        <f t="shared" si="25"/>
        <v/>
      </c>
      <c r="J121" s="14">
        <f t="shared" si="27"/>
        <v>5723328.454659462</v>
      </c>
      <c r="K121" s="2">
        <v>5723328.454659462</v>
      </c>
      <c r="L121" s="2">
        <v>874627.97230614745</v>
      </c>
      <c r="M121" s="2">
        <f t="shared" si="15"/>
        <v>0</v>
      </c>
      <c r="N121" s="2">
        <f t="shared" si="16"/>
        <v>4848700.4823533148</v>
      </c>
      <c r="P121" s="2">
        <f t="shared" si="28"/>
        <v>5849866.2741751857</v>
      </c>
      <c r="Q121" s="2">
        <v>5849866.2741751857</v>
      </c>
      <c r="R121" s="2">
        <v>1093542.5739519119</v>
      </c>
      <c r="S121" s="2">
        <f t="shared" si="17"/>
        <v>0</v>
      </c>
      <c r="T121" s="2">
        <f t="shared" si="18"/>
        <v>4756323.7002232736</v>
      </c>
      <c r="V121" s="11">
        <f t="shared" si="29"/>
        <v>5960033.2539573321</v>
      </c>
      <c r="W121" s="2">
        <v>5960033.2539573321</v>
      </c>
      <c r="X121" s="2">
        <v>1286481.5236225936</v>
      </c>
      <c r="Y121" s="2">
        <f t="shared" si="19"/>
        <v>0</v>
      </c>
      <c r="Z121" s="2">
        <f t="shared" si="20"/>
        <v>4673551.7303347383</v>
      </c>
      <c r="AB121" s="2">
        <f t="shared" si="30"/>
        <v>6042048.9390618056</v>
      </c>
      <c r="AC121" s="2">
        <v>6042048.9390618056</v>
      </c>
      <c r="AD121" s="2">
        <v>1479425.5575390134</v>
      </c>
      <c r="AE121" s="2">
        <f t="shared" si="21"/>
        <v>0</v>
      </c>
      <c r="AF121" s="2">
        <f t="shared" si="22"/>
        <v>4562623.3815227924</v>
      </c>
      <c r="AH121" s="2">
        <f t="shared" si="31"/>
        <v>5673832.6364868507</v>
      </c>
      <c r="AI121" s="2">
        <v>5673832.6364868507</v>
      </c>
      <c r="AJ121" s="2">
        <v>808913.64069844456</v>
      </c>
      <c r="AK121" s="2">
        <f t="shared" si="23"/>
        <v>0</v>
      </c>
      <c r="AL121" s="2">
        <v>1324883.7889367226</v>
      </c>
      <c r="AM121" s="2"/>
      <c r="AN121" s="2">
        <f t="shared" si="32"/>
        <v>5754237.1883733245</v>
      </c>
      <c r="AO121" s="2">
        <v>5754237.1883733245</v>
      </c>
      <c r="AP121" s="2">
        <v>900608.70400300156</v>
      </c>
      <c r="AQ121" s="2">
        <f t="shared" si="24"/>
        <v>0</v>
      </c>
      <c r="AR121" s="2">
        <v>1266689.1891899332</v>
      </c>
      <c r="AS121" s="2"/>
      <c r="AT121" s="2">
        <f t="shared" si="33"/>
        <v>5826342.8400439387</v>
      </c>
      <c r="AU121" s="2">
        <v>5826342.8400439387</v>
      </c>
      <c r="AV121" s="2">
        <v>997714.36786446488</v>
      </c>
      <c r="AW121" s="2">
        <f t="shared" si="34"/>
        <v>0</v>
      </c>
      <c r="AX121" s="2">
        <v>1199393.9441756448</v>
      </c>
      <c r="AY121" s="2"/>
      <c r="AZ121" s="2">
        <f t="shared" si="35"/>
        <v>5886972.2612037547</v>
      </c>
      <c r="BA121" s="2">
        <v>5886972.2612037547</v>
      </c>
      <c r="BB121" s="2">
        <v>1094821.31755748</v>
      </c>
      <c r="BC121" s="2">
        <f t="shared" si="36"/>
        <v>0</v>
      </c>
      <c r="BD121" s="2">
        <v>1128180.2151395089</v>
      </c>
    </row>
    <row r="122" spans="1:56" x14ac:dyDescent="0.35">
      <c r="A122">
        <v>2051</v>
      </c>
      <c r="B122">
        <v>4</v>
      </c>
      <c r="C122" s="15">
        <f t="shared" si="26"/>
        <v>3294493.6265664441</v>
      </c>
      <c r="D122" s="9">
        <v>55518</v>
      </c>
      <c r="E122" s="2">
        <v>3294493.6265664441</v>
      </c>
      <c r="F122" s="2">
        <v>379829.00456887292</v>
      </c>
      <c r="G122" s="10">
        <f t="shared" si="13"/>
        <v>0</v>
      </c>
      <c r="H122" s="10">
        <f t="shared" si="14"/>
        <v>2914664.6219975711</v>
      </c>
      <c r="I122" s="13" t="str">
        <f t="shared" si="25"/>
        <v/>
      </c>
      <c r="J122" s="14">
        <f t="shared" si="27"/>
        <v>3498060.0967255081</v>
      </c>
      <c r="K122" s="2">
        <v>3498060.0967255081</v>
      </c>
      <c r="L122" s="2">
        <v>506075.38329326233</v>
      </c>
      <c r="M122" s="2">
        <f t="shared" si="15"/>
        <v>0</v>
      </c>
      <c r="N122" s="2">
        <f t="shared" si="16"/>
        <v>2991984.7134322459</v>
      </c>
      <c r="P122" s="2">
        <f t="shared" si="28"/>
        <v>3493135.8296439243</v>
      </c>
      <c r="Q122" s="2">
        <v>3493135.8296439243</v>
      </c>
      <c r="R122" s="2">
        <v>664615.09954809316</v>
      </c>
      <c r="S122" s="2">
        <f t="shared" si="17"/>
        <v>0</v>
      </c>
      <c r="T122" s="2">
        <f t="shared" si="18"/>
        <v>2828520.7300958312</v>
      </c>
      <c r="V122" s="11">
        <f t="shared" si="29"/>
        <v>3482209.70259907</v>
      </c>
      <c r="W122" s="2">
        <v>3482209.70259907</v>
      </c>
      <c r="X122" s="2">
        <v>804355.11852472147</v>
      </c>
      <c r="Y122" s="2">
        <f t="shared" si="19"/>
        <v>0</v>
      </c>
      <c r="Z122" s="2">
        <f t="shared" si="20"/>
        <v>2677854.5840743487</v>
      </c>
      <c r="AB122" s="2">
        <f t="shared" si="30"/>
        <v>3465611.2005590266</v>
      </c>
      <c r="AC122" s="2">
        <v>3465611.2005590266</v>
      </c>
      <c r="AD122" s="2">
        <v>944110.13784757862</v>
      </c>
      <c r="AE122" s="2">
        <f t="shared" si="21"/>
        <v>0</v>
      </c>
      <c r="AF122" s="2">
        <f t="shared" si="22"/>
        <v>2521501.0627114479</v>
      </c>
      <c r="AH122" s="2">
        <f t="shared" si="31"/>
        <v>3496403.4687172081</v>
      </c>
      <c r="AI122" s="2">
        <v>3496403.4687172081</v>
      </c>
      <c r="AJ122" s="2">
        <v>458487.37830660894</v>
      </c>
      <c r="AK122" s="2">
        <f t="shared" si="23"/>
        <v>0</v>
      </c>
      <c r="AL122" s="2">
        <v>1132612.6107333973</v>
      </c>
      <c r="AM122" s="2"/>
      <c r="AN122" s="2">
        <f t="shared" si="32"/>
        <v>3497235.7471043211</v>
      </c>
      <c r="AO122" s="2">
        <v>3497235.7471043211</v>
      </c>
      <c r="AP122" s="2">
        <v>524890.0763937278</v>
      </c>
      <c r="AQ122" s="2">
        <f t="shared" si="24"/>
        <v>0</v>
      </c>
      <c r="AR122" s="2">
        <v>1121466.7921561017</v>
      </c>
      <c r="AS122" s="2"/>
      <c r="AT122" s="2">
        <f t="shared" si="33"/>
        <v>3494411.557004326</v>
      </c>
      <c r="AU122" s="2">
        <v>3494411.557004326</v>
      </c>
      <c r="AV122" s="2">
        <v>595213.7486624124</v>
      </c>
      <c r="AW122" s="2">
        <f t="shared" si="34"/>
        <v>0</v>
      </c>
      <c r="AX122" s="2">
        <v>1103690.8491848579</v>
      </c>
      <c r="AY122" s="2"/>
      <c r="AZ122" s="2">
        <f t="shared" si="35"/>
        <v>3489894.9261512347</v>
      </c>
      <c r="BA122" s="2">
        <v>3489894.9261512347</v>
      </c>
      <c r="BB122" s="2">
        <v>665541.21875762311</v>
      </c>
      <c r="BC122" s="2">
        <f t="shared" si="36"/>
        <v>0</v>
      </c>
      <c r="BD122" s="2">
        <v>1082594.288808225</v>
      </c>
    </row>
    <row r="123" spans="1:56" x14ac:dyDescent="0.35">
      <c r="A123">
        <v>2052</v>
      </c>
      <c r="B123">
        <v>1</v>
      </c>
      <c r="C123" s="15">
        <f t="shared" si="26"/>
        <v>3457141.7093742862</v>
      </c>
      <c r="D123" s="9">
        <v>55609</v>
      </c>
      <c r="E123" s="2">
        <v>3457141.7093742862</v>
      </c>
      <c r="F123" s="2">
        <v>216326.24271799048</v>
      </c>
      <c r="G123" s="10">
        <f t="shared" si="13"/>
        <v>0</v>
      </c>
      <c r="H123" s="10">
        <f t="shared" si="14"/>
        <v>3240815.4666562956</v>
      </c>
      <c r="I123" s="13" t="str">
        <f t="shared" si="25"/>
        <v/>
      </c>
      <c r="J123" s="14">
        <f t="shared" si="27"/>
        <v>3823563.0750045106</v>
      </c>
      <c r="K123" s="2">
        <v>3823563.0750045106</v>
      </c>
      <c r="L123" s="2">
        <v>317821.81888518279</v>
      </c>
      <c r="M123" s="2">
        <f t="shared" si="15"/>
        <v>0</v>
      </c>
      <c r="N123" s="2">
        <f t="shared" si="16"/>
        <v>3505741.2561193276</v>
      </c>
      <c r="P123" s="2">
        <f t="shared" si="28"/>
        <v>3876004.5609696903</v>
      </c>
      <c r="Q123" s="2">
        <v>3876004.5609696903</v>
      </c>
      <c r="R123" s="2">
        <v>445265.33571870584</v>
      </c>
      <c r="S123" s="2">
        <f t="shared" si="17"/>
        <v>0</v>
      </c>
      <c r="T123" s="2">
        <f t="shared" si="18"/>
        <v>3430739.2252509845</v>
      </c>
      <c r="V123" s="11">
        <f t="shared" si="29"/>
        <v>3904313.6215643878</v>
      </c>
      <c r="W123" s="2">
        <v>3904313.6215643878</v>
      </c>
      <c r="X123" s="2">
        <v>557583.41726444359</v>
      </c>
      <c r="Y123" s="2">
        <f t="shared" si="19"/>
        <v>0</v>
      </c>
      <c r="Z123" s="2">
        <f t="shared" si="20"/>
        <v>3346730.2042999445</v>
      </c>
      <c r="AB123" s="2">
        <f t="shared" si="30"/>
        <v>3919490.3242323846</v>
      </c>
      <c r="AC123" s="2">
        <v>3919490.3242323846</v>
      </c>
      <c r="AD123" s="2">
        <v>669901.24998902983</v>
      </c>
      <c r="AE123" s="2">
        <f t="shared" si="21"/>
        <v>0</v>
      </c>
      <c r="AF123" s="2">
        <f t="shared" si="22"/>
        <v>3249589.0742433546</v>
      </c>
      <c r="AH123" s="2">
        <f t="shared" si="31"/>
        <v>3798007.8257539254</v>
      </c>
      <c r="AI123" s="2">
        <v>3798007.8257539254</v>
      </c>
      <c r="AJ123" s="2">
        <v>279564.69832046609</v>
      </c>
      <c r="AK123" s="2">
        <f t="shared" si="23"/>
        <v>0</v>
      </c>
      <c r="AL123" s="2">
        <v>2148471.562443865</v>
      </c>
      <c r="AM123" s="2"/>
      <c r="AN123" s="2">
        <f t="shared" si="32"/>
        <v>3832352.4189290269</v>
      </c>
      <c r="AO123" s="2">
        <v>3832352.4189290269</v>
      </c>
      <c r="AP123" s="2">
        <v>332947.00082785194</v>
      </c>
      <c r="AQ123" s="2">
        <f t="shared" si="24"/>
        <v>0</v>
      </c>
      <c r="AR123" s="2">
        <v>2233436.6700981027</v>
      </c>
      <c r="AS123" s="2"/>
      <c r="AT123" s="2">
        <f t="shared" si="33"/>
        <v>3860390.5207617166</v>
      </c>
      <c r="AU123" s="2">
        <v>3860390.5207617166</v>
      </c>
      <c r="AV123" s="2">
        <v>389478.41203363845</v>
      </c>
      <c r="AW123" s="2">
        <f t="shared" si="34"/>
        <v>0</v>
      </c>
      <c r="AX123" s="2">
        <v>2310582.5615096688</v>
      </c>
      <c r="AY123" s="2"/>
      <c r="AZ123" s="2">
        <f t="shared" si="35"/>
        <v>3882416.0796125899</v>
      </c>
      <c r="BA123" s="2">
        <v>3882416.0796125899</v>
      </c>
      <c r="BB123" s="2">
        <v>446009.75807244133</v>
      </c>
      <c r="BC123" s="2">
        <f t="shared" si="36"/>
        <v>0</v>
      </c>
      <c r="BD123" s="2">
        <v>2384791.5569888703</v>
      </c>
    </row>
    <row r="124" spans="1:56" x14ac:dyDescent="0.35">
      <c r="A124">
        <v>2052</v>
      </c>
      <c r="B124">
        <v>2</v>
      </c>
      <c r="C124" s="15">
        <f t="shared" si="26"/>
        <v>4731902.7122075297</v>
      </c>
      <c r="D124" s="9">
        <v>55700</v>
      </c>
      <c r="E124" s="2">
        <v>4731902.7122075297</v>
      </c>
      <c r="F124" s="2">
        <v>214892.43418306787</v>
      </c>
      <c r="G124" s="10">
        <f t="shared" si="13"/>
        <v>0</v>
      </c>
      <c r="H124" s="10">
        <f t="shared" si="14"/>
        <v>4517010.2780244621</v>
      </c>
      <c r="I124" s="13" t="str">
        <f t="shared" si="25"/>
        <v/>
      </c>
      <c r="J124" s="14">
        <f t="shared" si="27"/>
        <v>5409061.7917770902</v>
      </c>
      <c r="K124" s="2">
        <v>5409061.7917770902</v>
      </c>
      <c r="L124" s="2">
        <v>315048.12005005952</v>
      </c>
      <c r="M124" s="2">
        <f t="shared" si="15"/>
        <v>0</v>
      </c>
      <c r="N124" s="2">
        <f t="shared" si="16"/>
        <v>5094013.6717270305</v>
      </c>
      <c r="P124" s="2">
        <f t="shared" si="28"/>
        <v>5549868.3801750746</v>
      </c>
      <c r="Q124" s="2">
        <v>5549868.3801750746</v>
      </c>
      <c r="R124" s="2">
        <v>440791.55766606505</v>
      </c>
      <c r="S124" s="2">
        <f t="shared" si="17"/>
        <v>0</v>
      </c>
      <c r="T124" s="2">
        <f t="shared" si="18"/>
        <v>5109076.8225090094</v>
      </c>
      <c r="V124" s="11">
        <f t="shared" si="29"/>
        <v>5677927.8834435074</v>
      </c>
      <c r="W124" s="2">
        <v>5677927.8834435074</v>
      </c>
      <c r="X124" s="2">
        <v>551595.05171601544</v>
      </c>
      <c r="Y124" s="2">
        <f t="shared" si="19"/>
        <v>0</v>
      </c>
      <c r="Z124" s="2">
        <f t="shared" si="20"/>
        <v>5126332.8317274917</v>
      </c>
      <c r="AB124" s="2">
        <f t="shared" si="30"/>
        <v>5799462.5267089186</v>
      </c>
      <c r="AC124" s="2">
        <v>5799462.5267089186</v>
      </c>
      <c r="AD124" s="2">
        <v>662383.04777743411</v>
      </c>
      <c r="AE124" s="2">
        <f t="shared" si="21"/>
        <v>0</v>
      </c>
      <c r="AF124" s="2">
        <f t="shared" si="22"/>
        <v>5137079.4789314847</v>
      </c>
      <c r="AH124" s="2">
        <f t="shared" si="31"/>
        <v>5350100.6393406568</v>
      </c>
      <c r="AI124" s="2">
        <v>5350100.6393406568</v>
      </c>
      <c r="AJ124" s="2">
        <v>277297.51206790132</v>
      </c>
      <c r="AK124" s="2">
        <f t="shared" si="23"/>
        <v>0</v>
      </c>
      <c r="AL124" s="2">
        <v>1831172.633031535</v>
      </c>
      <c r="AM124" s="2"/>
      <c r="AN124" s="2">
        <f t="shared" si="32"/>
        <v>5433863.8732193401</v>
      </c>
      <c r="AO124" s="2">
        <v>5433863.8732193401</v>
      </c>
      <c r="AP124" s="2">
        <v>329972.5611036194</v>
      </c>
      <c r="AQ124" s="2">
        <f t="shared" si="24"/>
        <v>0</v>
      </c>
      <c r="AR124" s="2">
        <v>1813242.6181266822</v>
      </c>
      <c r="AS124" s="2"/>
      <c r="AT124" s="2">
        <f t="shared" si="33"/>
        <v>5508957.5630518459</v>
      </c>
      <c r="AU124" s="2">
        <v>5508957.5630518459</v>
      </c>
      <c r="AV124" s="2">
        <v>385751.24055179604</v>
      </c>
      <c r="AW124" s="2">
        <f t="shared" si="34"/>
        <v>0</v>
      </c>
      <c r="AX124" s="2">
        <v>1789368.0719183541</v>
      </c>
      <c r="AY124" s="2"/>
      <c r="AZ124" s="2">
        <f t="shared" si="35"/>
        <v>5581096.9827329544</v>
      </c>
      <c r="BA124" s="2">
        <v>5581096.9827329544</v>
      </c>
      <c r="BB124" s="2">
        <v>441525.9918394796</v>
      </c>
      <c r="BC124" s="2">
        <f t="shared" si="36"/>
        <v>0</v>
      </c>
      <c r="BD124" s="2">
        <v>1764197.9577451572</v>
      </c>
    </row>
    <row r="125" spans="1:56" x14ac:dyDescent="0.35">
      <c r="A125">
        <v>2052</v>
      </c>
      <c r="B125">
        <v>3</v>
      </c>
      <c r="C125" s="15">
        <f t="shared" si="26"/>
        <v>5231445.7139315316</v>
      </c>
      <c r="D125" s="9">
        <v>55792</v>
      </c>
      <c r="E125" s="2">
        <v>5231445.7139315316</v>
      </c>
      <c r="F125" s="2">
        <v>213458.62564814533</v>
      </c>
      <c r="G125" s="10">
        <f t="shared" si="13"/>
        <v>0</v>
      </c>
      <c r="H125" s="10">
        <f t="shared" si="14"/>
        <v>5017987.0882833861</v>
      </c>
      <c r="I125" s="13" t="str">
        <f t="shared" si="25"/>
        <v/>
      </c>
      <c r="J125" s="14">
        <f t="shared" si="27"/>
        <v>5864115.2941560354</v>
      </c>
      <c r="K125" s="2">
        <v>5864115.2941560354</v>
      </c>
      <c r="L125" s="2">
        <v>312274.4212149363</v>
      </c>
      <c r="M125" s="2">
        <f t="shared" si="15"/>
        <v>0</v>
      </c>
      <c r="N125" s="2">
        <f t="shared" si="16"/>
        <v>5551840.8729410991</v>
      </c>
      <c r="P125" s="2">
        <f t="shared" si="28"/>
        <v>5991160.8506816681</v>
      </c>
      <c r="Q125" s="2">
        <v>5991160.8506816681</v>
      </c>
      <c r="R125" s="2">
        <v>436317.77961342427</v>
      </c>
      <c r="S125" s="2">
        <f t="shared" si="17"/>
        <v>0</v>
      </c>
      <c r="T125" s="2">
        <f t="shared" si="18"/>
        <v>5554843.0710682441</v>
      </c>
      <c r="V125" s="11">
        <f t="shared" si="29"/>
        <v>6101767.1977643408</v>
      </c>
      <c r="W125" s="2">
        <v>6101767.1977643408</v>
      </c>
      <c r="X125" s="2">
        <v>545606.68616758741</v>
      </c>
      <c r="Y125" s="2">
        <f t="shared" si="19"/>
        <v>0</v>
      </c>
      <c r="Z125" s="2">
        <f t="shared" si="20"/>
        <v>5556160.5115967533</v>
      </c>
      <c r="AB125" s="2">
        <f t="shared" si="30"/>
        <v>6182480.1175645981</v>
      </c>
      <c r="AC125" s="2">
        <v>6182480.1175645981</v>
      </c>
      <c r="AD125" s="2">
        <v>654864.84556583839</v>
      </c>
      <c r="AE125" s="2">
        <f t="shared" si="21"/>
        <v>0</v>
      </c>
      <c r="AF125" s="2">
        <f t="shared" si="22"/>
        <v>5527615.2719987594</v>
      </c>
      <c r="AH125" s="2">
        <f t="shared" si="31"/>
        <v>5814133.9319687346</v>
      </c>
      <c r="AI125" s="2">
        <v>5814133.9319687346</v>
      </c>
      <c r="AJ125" s="2">
        <v>275030.32581533649</v>
      </c>
      <c r="AK125" s="2">
        <f t="shared" si="23"/>
        <v>0</v>
      </c>
      <c r="AL125" s="2">
        <v>1853178.9603659862</v>
      </c>
      <c r="AM125" s="2"/>
      <c r="AN125" s="2">
        <f t="shared" si="32"/>
        <v>5894450.5303567648</v>
      </c>
      <c r="AO125" s="2">
        <v>5894450.5303567648</v>
      </c>
      <c r="AP125" s="2">
        <v>326998.12137938687</v>
      </c>
      <c r="AQ125" s="2">
        <f t="shared" si="24"/>
        <v>0</v>
      </c>
      <c r="AR125" s="2">
        <v>1834500.4019117553</v>
      </c>
      <c r="AS125" s="2"/>
      <c r="AT125" s="2">
        <f t="shared" si="33"/>
        <v>5966505.7550547086</v>
      </c>
      <c r="AU125" s="2">
        <v>5966505.7550547086</v>
      </c>
      <c r="AV125" s="2">
        <v>382024.06906995364</v>
      </c>
      <c r="AW125" s="2">
        <f t="shared" si="34"/>
        <v>0</v>
      </c>
      <c r="AX125" s="2">
        <v>1809051.2577131917</v>
      </c>
      <c r="AY125" s="2"/>
      <c r="AZ125" s="2">
        <f t="shared" si="35"/>
        <v>6026562.5883963592</v>
      </c>
      <c r="BA125" s="2">
        <v>6026562.5883963592</v>
      </c>
      <c r="BB125" s="2">
        <v>437042.22560651792</v>
      </c>
      <c r="BC125" s="2">
        <f t="shared" si="36"/>
        <v>0</v>
      </c>
      <c r="BD125" s="2">
        <v>1779850.1542387521</v>
      </c>
    </row>
    <row r="126" spans="1:56" x14ac:dyDescent="0.35">
      <c r="A126">
        <v>2052</v>
      </c>
      <c r="B126">
        <v>4</v>
      </c>
      <c r="C126" s="15">
        <f t="shared" si="26"/>
        <v>3367838.9381746859</v>
      </c>
      <c r="D126" s="9">
        <v>55884</v>
      </c>
      <c r="E126" s="2">
        <v>3367838.9381746859</v>
      </c>
      <c r="F126" s="2">
        <v>217187.22358387033</v>
      </c>
      <c r="G126" s="10">
        <f t="shared" si="13"/>
        <v>0</v>
      </c>
      <c r="H126" s="10">
        <f t="shared" si="14"/>
        <v>3150651.7145908158</v>
      </c>
      <c r="I126" s="13" t="str">
        <f t="shared" si="25"/>
        <v/>
      </c>
      <c r="J126" s="14">
        <f t="shared" si="27"/>
        <v>3577612.1633814294</v>
      </c>
      <c r="K126" s="2">
        <v>3577612.1633814294</v>
      </c>
      <c r="L126" s="2">
        <v>314795.31014529988</v>
      </c>
      <c r="M126" s="2">
        <f t="shared" si="15"/>
        <v>0</v>
      </c>
      <c r="N126" s="2">
        <f t="shared" si="16"/>
        <v>3262816.8532361295</v>
      </c>
      <c r="P126" s="2">
        <f t="shared" si="28"/>
        <v>3570534.8210066799</v>
      </c>
      <c r="Q126" s="2">
        <v>3570534.8210066799</v>
      </c>
      <c r="R126" s="2">
        <v>437334.53793642635</v>
      </c>
      <c r="S126" s="2">
        <f t="shared" si="17"/>
        <v>0</v>
      </c>
      <c r="T126" s="2">
        <f t="shared" si="18"/>
        <v>3133200.2830702537</v>
      </c>
      <c r="V126" s="11">
        <f t="shared" si="29"/>
        <v>3557948.3279797118</v>
      </c>
      <c r="W126" s="2">
        <v>3557948.3279797118</v>
      </c>
      <c r="X126" s="2">
        <v>545309.21564378787</v>
      </c>
      <c r="Y126" s="2">
        <f t="shared" si="19"/>
        <v>0</v>
      </c>
      <c r="Z126" s="2">
        <f t="shared" si="20"/>
        <v>3012639.1123359241</v>
      </c>
      <c r="AB126" s="2">
        <f t="shared" si="30"/>
        <v>3539920.0043810317</v>
      </c>
      <c r="AC126" s="2">
        <v>3539920.0043810317</v>
      </c>
      <c r="AD126" s="2">
        <v>653263.81725376379</v>
      </c>
      <c r="AE126" s="2">
        <f t="shared" si="21"/>
        <v>0</v>
      </c>
      <c r="AF126" s="2">
        <f t="shared" si="22"/>
        <v>2886656.1871272679</v>
      </c>
      <c r="AH126" s="2">
        <f t="shared" si="31"/>
        <v>3576938.4537028777</v>
      </c>
      <c r="AI126" s="2">
        <v>3576938.4537028777</v>
      </c>
      <c r="AJ126" s="2">
        <v>278005.41827197658</v>
      </c>
      <c r="AK126" s="2">
        <f t="shared" si="23"/>
        <v>0</v>
      </c>
      <c r="AL126" s="2">
        <v>1306836.3184908838</v>
      </c>
      <c r="AM126" s="2"/>
      <c r="AN126" s="2">
        <f t="shared" si="32"/>
        <v>3575876.8448732542</v>
      </c>
      <c r="AO126" s="2">
        <v>3575876.8448732542</v>
      </c>
      <c r="AP126" s="2">
        <v>329339.77960771858</v>
      </c>
      <c r="AQ126" s="2">
        <f t="shared" si="24"/>
        <v>0</v>
      </c>
      <c r="AR126" s="2">
        <v>1309388.8516717458</v>
      </c>
      <c r="AS126" s="2"/>
      <c r="AT126" s="2">
        <f t="shared" si="33"/>
        <v>3572297.4699132033</v>
      </c>
      <c r="AU126" s="2">
        <v>3572297.4699132033</v>
      </c>
      <c r="AV126" s="2">
        <v>383697.55293759692</v>
      </c>
      <c r="AW126" s="2">
        <f t="shared" si="34"/>
        <v>0</v>
      </c>
      <c r="AX126" s="2">
        <v>1306765.5308828093</v>
      </c>
      <c r="AY126" s="2"/>
      <c r="AZ126" s="2">
        <f t="shared" si="35"/>
        <v>3567189.2083483734</v>
      </c>
      <c r="BA126" s="2">
        <v>3567189.2083483734</v>
      </c>
      <c r="BB126" s="2">
        <v>438050.23835810157</v>
      </c>
      <c r="BC126" s="2">
        <f t="shared" si="36"/>
        <v>0</v>
      </c>
      <c r="BD126" s="2">
        <v>1301210.2979295834</v>
      </c>
    </row>
    <row r="127" spans="1:56" x14ac:dyDescent="0.35">
      <c r="A127">
        <v>2053</v>
      </c>
      <c r="B127">
        <v>1</v>
      </c>
      <c r="C127" s="15">
        <f t="shared" si="26"/>
        <v>3489582.0732560144</v>
      </c>
      <c r="D127" s="9">
        <v>55974</v>
      </c>
      <c r="E127" s="2">
        <v>3489582.0732560144</v>
      </c>
      <c r="F127" s="2">
        <v>215960.2629340858</v>
      </c>
      <c r="G127" s="10">
        <f t="shared" si="13"/>
        <v>0</v>
      </c>
      <c r="H127" s="10">
        <f t="shared" si="14"/>
        <v>3273621.8103219285</v>
      </c>
      <c r="I127" s="13" t="str">
        <f t="shared" si="25"/>
        <v/>
      </c>
      <c r="J127" s="14">
        <f t="shared" si="27"/>
        <v>3867418.6341705467</v>
      </c>
      <c r="K127" s="2">
        <v>3867418.6341705467</v>
      </c>
      <c r="L127" s="2">
        <v>312276.77853801096</v>
      </c>
      <c r="M127" s="2">
        <f t="shared" si="15"/>
        <v>0</v>
      </c>
      <c r="N127" s="2">
        <f t="shared" si="16"/>
        <v>3555141.8556325356</v>
      </c>
      <c r="P127" s="2">
        <f t="shared" si="28"/>
        <v>3919269.4921596292</v>
      </c>
      <c r="Q127" s="2">
        <v>3919269.4921596292</v>
      </c>
      <c r="R127" s="2">
        <v>433176.59972405271</v>
      </c>
      <c r="S127" s="2">
        <f t="shared" si="17"/>
        <v>0</v>
      </c>
      <c r="T127" s="2">
        <f t="shared" si="18"/>
        <v>3486092.8924355768</v>
      </c>
      <c r="V127" s="11">
        <f t="shared" si="29"/>
        <v>3946096.6200312166</v>
      </c>
      <c r="W127" s="2">
        <v>3946096.6200312166</v>
      </c>
      <c r="X127" s="2">
        <v>539690.16184249346</v>
      </c>
      <c r="Y127" s="2">
        <f t="shared" si="19"/>
        <v>0</v>
      </c>
      <c r="Z127" s="2">
        <f t="shared" si="20"/>
        <v>3406406.4581887233</v>
      </c>
      <c r="AB127" s="2">
        <f t="shared" si="30"/>
        <v>3961125.7555712871</v>
      </c>
      <c r="AC127" s="2">
        <v>3961125.7555712871</v>
      </c>
      <c r="AD127" s="2">
        <v>646168.39869616821</v>
      </c>
      <c r="AE127" s="2">
        <f t="shared" si="21"/>
        <v>0</v>
      </c>
      <c r="AF127" s="2">
        <f t="shared" si="22"/>
        <v>3314957.3568751188</v>
      </c>
      <c r="AH127" s="2">
        <f t="shared" si="31"/>
        <v>3841724.908201166</v>
      </c>
      <c r="AI127" s="2">
        <v>3841724.908201166</v>
      </c>
      <c r="AJ127" s="2">
        <v>275975.18603785441</v>
      </c>
      <c r="AK127" s="2">
        <f t="shared" si="23"/>
        <v>0</v>
      </c>
      <c r="AL127" s="2">
        <v>2109770.0480792434</v>
      </c>
      <c r="AM127" s="2"/>
      <c r="AN127" s="2">
        <f t="shared" si="32"/>
        <v>3875517.7852663086</v>
      </c>
      <c r="AO127" s="2">
        <v>3875517.7852663086</v>
      </c>
      <c r="AP127" s="2">
        <v>326627.7078168866</v>
      </c>
      <c r="AQ127" s="2">
        <f t="shared" si="24"/>
        <v>0</v>
      </c>
      <c r="AR127" s="2">
        <v>2193550.3651404013</v>
      </c>
      <c r="AS127" s="2"/>
      <c r="AT127" s="2">
        <f t="shared" si="33"/>
        <v>3903288.4236007617</v>
      </c>
      <c r="AU127" s="2">
        <v>3903288.4236007617</v>
      </c>
      <c r="AV127" s="2">
        <v>380259.66254308017</v>
      </c>
      <c r="AW127" s="2">
        <f t="shared" si="34"/>
        <v>0</v>
      </c>
      <c r="AX127" s="2">
        <v>2269703.2513763444</v>
      </c>
      <c r="AY127" s="2"/>
      <c r="AZ127" s="2">
        <f t="shared" si="35"/>
        <v>3925023.0160488212</v>
      </c>
      <c r="BA127" s="2">
        <v>3925023.0160488212</v>
      </c>
      <c r="BB127" s="2">
        <v>433882.66636639077</v>
      </c>
      <c r="BC127" s="2">
        <f t="shared" si="36"/>
        <v>0</v>
      </c>
      <c r="BD127" s="2">
        <v>2343314.9218073506</v>
      </c>
    </row>
    <row r="128" spans="1:56" x14ac:dyDescent="0.35">
      <c r="A128">
        <v>2053</v>
      </c>
      <c r="B128">
        <v>2</v>
      </c>
      <c r="C128" s="15">
        <f t="shared" si="26"/>
        <v>4837249.0622893916</v>
      </c>
      <c r="D128" s="9">
        <v>56065</v>
      </c>
      <c r="E128" s="2">
        <v>4837249.0622893916</v>
      </c>
      <c r="F128" s="2">
        <v>214733.3022843012</v>
      </c>
      <c r="G128" s="10">
        <f t="shared" si="13"/>
        <v>0</v>
      </c>
      <c r="H128" s="10">
        <f t="shared" si="14"/>
        <v>4622515.7600050904</v>
      </c>
      <c r="I128" s="13" t="str">
        <f t="shared" si="25"/>
        <v/>
      </c>
      <c r="J128" s="14">
        <f t="shared" si="27"/>
        <v>5545968.9733604351</v>
      </c>
      <c r="K128" s="2">
        <v>5545968.9733604351</v>
      </c>
      <c r="L128" s="2">
        <v>309758.24693072203</v>
      </c>
      <c r="M128" s="2">
        <f t="shared" si="15"/>
        <v>0</v>
      </c>
      <c r="N128" s="2">
        <f t="shared" si="16"/>
        <v>5236210.726429713</v>
      </c>
      <c r="P128" s="2">
        <f t="shared" si="28"/>
        <v>5688404.906695798</v>
      </c>
      <c r="Q128" s="2">
        <v>5688404.906695798</v>
      </c>
      <c r="R128" s="2">
        <v>429018.66151167901</v>
      </c>
      <c r="S128" s="2">
        <f t="shared" si="17"/>
        <v>0</v>
      </c>
      <c r="T128" s="2">
        <f t="shared" si="18"/>
        <v>5259386.2451841189</v>
      </c>
      <c r="V128" s="11">
        <f t="shared" si="29"/>
        <v>5817122.0575909419</v>
      </c>
      <c r="W128" s="2">
        <v>5817122.0575909419</v>
      </c>
      <c r="X128" s="2">
        <v>534071.10804119892</v>
      </c>
      <c r="Y128" s="2">
        <f t="shared" si="19"/>
        <v>0</v>
      </c>
      <c r="Z128" s="2">
        <f t="shared" si="20"/>
        <v>5283050.949549743</v>
      </c>
      <c r="AB128" s="2">
        <f t="shared" si="30"/>
        <v>5939949.9459237941</v>
      </c>
      <c r="AC128" s="2">
        <v>5939949.9459237941</v>
      </c>
      <c r="AD128" s="2">
        <v>639072.98013857263</v>
      </c>
      <c r="AE128" s="2">
        <f t="shared" si="21"/>
        <v>0</v>
      </c>
      <c r="AF128" s="2">
        <f t="shared" si="22"/>
        <v>5300876.9657852212</v>
      </c>
      <c r="AH128" s="2">
        <f t="shared" si="31"/>
        <v>5486319.4246804919</v>
      </c>
      <c r="AI128" s="2">
        <v>5486319.4246804919</v>
      </c>
      <c r="AJ128" s="2">
        <v>273944.95380373223</v>
      </c>
      <c r="AK128" s="2">
        <f t="shared" si="23"/>
        <v>0</v>
      </c>
      <c r="AL128" s="2">
        <v>1830011.0564302744</v>
      </c>
      <c r="AM128" s="2"/>
      <c r="AN128" s="2">
        <f t="shared" si="32"/>
        <v>5570749.1480885539</v>
      </c>
      <c r="AO128" s="2">
        <v>5570749.1480885539</v>
      </c>
      <c r="AP128" s="2">
        <v>323915.63602605468</v>
      </c>
      <c r="AQ128" s="2">
        <f t="shared" si="24"/>
        <v>0</v>
      </c>
      <c r="AR128" s="2">
        <v>1814534.6047020489</v>
      </c>
      <c r="AS128" s="2"/>
      <c r="AT128" s="2">
        <f t="shared" si="33"/>
        <v>5645811.1127303215</v>
      </c>
      <c r="AU128" s="2">
        <v>5645811.1127303215</v>
      </c>
      <c r="AV128" s="2">
        <v>376821.77214856353</v>
      </c>
      <c r="AW128" s="2">
        <f t="shared" si="34"/>
        <v>0</v>
      </c>
      <c r="AX128" s="2">
        <v>1793316.2585439547</v>
      </c>
      <c r="AY128" s="2"/>
      <c r="AZ128" s="2">
        <f t="shared" si="35"/>
        <v>5718059.7538525509</v>
      </c>
      <c r="BA128" s="2">
        <v>5718059.7538525509</v>
      </c>
      <c r="BB128" s="2">
        <v>429715.0943746799</v>
      </c>
      <c r="BC128" s="2">
        <f t="shared" si="36"/>
        <v>0</v>
      </c>
      <c r="BD128" s="2">
        <v>1770786.2016558778</v>
      </c>
    </row>
    <row r="129" spans="1:56" x14ac:dyDescent="0.35">
      <c r="A129">
        <v>2053</v>
      </c>
      <c r="B129">
        <v>3</v>
      </c>
      <c r="C129" s="15">
        <f t="shared" si="26"/>
        <v>5347913.3898607763</v>
      </c>
      <c r="D129" s="9">
        <v>56157</v>
      </c>
      <c r="E129" s="2">
        <v>5347913.3898607763</v>
      </c>
      <c r="F129" s="2">
        <v>213506.34163451666</v>
      </c>
      <c r="G129" s="10">
        <f t="shared" si="13"/>
        <v>0</v>
      </c>
      <c r="H129" s="10">
        <f t="shared" si="14"/>
        <v>5134407.0482262596</v>
      </c>
      <c r="I129" s="13" t="str">
        <f t="shared" si="25"/>
        <v/>
      </c>
      <c r="J129" s="14">
        <f t="shared" si="27"/>
        <v>6008365.3167168777</v>
      </c>
      <c r="K129" s="2">
        <v>6008365.3167168777</v>
      </c>
      <c r="L129" s="2">
        <v>307239.71532343305</v>
      </c>
      <c r="M129" s="2">
        <f t="shared" si="15"/>
        <v>0</v>
      </c>
      <c r="N129" s="2">
        <f t="shared" si="16"/>
        <v>5701125.6013934445</v>
      </c>
      <c r="P129" s="2">
        <f t="shared" si="28"/>
        <v>6135868.181670811</v>
      </c>
      <c r="Q129" s="2">
        <v>6135868.181670811</v>
      </c>
      <c r="R129" s="2">
        <v>424860.7232993053</v>
      </c>
      <c r="S129" s="2">
        <f t="shared" si="17"/>
        <v>0</v>
      </c>
      <c r="T129" s="2">
        <f t="shared" si="18"/>
        <v>5711007.4583715061</v>
      </c>
      <c r="V129" s="11">
        <f t="shared" si="29"/>
        <v>6246871.6782732634</v>
      </c>
      <c r="W129" s="2">
        <v>6246871.6782732634</v>
      </c>
      <c r="X129" s="2">
        <v>528452.05423990451</v>
      </c>
      <c r="Y129" s="2">
        <f t="shared" si="19"/>
        <v>0</v>
      </c>
      <c r="Z129" s="2">
        <f t="shared" si="20"/>
        <v>5718419.6240333589</v>
      </c>
      <c r="AB129" s="2">
        <f t="shared" si="30"/>
        <v>6326175.2411453901</v>
      </c>
      <c r="AC129" s="2">
        <v>6326175.2411453901</v>
      </c>
      <c r="AD129" s="2">
        <v>631977.56158097705</v>
      </c>
      <c r="AE129" s="2">
        <f t="shared" si="21"/>
        <v>0</v>
      </c>
      <c r="AF129" s="2">
        <f t="shared" si="22"/>
        <v>5694197.6795644127</v>
      </c>
      <c r="AH129" s="2">
        <f t="shared" si="31"/>
        <v>5957904.5672734575</v>
      </c>
      <c r="AI129" s="2">
        <v>5957904.5672734575</v>
      </c>
      <c r="AJ129" s="2">
        <v>271914.72156961006</v>
      </c>
      <c r="AK129" s="2">
        <f t="shared" si="23"/>
        <v>0</v>
      </c>
      <c r="AL129" s="2">
        <v>1849100.4190609411</v>
      </c>
      <c r="AM129" s="2"/>
      <c r="AN129" s="2">
        <f t="shared" si="32"/>
        <v>6038080.4470531642</v>
      </c>
      <c r="AO129" s="2">
        <v>6038080.4470531642</v>
      </c>
      <c r="AP129" s="2">
        <v>321203.56423522276</v>
      </c>
      <c r="AQ129" s="2">
        <f t="shared" si="24"/>
        <v>0</v>
      </c>
      <c r="AR129" s="2">
        <v>1831795.4952769715</v>
      </c>
      <c r="AS129" s="2"/>
      <c r="AT129" s="2">
        <f t="shared" si="33"/>
        <v>6110040.5352789871</v>
      </c>
      <c r="AU129" s="2">
        <v>6110040.5352789871</v>
      </c>
      <c r="AV129" s="2">
        <v>373383.88175404677</v>
      </c>
      <c r="AW129" s="2">
        <f t="shared" si="34"/>
        <v>0</v>
      </c>
      <c r="AX129" s="2">
        <v>1807830.9851704766</v>
      </c>
      <c r="AY129" s="2"/>
      <c r="AZ129" s="2">
        <f t="shared" si="35"/>
        <v>6169462.844459217</v>
      </c>
      <c r="BA129" s="2">
        <v>6169462.844459217</v>
      </c>
      <c r="BB129" s="2">
        <v>425547.52238296904</v>
      </c>
      <c r="BC129" s="2">
        <f t="shared" si="36"/>
        <v>0</v>
      </c>
      <c r="BD129" s="2">
        <v>1780241.040244746</v>
      </c>
    </row>
    <row r="130" spans="1:56" x14ac:dyDescent="0.35">
      <c r="A130">
        <v>2053</v>
      </c>
      <c r="B130">
        <v>4</v>
      </c>
      <c r="C130" s="15">
        <f t="shared" si="26"/>
        <v>3442817.1364552625</v>
      </c>
      <c r="D130" s="9">
        <v>56249</v>
      </c>
      <c r="E130" s="2">
        <v>3442817.1364552625</v>
      </c>
      <c r="F130" s="2">
        <v>217559.43616894583</v>
      </c>
      <c r="G130" s="10">
        <f t="shared" si="13"/>
        <v>0</v>
      </c>
      <c r="H130" s="10">
        <f t="shared" si="14"/>
        <v>3225257.7002863167</v>
      </c>
      <c r="I130" s="13" t="str">
        <f t="shared" si="25"/>
        <v/>
      </c>
      <c r="J130" s="14">
        <f t="shared" si="27"/>
        <v>3658973.3845785074</v>
      </c>
      <c r="K130" s="2">
        <v>3658973.3845785074</v>
      </c>
      <c r="L130" s="2">
        <v>310137.38563404221</v>
      </c>
      <c r="M130" s="2">
        <f t="shared" si="15"/>
        <v>0</v>
      </c>
      <c r="N130" s="2">
        <f t="shared" si="16"/>
        <v>3348835.9989444651</v>
      </c>
      <c r="P130" s="2">
        <f t="shared" si="28"/>
        <v>3649648.7768472363</v>
      </c>
      <c r="Q130" s="2">
        <v>3649648.7768472363</v>
      </c>
      <c r="R130" s="2">
        <v>426320.81407329044</v>
      </c>
      <c r="S130" s="2">
        <f t="shared" si="17"/>
        <v>0</v>
      </c>
      <c r="T130" s="2">
        <f t="shared" si="18"/>
        <v>3223327.9627739461</v>
      </c>
      <c r="V130" s="11">
        <f t="shared" si="29"/>
        <v>3635334.2807370671</v>
      </c>
      <c r="W130" s="2">
        <v>3635334.2807370671</v>
      </c>
      <c r="X130" s="2">
        <v>528657.39883342397</v>
      </c>
      <c r="Y130" s="2">
        <f t="shared" si="19"/>
        <v>0</v>
      </c>
      <c r="Z130" s="2">
        <f t="shared" si="20"/>
        <v>3106676.8819036433</v>
      </c>
      <c r="AB130" s="2">
        <f t="shared" si="30"/>
        <v>3615822.1197448997</v>
      </c>
      <c r="AC130" s="2">
        <v>3615822.1197448997</v>
      </c>
      <c r="AD130" s="2">
        <v>630939.60865933495</v>
      </c>
      <c r="AE130" s="2">
        <f t="shared" si="21"/>
        <v>0</v>
      </c>
      <c r="AF130" s="2">
        <f t="shared" si="22"/>
        <v>2984882.5110855647</v>
      </c>
      <c r="AH130" s="2">
        <f t="shared" si="31"/>
        <v>3659328.4545254409</v>
      </c>
      <c r="AI130" s="2">
        <v>3659328.4545254409</v>
      </c>
      <c r="AJ130" s="2">
        <v>275246.81292541558</v>
      </c>
      <c r="AK130" s="2">
        <f t="shared" si="23"/>
        <v>0</v>
      </c>
      <c r="AL130" s="2">
        <v>1301685.7909833281</v>
      </c>
      <c r="AM130" s="2"/>
      <c r="AN130" s="2">
        <f t="shared" si="32"/>
        <v>3656286.3170685968</v>
      </c>
      <c r="AO130" s="2">
        <v>3656286.3170685968</v>
      </c>
      <c r="AP130" s="2">
        <v>323929.84985497856</v>
      </c>
      <c r="AQ130" s="2">
        <f t="shared" si="24"/>
        <v>0</v>
      </c>
      <c r="AR130" s="2">
        <v>1305970.0528540451</v>
      </c>
      <c r="AS130" s="2"/>
      <c r="AT130" s="2">
        <f t="shared" si="33"/>
        <v>3651919.3590603373</v>
      </c>
      <c r="AU130" s="2">
        <v>3651919.3590603373</v>
      </c>
      <c r="AV130" s="2">
        <v>375471.44288894703</v>
      </c>
      <c r="AW130" s="2">
        <f t="shared" si="34"/>
        <v>0</v>
      </c>
      <c r="AX130" s="2">
        <v>1305307.6211452398</v>
      </c>
      <c r="AY130" s="2"/>
      <c r="AZ130" s="2">
        <f t="shared" si="35"/>
        <v>3646195.4062870438</v>
      </c>
      <c r="BA130" s="2">
        <v>3646195.4062870438</v>
      </c>
      <c r="BB130" s="2">
        <v>426999.25926478661</v>
      </c>
      <c r="BC130" s="2">
        <f t="shared" si="36"/>
        <v>0</v>
      </c>
      <c r="BD130" s="2">
        <v>1302025.7687489972</v>
      </c>
    </row>
    <row r="131" spans="1:56" x14ac:dyDescent="0.35">
      <c r="A131">
        <v>2054</v>
      </c>
      <c r="B131">
        <v>1</v>
      </c>
      <c r="C131" s="15">
        <f t="shared" si="26"/>
        <v>3522326.843869444</v>
      </c>
      <c r="D131" s="9">
        <v>56339</v>
      </c>
      <c r="E131" s="2">
        <v>3522326.843869444</v>
      </c>
      <c r="F131" s="2">
        <v>216338.23947502516</v>
      </c>
      <c r="G131" s="10">
        <f t="shared" si="13"/>
        <v>0</v>
      </c>
      <c r="H131" s="10">
        <f t="shared" si="14"/>
        <v>3305988.6043944187</v>
      </c>
      <c r="I131" s="13" t="str">
        <f t="shared" si="25"/>
        <v/>
      </c>
      <c r="J131" s="14">
        <f t="shared" si="27"/>
        <v>3911777.2084646286</v>
      </c>
      <c r="K131" s="2">
        <v>3911777.2084646286</v>
      </c>
      <c r="L131" s="2">
        <v>307624.61798261717</v>
      </c>
      <c r="M131" s="2">
        <f t="shared" si="15"/>
        <v>0</v>
      </c>
      <c r="N131" s="2">
        <f t="shared" si="16"/>
        <v>3604152.5904820114</v>
      </c>
      <c r="P131" s="2">
        <f t="shared" si="28"/>
        <v>3963017.3573196977</v>
      </c>
      <c r="Q131" s="2">
        <v>3963017.3573196977</v>
      </c>
      <c r="R131" s="2">
        <v>422168.63981678069</v>
      </c>
      <c r="S131" s="2">
        <f t="shared" si="17"/>
        <v>0</v>
      </c>
      <c r="T131" s="2">
        <f t="shared" si="18"/>
        <v>3540848.7175029172</v>
      </c>
      <c r="V131" s="11">
        <f t="shared" si="29"/>
        <v>3988326.7698106952</v>
      </c>
      <c r="W131" s="2">
        <v>3988326.7698106952</v>
      </c>
      <c r="X131" s="2">
        <v>523044.10898799339</v>
      </c>
      <c r="Y131" s="2">
        <f t="shared" si="19"/>
        <v>0</v>
      </c>
      <c r="Z131" s="2">
        <f t="shared" si="20"/>
        <v>3465282.6608227016</v>
      </c>
      <c r="AB131" s="2">
        <f t="shared" si="30"/>
        <v>4003203.4661351331</v>
      </c>
      <c r="AC131" s="2">
        <v>4003203.4661351331</v>
      </c>
      <c r="AD131" s="2">
        <v>623849.95405760326</v>
      </c>
      <c r="AE131" s="2">
        <f t="shared" si="21"/>
        <v>0</v>
      </c>
      <c r="AF131" s="2">
        <f t="shared" si="22"/>
        <v>3379353.5120775299</v>
      </c>
      <c r="AH131" s="2">
        <f t="shared" si="31"/>
        <v>3885945.1974308514</v>
      </c>
      <c r="AI131" s="2">
        <v>3885945.1974308514</v>
      </c>
      <c r="AJ131" s="2">
        <v>273222.3446471573</v>
      </c>
      <c r="AK131" s="2">
        <f t="shared" si="23"/>
        <v>0</v>
      </c>
      <c r="AL131" s="2">
        <v>2103823.0029213452</v>
      </c>
      <c r="AM131" s="2"/>
      <c r="AN131" s="2">
        <f t="shared" si="32"/>
        <v>3919169.3409325848</v>
      </c>
      <c r="AO131" s="2">
        <v>3919169.3409325848</v>
      </c>
      <c r="AP131" s="2">
        <v>321223.54202001053</v>
      </c>
      <c r="AQ131" s="2">
        <f t="shared" si="24"/>
        <v>0</v>
      </c>
      <c r="AR131" s="2">
        <v>2188513.1917958651</v>
      </c>
      <c r="AS131" s="2"/>
      <c r="AT131" s="2">
        <f t="shared" si="33"/>
        <v>3946663.0217529079</v>
      </c>
      <c r="AU131" s="2">
        <v>3946663.0217529079</v>
      </c>
      <c r="AV131" s="2">
        <v>372039.31645029422</v>
      </c>
      <c r="AW131" s="2">
        <f t="shared" si="34"/>
        <v>0</v>
      </c>
      <c r="AX131" s="2">
        <v>2265492.7846718244</v>
      </c>
      <c r="AY131" s="2"/>
      <c r="AZ131" s="2">
        <f t="shared" si="35"/>
        <v>3968097.5352982427</v>
      </c>
      <c r="BA131" s="2">
        <v>3968097.5352982427</v>
      </c>
      <c r="BB131" s="2">
        <v>422837.45122893964</v>
      </c>
      <c r="BC131" s="2">
        <f t="shared" si="36"/>
        <v>0</v>
      </c>
      <c r="BD131" s="2">
        <v>2340238.8802776709</v>
      </c>
    </row>
    <row r="132" spans="1:56" x14ac:dyDescent="0.35">
      <c r="A132">
        <v>2054</v>
      </c>
      <c r="B132">
        <v>2</v>
      </c>
      <c r="C132" s="15">
        <f t="shared" si="26"/>
        <v>4944940.7381631257</v>
      </c>
      <c r="D132" s="9">
        <v>56430</v>
      </c>
      <c r="E132" s="2">
        <v>4944940.7381631257</v>
      </c>
      <c r="F132" s="2">
        <v>215117.04278110451</v>
      </c>
      <c r="G132" s="10">
        <f t="shared" ref="G132:G157" si="37">C132-E132</f>
        <v>0</v>
      </c>
      <c r="H132" s="10">
        <f t="shared" ref="H132:H157" si="38">C132-F132</f>
        <v>4729823.6953820214</v>
      </c>
      <c r="I132" s="13" t="str">
        <f t="shared" si="25"/>
        <v/>
      </c>
      <c r="J132" s="14">
        <f t="shared" si="27"/>
        <v>5686341.372589766</v>
      </c>
      <c r="K132" s="2">
        <v>5686341.372589766</v>
      </c>
      <c r="L132" s="2">
        <v>305111.85033119208</v>
      </c>
      <c r="M132" s="2">
        <f t="shared" ref="M132:M157" si="39">J132-K132</f>
        <v>0</v>
      </c>
      <c r="N132" s="2">
        <f t="shared" ref="N132:N157" si="40">J132-L132</f>
        <v>5381229.5222585741</v>
      </c>
      <c r="P132" s="2">
        <f t="shared" si="28"/>
        <v>5830399.5997649357</v>
      </c>
      <c r="Q132" s="2">
        <v>5830399.5997649357</v>
      </c>
      <c r="R132" s="2">
        <v>418016.46556027088</v>
      </c>
      <c r="S132" s="2">
        <f t="shared" ref="S132:S158" si="41">$P132-$Q132</f>
        <v>0</v>
      </c>
      <c r="T132" s="2">
        <f t="shared" ref="T132:T158" si="42">P132-R132</f>
        <v>5412383.1342046652</v>
      </c>
      <c r="V132" s="11">
        <f t="shared" si="29"/>
        <v>5959728.5713302707</v>
      </c>
      <c r="W132" s="2">
        <v>5959728.5713302707</v>
      </c>
      <c r="X132" s="2">
        <v>517430.8191425628</v>
      </c>
      <c r="Y132" s="2">
        <f t="shared" ref="Y132:Y157" si="43">$V132-$W132</f>
        <v>0</v>
      </c>
      <c r="Z132" s="2">
        <f t="shared" ref="Z132:Z157" si="44">$V132-$X132</f>
        <v>5442297.7521877084</v>
      </c>
      <c r="AB132" s="2">
        <f t="shared" si="30"/>
        <v>6083840.5623947531</v>
      </c>
      <c r="AC132" s="2">
        <v>6083840.5623947531</v>
      </c>
      <c r="AD132" s="2">
        <v>616760.29945587157</v>
      </c>
      <c r="AE132" s="2">
        <f t="shared" ref="AE132:AE157" si="45">$AB132-$AC132</f>
        <v>0</v>
      </c>
      <c r="AF132" s="2">
        <f t="shared" ref="AF132:AF157" si="46">$AB132-$AD132</f>
        <v>5467080.2629388813</v>
      </c>
      <c r="AH132" s="2">
        <f t="shared" si="31"/>
        <v>5626006.4732793421</v>
      </c>
      <c r="AI132" s="2">
        <v>5626006.4732793421</v>
      </c>
      <c r="AJ132" s="2">
        <v>271197.87636889901</v>
      </c>
      <c r="AK132" s="2">
        <f t="shared" ref="AK132:AK157" si="47">AH132-AI132</f>
        <v>0</v>
      </c>
      <c r="AL132" s="2">
        <v>1829684.1597293043</v>
      </c>
      <c r="AM132" s="2"/>
      <c r="AN132" s="2">
        <f t="shared" si="32"/>
        <v>5711082.7203228092</v>
      </c>
      <c r="AO132" s="2">
        <v>5711082.7203228092</v>
      </c>
      <c r="AP132" s="2">
        <v>318517.23418504244</v>
      </c>
      <c r="AQ132" s="2">
        <f t="shared" ref="AQ132:AQ157" si="48">AN132-AO132</f>
        <v>0</v>
      </c>
      <c r="AR132" s="2">
        <v>1816392.124020779</v>
      </c>
      <c r="AS132" s="2"/>
      <c r="AT132" s="2">
        <f t="shared" si="33"/>
        <v>5786064.3789332472</v>
      </c>
      <c r="AU132" s="2">
        <v>5786064.3789332472</v>
      </c>
      <c r="AV132" s="2">
        <v>368607.19001164142</v>
      </c>
      <c r="AW132" s="2">
        <f t="shared" si="34"/>
        <v>0</v>
      </c>
      <c r="AX132" s="2">
        <v>1797474.9668125119</v>
      </c>
      <c r="AY132" s="2"/>
      <c r="AZ132" s="2">
        <f t="shared" si="35"/>
        <v>5858383.6564362291</v>
      </c>
      <c r="BA132" s="2">
        <v>5858383.6564362291</v>
      </c>
      <c r="BB132" s="2">
        <v>418675.64319309272</v>
      </c>
      <c r="BC132" s="2">
        <f t="shared" si="36"/>
        <v>0</v>
      </c>
      <c r="BD132" s="2">
        <v>1777264.443932415</v>
      </c>
    </row>
    <row r="133" spans="1:56" x14ac:dyDescent="0.35">
      <c r="A133">
        <v>2054</v>
      </c>
      <c r="B133">
        <v>3</v>
      </c>
      <c r="C133" s="15">
        <f t="shared" si="26"/>
        <v>5466973.9856592333</v>
      </c>
      <c r="D133" s="9">
        <v>56522</v>
      </c>
      <c r="E133" s="2">
        <v>5466973.9856592333</v>
      </c>
      <c r="F133" s="2">
        <v>213895.84608718386</v>
      </c>
      <c r="G133" s="10">
        <f t="shared" si="37"/>
        <v>0</v>
      </c>
      <c r="H133" s="10">
        <f t="shared" si="38"/>
        <v>5253078.1395720495</v>
      </c>
      <c r="I133" s="13" t="str">
        <f t="shared" ref="I133:I157" si="49">IFERROR(($G133/$G132)-1,"")</f>
        <v/>
      </c>
      <c r="J133" s="14">
        <f t="shared" si="27"/>
        <v>6156163.7123851767</v>
      </c>
      <c r="K133" s="2">
        <v>6156163.7123851767</v>
      </c>
      <c r="L133" s="2">
        <v>302599.08267976705</v>
      </c>
      <c r="M133" s="2">
        <f t="shared" si="39"/>
        <v>0</v>
      </c>
      <c r="N133" s="2">
        <f t="shared" si="40"/>
        <v>5853564.6297054095</v>
      </c>
      <c r="P133" s="2">
        <f t="shared" si="28"/>
        <v>6284070.6970096817</v>
      </c>
      <c r="Q133" s="2">
        <v>6284070.6970096817</v>
      </c>
      <c r="R133" s="2">
        <v>413864.29130376107</v>
      </c>
      <c r="S133" s="2">
        <f t="shared" si="41"/>
        <v>0</v>
      </c>
      <c r="T133" s="2">
        <f t="shared" si="42"/>
        <v>5870206.4057059204</v>
      </c>
      <c r="V133" s="11">
        <f t="shared" si="29"/>
        <v>6395426.8493086081</v>
      </c>
      <c r="W133" s="2">
        <v>6395426.8493086081</v>
      </c>
      <c r="X133" s="2">
        <v>511817.52929713222</v>
      </c>
      <c r="Y133" s="2">
        <f t="shared" si="43"/>
        <v>0</v>
      </c>
      <c r="Z133" s="2">
        <f t="shared" si="44"/>
        <v>5883609.3200114761</v>
      </c>
      <c r="AB133" s="2">
        <f t="shared" si="30"/>
        <v>6473210.1714296825</v>
      </c>
      <c r="AC133" s="2">
        <v>6473210.1714296825</v>
      </c>
      <c r="AD133" s="2">
        <v>609670.64485413989</v>
      </c>
      <c r="AE133" s="2">
        <f t="shared" si="45"/>
        <v>0</v>
      </c>
      <c r="AF133" s="2">
        <f t="shared" si="46"/>
        <v>5863539.526575543</v>
      </c>
      <c r="AH133" s="2">
        <f t="shared" si="31"/>
        <v>6105230.3314791974</v>
      </c>
      <c r="AI133" s="2">
        <v>6105230.3314791974</v>
      </c>
      <c r="AJ133" s="2">
        <v>269173.40809064067</v>
      </c>
      <c r="AK133" s="2">
        <f t="shared" si="47"/>
        <v>0</v>
      </c>
      <c r="AL133" s="2">
        <v>1845023.3410623195</v>
      </c>
      <c r="AM133" s="2"/>
      <c r="AN133" s="2">
        <f t="shared" si="32"/>
        <v>6185210.1900461754</v>
      </c>
      <c r="AO133" s="2">
        <v>6185210.1900461754</v>
      </c>
      <c r="AP133" s="2">
        <v>315810.92635007441</v>
      </c>
      <c r="AQ133" s="2">
        <f t="shared" si="48"/>
        <v>0</v>
      </c>
      <c r="AR133" s="2">
        <v>1829881.7993090008</v>
      </c>
      <c r="AS133" s="2"/>
      <c r="AT133" s="2">
        <f t="shared" si="33"/>
        <v>6257028.2968594935</v>
      </c>
      <c r="AU133" s="2">
        <v>6257028.2968594935</v>
      </c>
      <c r="AV133" s="2">
        <v>365175.06357298861</v>
      </c>
      <c r="AW133" s="2">
        <f t="shared" si="34"/>
        <v>0</v>
      </c>
      <c r="AX133" s="2">
        <v>1808015.999524378</v>
      </c>
      <c r="AY133" s="2"/>
      <c r="AZ133" s="2">
        <f t="shared" si="35"/>
        <v>6315751.5135491202</v>
      </c>
      <c r="BA133" s="2">
        <v>6315751.5135491202</v>
      </c>
      <c r="BB133" s="2">
        <v>414513.83515724575</v>
      </c>
      <c r="BC133" s="2">
        <f t="shared" si="36"/>
        <v>0</v>
      </c>
      <c r="BD133" s="2">
        <v>1782761.7137416522</v>
      </c>
    </row>
    <row r="134" spans="1:56" x14ac:dyDescent="0.35">
      <c r="A134">
        <v>2054</v>
      </c>
      <c r="B134">
        <v>4</v>
      </c>
      <c r="C134" s="15">
        <f t="shared" si="26"/>
        <v>3519464.5743641593</v>
      </c>
      <c r="D134" s="9">
        <v>56614</v>
      </c>
      <c r="E134" s="2">
        <v>3519464.5743641593</v>
      </c>
      <c r="F134" s="2">
        <v>218075.13828283889</v>
      </c>
      <c r="G134" s="10">
        <f t="shared" si="37"/>
        <v>0</v>
      </c>
      <c r="H134" s="10">
        <f t="shared" si="38"/>
        <v>3301389.4360813205</v>
      </c>
      <c r="I134" s="13" t="str">
        <f t="shared" si="49"/>
        <v/>
      </c>
      <c r="J134" s="14">
        <f t="shared" si="27"/>
        <v>3742184.9036872578</v>
      </c>
      <c r="K134" s="2">
        <v>3742184.9036872578</v>
      </c>
      <c r="L134" s="2">
        <v>305627.03505361261</v>
      </c>
      <c r="M134" s="2">
        <f t="shared" si="39"/>
        <v>0</v>
      </c>
      <c r="N134" s="2">
        <f t="shared" si="40"/>
        <v>3436557.8686336451</v>
      </c>
      <c r="P134" s="2">
        <f t="shared" si="28"/>
        <v>3730515.6964096189</v>
      </c>
      <c r="Q134" s="2">
        <v>3730515.6964096189</v>
      </c>
      <c r="R134" s="2">
        <v>415460.71895303664</v>
      </c>
      <c r="S134" s="2">
        <f t="shared" si="41"/>
        <v>0</v>
      </c>
      <c r="T134" s="2">
        <f t="shared" si="42"/>
        <v>3315054.9774565822</v>
      </c>
      <c r="V134" s="11">
        <f t="shared" si="29"/>
        <v>3714403.3905085558</v>
      </c>
      <c r="W134" s="2">
        <v>3714403.3905085558</v>
      </c>
      <c r="X134" s="2">
        <v>512165.40184819582</v>
      </c>
      <c r="Y134" s="2">
        <f t="shared" si="43"/>
        <v>0</v>
      </c>
      <c r="Z134" s="2">
        <f t="shared" si="44"/>
        <v>3202237.9886603598</v>
      </c>
      <c r="AB134" s="2">
        <f t="shared" si="30"/>
        <v>3693351.7100544102</v>
      </c>
      <c r="AC134" s="2">
        <v>3693351.7100544102</v>
      </c>
      <c r="AD134" s="2">
        <v>608782.21190727584</v>
      </c>
      <c r="AE134" s="2">
        <f t="shared" si="45"/>
        <v>0</v>
      </c>
      <c r="AF134" s="2">
        <f t="shared" si="46"/>
        <v>3084569.4981471342</v>
      </c>
      <c r="AH134" s="2">
        <f t="shared" si="31"/>
        <v>3743616.1989976089</v>
      </c>
      <c r="AI134" s="2">
        <v>3743616.1989976089</v>
      </c>
      <c r="AJ134" s="2">
        <v>272634.16515984363</v>
      </c>
      <c r="AK134" s="2">
        <f t="shared" si="47"/>
        <v>0</v>
      </c>
      <c r="AL134" s="2">
        <v>1301650.5289361074</v>
      </c>
      <c r="AM134" s="2"/>
      <c r="AN134" s="2">
        <f t="shared" si="32"/>
        <v>3738503.9284978188</v>
      </c>
      <c r="AO134" s="2">
        <v>3738503.9284978188</v>
      </c>
      <c r="AP134" s="2">
        <v>318668.15869784739</v>
      </c>
      <c r="AQ134" s="2">
        <f t="shared" si="48"/>
        <v>0</v>
      </c>
      <c r="AR134" s="2">
        <v>1307572.51284436</v>
      </c>
      <c r="AS134" s="2"/>
      <c r="AT134" s="2">
        <f t="shared" si="33"/>
        <v>3733315.9171102573</v>
      </c>
      <c r="AU134" s="2">
        <v>3733315.9171102573</v>
      </c>
      <c r="AV134" s="2">
        <v>367396.18425947084</v>
      </c>
      <c r="AW134" s="2">
        <f t="shared" si="34"/>
        <v>0</v>
      </c>
      <c r="AX134" s="2">
        <v>1309112.2737996401</v>
      </c>
      <c r="AY134" s="2"/>
      <c r="AZ134" s="2">
        <f t="shared" si="35"/>
        <v>3726951.4355209302</v>
      </c>
      <c r="BA134" s="2">
        <v>3726951.4355209302</v>
      </c>
      <c r="BB134" s="2">
        <v>416101.94731096871</v>
      </c>
      <c r="BC134" s="2">
        <f t="shared" si="36"/>
        <v>0</v>
      </c>
      <c r="BD134" s="2">
        <v>1308354.2218309999</v>
      </c>
    </row>
    <row r="135" spans="1:56" x14ac:dyDescent="0.35">
      <c r="A135">
        <v>2055</v>
      </c>
      <c r="B135">
        <v>1</v>
      </c>
      <c r="C135" s="15">
        <f t="shared" si="26"/>
        <v>3555378.8776393253</v>
      </c>
      <c r="D135" s="9">
        <v>56704</v>
      </c>
      <c r="E135" s="2">
        <v>3555378.8776393253</v>
      </c>
      <c r="F135" s="2">
        <v>216857.02947742067</v>
      </c>
      <c r="G135" s="10">
        <f t="shared" si="37"/>
        <v>0</v>
      </c>
      <c r="H135" s="10">
        <f t="shared" si="38"/>
        <v>3338521.8481619046</v>
      </c>
      <c r="I135" s="13" t="str">
        <f t="shared" si="49"/>
        <v/>
      </c>
      <c r="J135" s="14">
        <f t="shared" si="27"/>
        <v>3956644.5673769615</v>
      </c>
      <c r="K135" s="2">
        <v>3956644.5673769615</v>
      </c>
      <c r="L135" s="2">
        <v>303117.35529068997</v>
      </c>
      <c r="M135" s="2">
        <f t="shared" si="39"/>
        <v>0</v>
      </c>
      <c r="N135" s="2">
        <f t="shared" si="40"/>
        <v>3653527.2120862715</v>
      </c>
      <c r="P135" s="2">
        <f t="shared" si="28"/>
        <v>4007253.5470795138</v>
      </c>
      <c r="Q135" s="2">
        <v>4007253.5470795138</v>
      </c>
      <c r="R135" s="2">
        <v>411311.63258502929</v>
      </c>
      <c r="S135" s="2">
        <f t="shared" si="41"/>
        <v>0</v>
      </c>
      <c r="T135" s="2">
        <f t="shared" si="42"/>
        <v>3595941.9144944847</v>
      </c>
      <c r="V135" s="11">
        <f t="shared" si="29"/>
        <v>4031008.8562055477</v>
      </c>
      <c r="W135" s="2">
        <v>4031008.8562055477</v>
      </c>
      <c r="X135" s="2">
        <v>506555.19989126775</v>
      </c>
      <c r="Y135" s="2">
        <f t="shared" si="43"/>
        <v>0</v>
      </c>
      <c r="Z135" s="2">
        <f t="shared" si="44"/>
        <v>3524453.6563142799</v>
      </c>
      <c r="AB135" s="2">
        <f t="shared" si="30"/>
        <v>4045728.1541078137</v>
      </c>
      <c r="AC135" s="2">
        <v>4045728.1541078137</v>
      </c>
      <c r="AD135" s="2">
        <v>601695.64519404655</v>
      </c>
      <c r="AE135" s="2">
        <f t="shared" si="45"/>
        <v>0</v>
      </c>
      <c r="AF135" s="2">
        <f t="shared" si="46"/>
        <v>3444032.5089137671</v>
      </c>
      <c r="AH135" s="2">
        <f t="shared" si="31"/>
        <v>3930674.4856196721</v>
      </c>
      <c r="AI135" s="2">
        <v>3930674.4856196721</v>
      </c>
      <c r="AJ135" s="2">
        <v>270612.78477008775</v>
      </c>
      <c r="AK135" s="2">
        <f t="shared" si="47"/>
        <v>0</v>
      </c>
      <c r="AL135" s="2">
        <v>2093543.213040269</v>
      </c>
      <c r="AM135" s="2"/>
      <c r="AN135" s="2">
        <f t="shared" si="32"/>
        <v>3963312.5620788471</v>
      </c>
      <c r="AO135" s="2">
        <v>3963312.5620788471</v>
      </c>
      <c r="AP135" s="2">
        <v>315964.93875138182</v>
      </c>
      <c r="AQ135" s="2">
        <f t="shared" si="48"/>
        <v>0</v>
      </c>
      <c r="AR135" s="2">
        <v>2179071.371815132</v>
      </c>
      <c r="AS135" s="2"/>
      <c r="AT135" s="2">
        <f t="shared" si="33"/>
        <v>3990519.6124100117</v>
      </c>
      <c r="AU135" s="2">
        <v>3990519.6124100117</v>
      </c>
      <c r="AV135" s="2">
        <v>363967.14570932044</v>
      </c>
      <c r="AW135" s="2">
        <f t="shared" si="34"/>
        <v>0</v>
      </c>
      <c r="AX135" s="2">
        <v>2256760.9353232998</v>
      </c>
      <c r="AY135" s="2"/>
      <c r="AZ135" s="2">
        <f t="shared" si="35"/>
        <v>4011644.7687714999</v>
      </c>
      <c r="BA135" s="2">
        <v>4011644.7687714999</v>
      </c>
      <c r="BB135" s="2">
        <v>411943.22716362419</v>
      </c>
      <c r="BC135" s="2">
        <f t="shared" si="36"/>
        <v>0</v>
      </c>
      <c r="BD135" s="2">
        <v>2332145.4985953998</v>
      </c>
    </row>
    <row r="136" spans="1:56" x14ac:dyDescent="0.35">
      <c r="A136">
        <v>2055</v>
      </c>
      <c r="B136">
        <v>2</v>
      </c>
      <c r="C136" s="15">
        <f t="shared" si="26"/>
        <v>5055029.9538168376</v>
      </c>
      <c r="D136" s="9">
        <v>56795</v>
      </c>
      <c r="E136" s="2">
        <v>5055029.9538168376</v>
      </c>
      <c r="F136" s="2">
        <v>215638.92067200242</v>
      </c>
      <c r="G136" s="10">
        <f t="shared" si="37"/>
        <v>0</v>
      </c>
      <c r="H136" s="10">
        <f t="shared" si="38"/>
        <v>4839391.0331448354</v>
      </c>
      <c r="I136" s="13" t="str">
        <f t="shared" si="49"/>
        <v/>
      </c>
      <c r="J136" s="14">
        <f t="shared" si="27"/>
        <v>5830266.6965758074</v>
      </c>
      <c r="K136" s="2">
        <v>5830266.6965758074</v>
      </c>
      <c r="L136" s="2">
        <v>300607.67552776739</v>
      </c>
      <c r="M136" s="2">
        <f t="shared" si="39"/>
        <v>0</v>
      </c>
      <c r="N136" s="2">
        <f t="shared" si="40"/>
        <v>5529659.0210480401</v>
      </c>
      <c r="P136" s="2">
        <f t="shared" si="28"/>
        <v>5975938.7825795328</v>
      </c>
      <c r="Q136" s="2">
        <v>5975938.7825795328</v>
      </c>
      <c r="R136" s="2">
        <v>407162.54621702194</v>
      </c>
      <c r="S136" s="2">
        <f t="shared" si="41"/>
        <v>0</v>
      </c>
      <c r="T136" s="2">
        <f t="shared" si="42"/>
        <v>5568776.2363625113</v>
      </c>
      <c r="V136" s="11">
        <f t="shared" si="29"/>
        <v>6105831.078029613</v>
      </c>
      <c r="W136" s="2">
        <v>6105831.078029613</v>
      </c>
      <c r="X136" s="2">
        <v>500944.99793433963</v>
      </c>
      <c r="Y136" s="2">
        <f t="shared" si="43"/>
        <v>0</v>
      </c>
      <c r="Z136" s="2">
        <f t="shared" si="44"/>
        <v>5604886.0800952734</v>
      </c>
      <c r="AB136" s="2">
        <f t="shared" si="30"/>
        <v>6231216.81589917</v>
      </c>
      <c r="AC136" s="2">
        <v>6231216.81589917</v>
      </c>
      <c r="AD136" s="2">
        <v>594609.07848081726</v>
      </c>
      <c r="AE136" s="2">
        <f t="shared" si="45"/>
        <v>0</v>
      </c>
      <c r="AF136" s="2">
        <f t="shared" si="46"/>
        <v>5636607.7374183526</v>
      </c>
      <c r="AH136" s="2">
        <f t="shared" si="31"/>
        <v>5769250.0905056912</v>
      </c>
      <c r="AI136" s="2">
        <v>5769250.0905056912</v>
      </c>
      <c r="AJ136" s="2">
        <v>268591.40438033192</v>
      </c>
      <c r="AK136" s="2">
        <f t="shared" si="47"/>
        <v>0</v>
      </c>
      <c r="AL136" s="2">
        <v>1828419.8822453516</v>
      </c>
      <c r="AM136" s="2"/>
      <c r="AN136" s="2">
        <f t="shared" si="32"/>
        <v>5854951.4564950764</v>
      </c>
      <c r="AO136" s="2">
        <v>5854951.4564950764</v>
      </c>
      <c r="AP136" s="2">
        <v>313261.71880491625</v>
      </c>
      <c r="AQ136" s="2">
        <f t="shared" si="48"/>
        <v>0</v>
      </c>
      <c r="AR136" s="2">
        <v>1817147.6456193989</v>
      </c>
      <c r="AS136" s="2"/>
      <c r="AT136" s="2">
        <f t="shared" si="33"/>
        <v>5929801.8174345037</v>
      </c>
      <c r="AU136" s="2">
        <v>5929801.8174345037</v>
      </c>
      <c r="AV136" s="2">
        <v>360538.10715917003</v>
      </c>
      <c r="AW136" s="2">
        <f t="shared" si="34"/>
        <v>0</v>
      </c>
      <c r="AX136" s="2">
        <v>1800456.8368554336</v>
      </c>
      <c r="AY136" s="2"/>
      <c r="AZ136" s="2">
        <f t="shared" si="35"/>
        <v>6002151.1742467415</v>
      </c>
      <c r="BA136" s="2">
        <v>6002151.1742467415</v>
      </c>
      <c r="BB136" s="2">
        <v>407784.50701627968</v>
      </c>
      <c r="BC136" s="2">
        <f t="shared" si="36"/>
        <v>0</v>
      </c>
      <c r="BD136" s="2">
        <v>1782448.386255485</v>
      </c>
    </row>
    <row r="137" spans="1:56" x14ac:dyDescent="0.35">
      <c r="A137">
        <v>2055</v>
      </c>
      <c r="B137">
        <v>3</v>
      </c>
      <c r="C137" s="15">
        <f t="shared" si="26"/>
        <v>5588685.2275019502</v>
      </c>
      <c r="D137" s="9">
        <v>56887</v>
      </c>
      <c r="E137" s="2">
        <v>5588685.2275019502</v>
      </c>
      <c r="F137" s="2">
        <v>214420.81186658423</v>
      </c>
      <c r="G137" s="10">
        <f t="shared" si="37"/>
        <v>0</v>
      </c>
      <c r="H137" s="10">
        <f t="shared" si="38"/>
        <v>5374264.415635366</v>
      </c>
      <c r="I137" s="13" t="str">
        <f t="shared" si="49"/>
        <v/>
      </c>
      <c r="J137" s="14">
        <f t="shared" si="27"/>
        <v>6307597.7667743824</v>
      </c>
      <c r="K137" s="2">
        <v>6307597.7667743824</v>
      </c>
      <c r="L137" s="2">
        <v>298097.99576484476</v>
      </c>
      <c r="M137" s="2">
        <f t="shared" si="39"/>
        <v>0</v>
      </c>
      <c r="N137" s="2">
        <f t="shared" si="40"/>
        <v>6009499.7710095374</v>
      </c>
      <c r="P137" s="2">
        <f t="shared" si="28"/>
        <v>6435852.8175327666</v>
      </c>
      <c r="Q137" s="2">
        <v>6435852.8175327666</v>
      </c>
      <c r="R137" s="2">
        <v>403013.45984901459</v>
      </c>
      <c r="S137" s="2">
        <f t="shared" si="41"/>
        <v>0</v>
      </c>
      <c r="T137" s="2">
        <f t="shared" si="42"/>
        <v>6032839.3576837517</v>
      </c>
      <c r="V137" s="11">
        <f t="shared" si="29"/>
        <v>6547514.7708113743</v>
      </c>
      <c r="W137" s="2">
        <v>6547514.7708113743</v>
      </c>
      <c r="X137" s="2">
        <v>495334.79597741156</v>
      </c>
      <c r="Y137" s="2">
        <f t="shared" si="43"/>
        <v>0</v>
      </c>
      <c r="Z137" s="2">
        <f t="shared" si="44"/>
        <v>6052179.9748339625</v>
      </c>
      <c r="AB137" s="2">
        <f t="shared" si="30"/>
        <v>6623662.5332424445</v>
      </c>
      <c r="AC137" s="2">
        <v>6623662.5332424445</v>
      </c>
      <c r="AD137" s="2">
        <v>587522.51176758809</v>
      </c>
      <c r="AE137" s="2">
        <f t="shared" si="45"/>
        <v>0</v>
      </c>
      <c r="AF137" s="2">
        <f t="shared" si="46"/>
        <v>6036140.0214748569</v>
      </c>
      <c r="AH137" s="2">
        <f t="shared" si="31"/>
        <v>6256199.1350377379</v>
      </c>
      <c r="AI137" s="2">
        <v>6256199.1350377379</v>
      </c>
      <c r="AJ137" s="2">
        <v>266570.02399057604</v>
      </c>
      <c r="AK137" s="2">
        <f t="shared" si="47"/>
        <v>0</v>
      </c>
      <c r="AL137" s="2">
        <v>1842796.0248879623</v>
      </c>
      <c r="AM137" s="2"/>
      <c r="AN137" s="2">
        <f t="shared" si="32"/>
        <v>6335925.0395085365</v>
      </c>
      <c r="AO137" s="2">
        <v>6335925.0395085365</v>
      </c>
      <c r="AP137" s="2">
        <v>310558.49885845062</v>
      </c>
      <c r="AQ137" s="2">
        <f t="shared" si="48"/>
        <v>0</v>
      </c>
      <c r="AR137" s="2">
        <v>1829759.9983432142</v>
      </c>
      <c r="AS137" s="2"/>
      <c r="AT137" s="2">
        <f t="shared" si="33"/>
        <v>6407552.1073302981</v>
      </c>
      <c r="AU137" s="2">
        <v>6407552.1073302981</v>
      </c>
      <c r="AV137" s="2">
        <v>357109.06860901963</v>
      </c>
      <c r="AW137" s="2">
        <f t="shared" si="34"/>
        <v>0</v>
      </c>
      <c r="AX137" s="2">
        <v>1809939.5140955565</v>
      </c>
      <c r="AY137" s="2"/>
      <c r="AZ137" s="2">
        <f t="shared" si="35"/>
        <v>6465508.9408184029</v>
      </c>
      <c r="BA137" s="2">
        <v>6465508.9408184029</v>
      </c>
      <c r="BB137" s="2">
        <v>403625.78686893516</v>
      </c>
      <c r="BC137" s="2">
        <f t="shared" si="36"/>
        <v>0</v>
      </c>
      <c r="BD137" s="2">
        <v>1786846.3611079974</v>
      </c>
    </row>
    <row r="138" spans="1:56" x14ac:dyDescent="0.35">
      <c r="A138">
        <v>2055</v>
      </c>
      <c r="B138">
        <v>4</v>
      </c>
      <c r="C138" s="15">
        <f t="shared" si="26"/>
        <v>3597818.4141832218</v>
      </c>
      <c r="D138" s="9">
        <v>56979</v>
      </c>
      <c r="E138" s="2">
        <v>3597818.4141832218</v>
      </c>
      <c r="F138" s="2">
        <v>213697.56860166893</v>
      </c>
      <c r="G138" s="10">
        <f t="shared" si="37"/>
        <v>0</v>
      </c>
      <c r="H138" s="10">
        <f t="shared" si="38"/>
        <v>3384120.8455815529</v>
      </c>
      <c r="I138" s="13" t="str">
        <f t="shared" si="49"/>
        <v/>
      </c>
      <c r="J138" s="14">
        <f t="shared" si="27"/>
        <v>3827288.7997511323</v>
      </c>
      <c r="K138" s="2">
        <v>3827288.7997511323</v>
      </c>
      <c r="L138" s="2">
        <v>296227.61961219081</v>
      </c>
      <c r="M138" s="2">
        <f t="shared" si="39"/>
        <v>0</v>
      </c>
      <c r="N138" s="2">
        <f t="shared" si="40"/>
        <v>3531061.1801389414</v>
      </c>
      <c r="P138" s="2">
        <f t="shared" si="28"/>
        <v>3813174.4209042992</v>
      </c>
      <c r="Q138" s="2">
        <v>3813174.4209042992</v>
      </c>
      <c r="R138" s="2">
        <v>399717.79542820586</v>
      </c>
      <c r="S138" s="2">
        <f t="shared" si="41"/>
        <v>0</v>
      </c>
      <c r="T138" s="2">
        <f t="shared" si="42"/>
        <v>3413456.6254760935</v>
      </c>
      <c r="V138" s="11">
        <f t="shared" si="29"/>
        <v>3795192.2662320184</v>
      </c>
      <c r="W138" s="2">
        <v>3795192.2662320184</v>
      </c>
      <c r="X138" s="2">
        <v>490796.95327311225</v>
      </c>
      <c r="Y138" s="2">
        <f t="shared" si="43"/>
        <v>0</v>
      </c>
      <c r="Z138" s="2">
        <f t="shared" si="44"/>
        <v>3304395.3129589059</v>
      </c>
      <c r="AB138" s="2">
        <f t="shared" si="30"/>
        <v>3772543.6712368508</v>
      </c>
      <c r="AC138" s="2">
        <v>3772543.6712368508</v>
      </c>
      <c r="AD138" s="2">
        <v>581755.56534311222</v>
      </c>
      <c r="AE138" s="2">
        <f t="shared" si="45"/>
        <v>0</v>
      </c>
      <c r="AF138" s="2">
        <f t="shared" si="46"/>
        <v>3190788.1058937386</v>
      </c>
      <c r="AH138" s="2">
        <f t="shared" si="31"/>
        <v>3829845.3991102017</v>
      </c>
      <c r="AI138" s="2">
        <v>3829845.3991102017</v>
      </c>
      <c r="AJ138" s="2">
        <v>265130.7876929451</v>
      </c>
      <c r="AK138" s="2">
        <f t="shared" si="47"/>
        <v>0</v>
      </c>
      <c r="AL138" s="2">
        <v>1305735.0774299186</v>
      </c>
      <c r="AM138" s="2"/>
      <c r="AN138" s="2">
        <f t="shared" si="32"/>
        <v>3822570.338145487</v>
      </c>
      <c r="AO138" s="2">
        <v>3822570.338145487</v>
      </c>
      <c r="AP138" s="2">
        <v>308518.08728444821</v>
      </c>
      <c r="AQ138" s="2">
        <f t="shared" si="48"/>
        <v>0</v>
      </c>
      <c r="AR138" s="2">
        <v>1313062.6058047153</v>
      </c>
      <c r="AS138" s="2"/>
      <c r="AT138" s="2">
        <f t="shared" si="33"/>
        <v>3816526.6991369301</v>
      </c>
      <c r="AU138" s="2">
        <v>3816526.6991369301</v>
      </c>
      <c r="AV138" s="2">
        <v>354435.2365819983</v>
      </c>
      <c r="AW138" s="2">
        <f t="shared" si="34"/>
        <v>0</v>
      </c>
      <c r="AX138" s="2">
        <v>1316553.9866689499</v>
      </c>
      <c r="AY138" s="2"/>
      <c r="AZ138" s="2">
        <f t="shared" si="35"/>
        <v>3809496.0513583701</v>
      </c>
      <c r="BA138" s="2">
        <v>3809496.0513583701</v>
      </c>
      <c r="BB138" s="2">
        <v>400321.84650108742</v>
      </c>
      <c r="BC138" s="2">
        <f t="shared" si="36"/>
        <v>0</v>
      </c>
      <c r="BD138" s="2">
        <v>1317911.3117738604</v>
      </c>
    </row>
    <row r="139" spans="1:56" x14ac:dyDescent="0.35">
      <c r="A139">
        <v>2056</v>
      </c>
      <c r="B139">
        <v>1</v>
      </c>
      <c r="C139" s="15">
        <f t="shared" si="26"/>
        <v>3588741.0577938976</v>
      </c>
      <c r="D139" s="9">
        <v>57070</v>
      </c>
      <c r="E139" s="2">
        <v>3588741.0577938976</v>
      </c>
      <c r="F139" s="2">
        <v>218101.39909622798</v>
      </c>
      <c r="G139" s="10">
        <f t="shared" si="37"/>
        <v>0</v>
      </c>
      <c r="H139" s="10">
        <f t="shared" si="38"/>
        <v>3370639.6586976694</v>
      </c>
      <c r="I139" s="13" t="str">
        <f t="shared" si="49"/>
        <v/>
      </c>
      <c r="J139" s="14">
        <f t="shared" si="27"/>
        <v>4002026.5465727327</v>
      </c>
      <c r="K139" s="2">
        <v>4002026.5465727327</v>
      </c>
      <c r="L139" s="2">
        <v>299863.52030065178</v>
      </c>
      <c r="M139" s="2">
        <f t="shared" si="39"/>
        <v>0</v>
      </c>
      <c r="N139" s="2">
        <f t="shared" si="40"/>
        <v>3702163.0262720808</v>
      </c>
      <c r="P139" s="2">
        <f t="shared" si="28"/>
        <v>4051983.5122402506</v>
      </c>
      <c r="Q139" s="2">
        <v>4051983.5122402506</v>
      </c>
      <c r="R139" s="2">
        <v>402490.54727152735</v>
      </c>
      <c r="S139" s="2">
        <f t="shared" si="41"/>
        <v>0</v>
      </c>
      <c r="T139" s="2">
        <f t="shared" si="42"/>
        <v>3649492.9649687232</v>
      </c>
      <c r="V139" s="11">
        <f t="shared" si="29"/>
        <v>4074147.7157296259</v>
      </c>
      <c r="W139" s="2">
        <v>4074147.7157296259</v>
      </c>
      <c r="X139" s="2">
        <v>492902.31782149483</v>
      </c>
      <c r="Y139" s="2">
        <f t="shared" si="43"/>
        <v>0</v>
      </c>
      <c r="Z139" s="2">
        <f t="shared" si="44"/>
        <v>3581245.3979081311</v>
      </c>
      <c r="AB139" s="2">
        <f t="shared" si="30"/>
        <v>4088704.5675804531</v>
      </c>
      <c r="AC139" s="2">
        <v>4088704.5675804531</v>
      </c>
      <c r="AD139" s="2">
        <v>583280.97737515392</v>
      </c>
      <c r="AE139" s="2">
        <f t="shared" si="45"/>
        <v>0</v>
      </c>
      <c r="AF139" s="2">
        <f t="shared" si="46"/>
        <v>3505423.5902052992</v>
      </c>
      <c r="AH139" s="2">
        <f t="shared" si="31"/>
        <v>3975918.6316153393</v>
      </c>
      <c r="AI139" s="2">
        <v>3975918.6316153393</v>
      </c>
      <c r="AJ139" s="2">
        <v>269047.76346846053</v>
      </c>
      <c r="AK139" s="2">
        <f t="shared" si="47"/>
        <v>0</v>
      </c>
      <c r="AL139" s="2">
        <v>2113027.5460906602</v>
      </c>
      <c r="AM139" s="2"/>
      <c r="AN139" s="2">
        <f t="shared" si="32"/>
        <v>4007952.9865362332</v>
      </c>
      <c r="AO139" s="2">
        <v>4007952.9865362332</v>
      </c>
      <c r="AP139" s="2">
        <v>312045.66120130802</v>
      </c>
      <c r="AQ139" s="2">
        <f t="shared" si="48"/>
        <v>0</v>
      </c>
      <c r="AR139" s="2">
        <v>2200171.4161274172</v>
      </c>
      <c r="AS139" s="2"/>
      <c r="AT139" s="2">
        <f t="shared" si="33"/>
        <v>4034863.5516280294</v>
      </c>
      <c r="AU139" s="2">
        <v>4034863.5516280294</v>
      </c>
      <c r="AV139" s="2">
        <v>357571.96919084713</v>
      </c>
      <c r="AW139" s="2">
        <f t="shared" si="34"/>
        <v>0</v>
      </c>
      <c r="AX139" s="2">
        <v>2279825.029805053</v>
      </c>
      <c r="AY139" s="2"/>
      <c r="AZ139" s="2">
        <f t="shared" si="35"/>
        <v>4055669.9041930586</v>
      </c>
      <c r="BA139" s="2">
        <v>4055669.9041930586</v>
      </c>
      <c r="BB139" s="2">
        <v>403089.88720679085</v>
      </c>
      <c r="BC139" s="2">
        <f t="shared" si="36"/>
        <v>0</v>
      </c>
      <c r="BD139" s="2">
        <v>2356961.4318289254</v>
      </c>
    </row>
    <row r="140" spans="1:56" x14ac:dyDescent="0.35">
      <c r="A140">
        <v>2056</v>
      </c>
      <c r="B140">
        <v>2</v>
      </c>
      <c r="C140" s="15">
        <f t="shared" si="26"/>
        <v>5167570.0856786463</v>
      </c>
      <c r="D140" s="9">
        <v>57161</v>
      </c>
      <c r="E140" s="2">
        <v>5167570.0856786463</v>
      </c>
      <c r="F140" s="2">
        <v>216710.0159151892</v>
      </c>
      <c r="G140" s="10">
        <f t="shared" si="37"/>
        <v>0</v>
      </c>
      <c r="H140" s="10">
        <f t="shared" si="38"/>
        <v>4950860.0697634574</v>
      </c>
      <c r="I140" s="13" t="str">
        <f t="shared" si="49"/>
        <v/>
      </c>
      <c r="J140" s="14">
        <f t="shared" si="27"/>
        <v>5977834.8723583193</v>
      </c>
      <c r="K140" s="2">
        <v>5977834.8723583193</v>
      </c>
      <c r="L140" s="2">
        <v>297172.27135913703</v>
      </c>
      <c r="M140" s="2">
        <f t="shared" si="39"/>
        <v>0</v>
      </c>
      <c r="N140" s="2">
        <f t="shared" si="40"/>
        <v>5680662.6009991821</v>
      </c>
      <c r="P140" s="2">
        <f t="shared" si="28"/>
        <v>6125110.9331473503</v>
      </c>
      <c r="Q140" s="2">
        <v>6125110.9331473503</v>
      </c>
      <c r="R140" s="2">
        <v>398147.59531706042</v>
      </c>
      <c r="S140" s="2">
        <f t="shared" si="41"/>
        <v>0</v>
      </c>
      <c r="T140" s="2">
        <f t="shared" si="42"/>
        <v>5726963.3378302902</v>
      </c>
      <c r="V140" s="11">
        <f t="shared" si="29"/>
        <v>6255515.2818160551</v>
      </c>
      <c r="W140" s="2">
        <v>6255515.2818160551</v>
      </c>
      <c r="X140" s="2">
        <v>487085.67712606612</v>
      </c>
      <c r="Y140" s="2">
        <f t="shared" si="43"/>
        <v>0</v>
      </c>
      <c r="Z140" s="2">
        <f t="shared" si="44"/>
        <v>5768429.6046899892</v>
      </c>
      <c r="AB140" s="2">
        <f t="shared" si="30"/>
        <v>6382163.1432531951</v>
      </c>
      <c r="AC140" s="2">
        <v>6382163.1432531951</v>
      </c>
      <c r="AD140" s="2">
        <v>575973.77219352929</v>
      </c>
      <c r="AE140" s="2">
        <f t="shared" si="45"/>
        <v>0</v>
      </c>
      <c r="AF140" s="2">
        <f t="shared" si="46"/>
        <v>5806189.3710596655</v>
      </c>
      <c r="AH140" s="2">
        <f t="shared" si="31"/>
        <v>5916140.8300689142</v>
      </c>
      <c r="AI140" s="2">
        <v>5916140.8300689142</v>
      </c>
      <c r="AJ140" s="2">
        <v>266848.09646226343</v>
      </c>
      <c r="AK140" s="2">
        <f t="shared" si="47"/>
        <v>0</v>
      </c>
      <c r="AL140" s="2">
        <v>1829650.4340650134</v>
      </c>
      <c r="AM140" s="2"/>
      <c r="AN140" s="2">
        <f t="shared" si="32"/>
        <v>6002444.4114471106</v>
      </c>
      <c r="AO140" s="2">
        <v>6002444.4114471106</v>
      </c>
      <c r="AP140" s="2">
        <v>309159.52224256989</v>
      </c>
      <c r="AQ140" s="2">
        <f t="shared" si="48"/>
        <v>0</v>
      </c>
      <c r="AR140" s="2">
        <v>1820157.9534700792</v>
      </c>
      <c r="AS140" s="2"/>
      <c r="AT140" s="2">
        <f t="shared" si="33"/>
        <v>6077109.9820587076</v>
      </c>
      <c r="AU140" s="2">
        <v>6077109.9820587076</v>
      </c>
      <c r="AV140" s="2">
        <v>353954.70537879108</v>
      </c>
      <c r="AW140" s="2">
        <f t="shared" si="34"/>
        <v>0</v>
      </c>
      <c r="AX140" s="2">
        <v>1805356.4518919874</v>
      </c>
      <c r="AY140" s="2"/>
      <c r="AZ140" s="2">
        <f t="shared" si="35"/>
        <v>6149446.8152375594</v>
      </c>
      <c r="BA140" s="2">
        <v>6149446.8152375594</v>
      </c>
      <c r="BB140" s="2">
        <v>398737.22349526652</v>
      </c>
      <c r="BC140" s="2">
        <f t="shared" si="36"/>
        <v>0</v>
      </c>
      <c r="BD140" s="2">
        <v>1789276.4563777065</v>
      </c>
    </row>
    <row r="141" spans="1:56" x14ac:dyDescent="0.35">
      <c r="A141">
        <v>2056</v>
      </c>
      <c r="B141">
        <v>3</v>
      </c>
      <c r="C141" s="15">
        <f t="shared" si="26"/>
        <v>5713106.1267218124</v>
      </c>
      <c r="D141" s="9">
        <v>57253</v>
      </c>
      <c r="E141" s="2">
        <v>5713106.1267218124</v>
      </c>
      <c r="F141" s="2">
        <v>333927.04551066045</v>
      </c>
      <c r="G141" s="10">
        <f t="shared" si="37"/>
        <v>0</v>
      </c>
      <c r="H141" s="10">
        <f t="shared" si="38"/>
        <v>5379179.0812111516</v>
      </c>
      <c r="I141" s="13" t="str">
        <f t="shared" si="49"/>
        <v/>
      </c>
      <c r="J141" s="14">
        <f t="shared" si="27"/>
        <v>6462756.9126166673</v>
      </c>
      <c r="K141" s="2">
        <v>6462756.9126166673</v>
      </c>
      <c r="L141" s="2">
        <v>423976.36409429874</v>
      </c>
      <c r="M141" s="2">
        <f t="shared" si="39"/>
        <v>0</v>
      </c>
      <c r="N141" s="2">
        <f t="shared" si="40"/>
        <v>6038780.548522369</v>
      </c>
      <c r="P141" s="2">
        <f t="shared" si="28"/>
        <v>6591301.003130747</v>
      </c>
      <c r="Q141" s="2">
        <v>6591301.003130747</v>
      </c>
      <c r="R141" s="2">
        <v>539439.02036533726</v>
      </c>
      <c r="S141" s="2">
        <f t="shared" si="41"/>
        <v>0</v>
      </c>
      <c r="T141" s="2">
        <f t="shared" si="42"/>
        <v>6051861.9827654101</v>
      </c>
      <c r="V141" s="11">
        <f t="shared" si="29"/>
        <v>6703219.4541678922</v>
      </c>
      <c r="W141" s="2">
        <v>6703219.4541678922</v>
      </c>
      <c r="X141" s="2">
        <v>643405.67548712762</v>
      </c>
      <c r="Y141" s="2">
        <f t="shared" si="43"/>
        <v>0</v>
      </c>
      <c r="Z141" s="2">
        <f t="shared" si="44"/>
        <v>6059813.7786807641</v>
      </c>
      <c r="AB141" s="2">
        <f t="shared" si="30"/>
        <v>6777611.7555889403</v>
      </c>
      <c r="AC141" s="2">
        <v>6777611.7555889403</v>
      </c>
      <c r="AD141" s="2">
        <v>749440.35155529471</v>
      </c>
      <c r="AE141" s="2">
        <f t="shared" si="45"/>
        <v>0</v>
      </c>
      <c r="AF141" s="2">
        <f t="shared" si="46"/>
        <v>6028171.404033646</v>
      </c>
      <c r="AH141" s="2">
        <f t="shared" si="31"/>
        <v>6410901.062231333</v>
      </c>
      <c r="AI141" s="2">
        <v>6410901.062231333</v>
      </c>
      <c r="AJ141" s="2">
        <v>389835.40830978088</v>
      </c>
      <c r="AK141" s="2">
        <f t="shared" si="47"/>
        <v>0</v>
      </c>
      <c r="AL141" s="2">
        <v>1719362.9588393355</v>
      </c>
      <c r="AM141" s="2"/>
      <c r="AN141" s="2">
        <f t="shared" si="32"/>
        <v>6490312.3536326513</v>
      </c>
      <c r="AO141" s="2">
        <v>6490312.3536326513</v>
      </c>
      <c r="AP141" s="2">
        <v>437540.38166598364</v>
      </c>
      <c r="AQ141" s="2">
        <f t="shared" si="48"/>
        <v>0</v>
      </c>
      <c r="AR141" s="2">
        <v>1702128.27405323</v>
      </c>
      <c r="AS141" s="2"/>
      <c r="AT141" s="2">
        <f t="shared" si="33"/>
        <v>6561697.032560966</v>
      </c>
      <c r="AU141" s="2">
        <v>6561697.032560966</v>
      </c>
      <c r="AV141" s="2">
        <v>488568.8925924144</v>
      </c>
      <c r="AW141" s="2">
        <f t="shared" si="34"/>
        <v>0</v>
      </c>
      <c r="AX141" s="2">
        <v>1677263.0566639891</v>
      </c>
      <c r="AY141" s="2"/>
      <c r="AZ141" s="2">
        <f t="shared" si="35"/>
        <v>6618817.3765423708</v>
      </c>
      <c r="BA141" s="2">
        <v>6618817.3765423708</v>
      </c>
      <c r="BB141" s="2">
        <v>540121.28254417086</v>
      </c>
      <c r="BC141" s="2">
        <f t="shared" si="36"/>
        <v>0</v>
      </c>
      <c r="BD141" s="2">
        <v>1648592.2960548238</v>
      </c>
    </row>
    <row r="142" spans="1:56" x14ac:dyDescent="0.35">
      <c r="A142">
        <v>2056</v>
      </c>
      <c r="B142">
        <v>4</v>
      </c>
      <c r="C142" s="15">
        <f t="shared" si="26"/>
        <v>1225972.2151794268</v>
      </c>
      <c r="D142" s="9">
        <v>57345</v>
      </c>
      <c r="E142" s="2">
        <v>1225972.2151794268</v>
      </c>
      <c r="F142" s="2">
        <v>18830.358834410177</v>
      </c>
      <c r="G142" s="10">
        <f t="shared" si="37"/>
        <v>0</v>
      </c>
      <c r="H142" s="10">
        <f t="shared" si="38"/>
        <v>1207141.8563450167</v>
      </c>
      <c r="I142" s="13" t="str">
        <f t="shared" si="49"/>
        <v/>
      </c>
      <c r="J142" s="14">
        <f t="shared" si="27"/>
        <v>1304776.0362551606</v>
      </c>
      <c r="K142" s="2">
        <v>1304776.0362551606</v>
      </c>
      <c r="L142" s="2">
        <v>20550.899561224185</v>
      </c>
      <c r="M142" s="2">
        <f t="shared" si="39"/>
        <v>0</v>
      </c>
      <c r="N142" s="2">
        <f t="shared" si="40"/>
        <v>1284225.1366939363</v>
      </c>
      <c r="P142" s="2">
        <f t="shared" si="28"/>
        <v>1299221.550721379</v>
      </c>
      <c r="Q142" s="2">
        <v>1299221.550721379</v>
      </c>
      <c r="R142" s="2">
        <v>23101.576998826124</v>
      </c>
      <c r="S142" s="2">
        <f t="shared" si="41"/>
        <v>0</v>
      </c>
      <c r="T142" s="2">
        <f t="shared" si="42"/>
        <v>1276119.9737225529</v>
      </c>
      <c r="V142" s="11">
        <f t="shared" si="29"/>
        <v>1292579.4376985789</v>
      </c>
      <c r="W142" s="2">
        <v>1292579.4376985789</v>
      </c>
      <c r="X142" s="2">
        <v>25709.756433198043</v>
      </c>
      <c r="Y142" s="2">
        <f t="shared" si="43"/>
        <v>0</v>
      </c>
      <c r="Z142" s="2">
        <f t="shared" si="44"/>
        <v>1266869.6812653809</v>
      </c>
      <c r="AB142" s="2">
        <f t="shared" si="30"/>
        <v>1284477.8824832393</v>
      </c>
      <c r="AC142" s="2">
        <v>1284477.8824832393</v>
      </c>
      <c r="AD142" s="2">
        <v>28655.436404398886</v>
      </c>
      <c r="AE142" s="2">
        <f t="shared" si="45"/>
        <v>0</v>
      </c>
      <c r="AF142" s="2">
        <f t="shared" si="46"/>
        <v>1255822.4460788404</v>
      </c>
      <c r="AH142" s="2">
        <f t="shared" si="31"/>
        <v>1306020.2579004962</v>
      </c>
      <c r="AI142" s="2">
        <v>1306020.2579004962</v>
      </c>
      <c r="AJ142" s="2">
        <v>19870.0093540214</v>
      </c>
      <c r="AK142" s="2">
        <f t="shared" si="47"/>
        <v>0</v>
      </c>
      <c r="AL142" s="2">
        <v>1506714.9023368526</v>
      </c>
      <c r="AM142" s="2"/>
      <c r="AN142" s="2">
        <f t="shared" si="32"/>
        <v>1302842.3730934742</v>
      </c>
      <c r="AO142" s="2">
        <v>1302842.3730934742</v>
      </c>
      <c r="AP142" s="2">
        <v>20830.893577347415</v>
      </c>
      <c r="AQ142" s="2">
        <f t="shared" si="48"/>
        <v>0</v>
      </c>
      <c r="AR142" s="2">
        <v>1553602.5150294383</v>
      </c>
      <c r="AS142" s="2"/>
      <c r="AT142" s="2">
        <f t="shared" si="33"/>
        <v>1300530.7139486193</v>
      </c>
      <c r="AU142" s="2">
        <v>1300530.7139486193</v>
      </c>
      <c r="AV142" s="2">
        <v>21931.575445156999</v>
      </c>
      <c r="AW142" s="2">
        <f t="shared" si="34"/>
        <v>0</v>
      </c>
      <c r="AX142" s="2">
        <v>1599189.6093296553</v>
      </c>
      <c r="AY142" s="2"/>
      <c r="AZ142" s="2">
        <f t="shared" si="35"/>
        <v>1297956.2891537913</v>
      </c>
      <c r="BA142" s="2">
        <v>1297956.2891537913</v>
      </c>
      <c r="BB142" s="2">
        <v>23117.752461824581</v>
      </c>
      <c r="BC142" s="2">
        <f t="shared" si="36"/>
        <v>0</v>
      </c>
      <c r="BD142" s="2">
        <v>1642314.7703926647</v>
      </c>
    </row>
    <row r="143" spans="1:56" x14ac:dyDescent="0.35">
      <c r="D143" s="9">
        <v>57435</v>
      </c>
      <c r="E143" s="2">
        <v>0</v>
      </c>
      <c r="F143" s="2">
        <v>821.48735272162185</v>
      </c>
      <c r="G143" s="10">
        <f t="shared" si="37"/>
        <v>0</v>
      </c>
      <c r="H143" s="10">
        <f t="shared" si="38"/>
        <v>-821.48735272162185</v>
      </c>
      <c r="I143" s="13" t="str">
        <f t="shared" si="49"/>
        <v/>
      </c>
      <c r="J143" s="14"/>
      <c r="K143" s="2">
        <v>0</v>
      </c>
      <c r="L143" s="2">
        <v>889.01461443843368</v>
      </c>
      <c r="M143" s="2">
        <f t="shared" si="39"/>
        <v>0</v>
      </c>
      <c r="N143" s="2">
        <f t="shared" si="40"/>
        <v>-889.01461443843368</v>
      </c>
      <c r="Q143" s="2">
        <v>0</v>
      </c>
      <c r="R143" s="2">
        <v>989.22664050811977</v>
      </c>
      <c r="S143" s="2">
        <f t="shared" si="41"/>
        <v>0</v>
      </c>
      <c r="T143" s="2">
        <f t="shared" si="42"/>
        <v>-989.22664050811977</v>
      </c>
      <c r="W143" s="2">
        <v>0</v>
      </c>
      <c r="X143" s="2">
        <v>1091.7902460683033</v>
      </c>
      <c r="Y143" s="2">
        <f t="shared" si="43"/>
        <v>0</v>
      </c>
      <c r="Z143" s="2">
        <f t="shared" si="44"/>
        <v>-1091.7902460683033</v>
      </c>
      <c r="AC143" s="2">
        <v>0</v>
      </c>
      <c r="AD143" s="2">
        <v>1207.705026063526</v>
      </c>
      <c r="AE143" s="2">
        <f t="shared" si="45"/>
        <v>0</v>
      </c>
      <c r="AF143" s="2">
        <f t="shared" si="46"/>
        <v>-1207.705026063526</v>
      </c>
      <c r="AH143" s="2"/>
      <c r="AI143" s="2">
        <v>0</v>
      </c>
      <c r="AJ143" s="2">
        <v>862.28333710349739</v>
      </c>
      <c r="AK143" s="2">
        <f t="shared" si="47"/>
        <v>0</v>
      </c>
      <c r="AL143" s="2">
        <v>-862.28333710349739</v>
      </c>
      <c r="AM143" s="2"/>
      <c r="AN143" s="2"/>
      <c r="AO143" s="2">
        <v>0</v>
      </c>
      <c r="AP143" s="2">
        <v>900.00968544723639</v>
      </c>
      <c r="AQ143" s="2">
        <f t="shared" si="48"/>
        <v>0</v>
      </c>
      <c r="AR143" s="2">
        <v>-900.00968544723639</v>
      </c>
      <c r="AS143" s="2"/>
      <c r="AT143" s="2"/>
      <c r="AU143" s="2">
        <v>0</v>
      </c>
      <c r="AV143" s="2">
        <v>943.24605119179455</v>
      </c>
      <c r="AW143" s="2">
        <f t="shared" si="34"/>
        <v>0</v>
      </c>
      <c r="AX143" s="2">
        <v>-943.24605119179455</v>
      </c>
      <c r="AY143" s="2"/>
      <c r="AZ143" s="2"/>
      <c r="BA143" s="2">
        <v>0</v>
      </c>
      <c r="BB143" s="2">
        <v>989.86246720512395</v>
      </c>
      <c r="BC143" s="2">
        <f t="shared" si="36"/>
        <v>0</v>
      </c>
      <c r="BD143" s="2">
        <v>-989.86246720512395</v>
      </c>
    </row>
    <row r="144" spans="1:56" x14ac:dyDescent="0.35">
      <c r="D144" s="9">
        <v>57526</v>
      </c>
      <c r="E144" s="2">
        <v>0</v>
      </c>
      <c r="F144" s="2">
        <v>821.48735272162185</v>
      </c>
      <c r="G144" s="10">
        <f t="shared" si="37"/>
        <v>0</v>
      </c>
      <c r="H144" s="10">
        <f t="shared" si="38"/>
        <v>-821.48735272162185</v>
      </c>
      <c r="I144" s="13" t="str">
        <f t="shared" si="49"/>
        <v/>
      </c>
      <c r="J144" s="14"/>
      <c r="K144" s="2">
        <v>0</v>
      </c>
      <c r="L144" s="2">
        <v>889.01461443843368</v>
      </c>
      <c r="M144" s="2">
        <f t="shared" si="39"/>
        <v>0</v>
      </c>
      <c r="N144" s="2">
        <f t="shared" si="40"/>
        <v>-889.01461443843368</v>
      </c>
      <c r="Q144" s="2">
        <v>0</v>
      </c>
      <c r="R144" s="2">
        <v>989.22664050811977</v>
      </c>
      <c r="S144" s="2">
        <f t="shared" si="41"/>
        <v>0</v>
      </c>
      <c r="T144" s="2">
        <f t="shared" si="42"/>
        <v>-989.22664050811977</v>
      </c>
      <c r="W144" s="2">
        <v>0</v>
      </c>
      <c r="X144" s="2">
        <v>1091.7902460683033</v>
      </c>
      <c r="Y144" s="2">
        <f t="shared" si="43"/>
        <v>0</v>
      </c>
      <c r="Z144" s="2">
        <f t="shared" si="44"/>
        <v>-1091.7902460683033</v>
      </c>
      <c r="AC144" s="2">
        <v>0</v>
      </c>
      <c r="AD144" s="2">
        <v>1207.705026063526</v>
      </c>
      <c r="AE144" s="2">
        <f t="shared" si="45"/>
        <v>0</v>
      </c>
      <c r="AF144" s="2">
        <f t="shared" si="46"/>
        <v>-1207.705026063526</v>
      </c>
      <c r="AH144" s="2"/>
      <c r="AI144" s="2">
        <v>0</v>
      </c>
      <c r="AJ144" s="2">
        <v>862.28333710349739</v>
      </c>
      <c r="AK144" s="2">
        <f t="shared" si="47"/>
        <v>0</v>
      </c>
      <c r="AL144" s="2">
        <v>-862.28333710349739</v>
      </c>
      <c r="AM144" s="2"/>
      <c r="AN144" s="2"/>
      <c r="AO144" s="2">
        <v>0</v>
      </c>
      <c r="AP144" s="2">
        <v>900.00968544723639</v>
      </c>
      <c r="AQ144" s="2">
        <f t="shared" si="48"/>
        <v>0</v>
      </c>
      <c r="AR144" s="2">
        <v>-900.00968544723639</v>
      </c>
      <c r="AS144" s="2"/>
      <c r="AT144" s="2"/>
      <c r="AU144" s="2">
        <v>0</v>
      </c>
      <c r="AV144" s="2">
        <v>943.24605119179455</v>
      </c>
      <c r="AW144" s="2">
        <f t="shared" si="34"/>
        <v>0</v>
      </c>
      <c r="AX144" s="2">
        <v>-943.24605119179455</v>
      </c>
      <c r="AY144" s="2"/>
      <c r="AZ144" s="2"/>
      <c r="BA144" s="2">
        <v>0</v>
      </c>
      <c r="BB144" s="2">
        <v>989.86246720512395</v>
      </c>
      <c r="BC144" s="2">
        <f t="shared" si="36"/>
        <v>0</v>
      </c>
      <c r="BD144" s="2">
        <v>-989.86246720512395</v>
      </c>
    </row>
    <row r="145" spans="4:56" x14ac:dyDescent="0.35">
      <c r="D145" s="9">
        <v>57618</v>
      </c>
      <c r="E145" s="2">
        <v>0</v>
      </c>
      <c r="F145" s="2">
        <v>821.48735272162185</v>
      </c>
      <c r="G145" s="10">
        <f t="shared" si="37"/>
        <v>0</v>
      </c>
      <c r="H145" s="10">
        <f t="shared" si="38"/>
        <v>-821.48735272162185</v>
      </c>
      <c r="I145" s="13" t="str">
        <f t="shared" si="49"/>
        <v/>
      </c>
      <c r="J145" s="14"/>
      <c r="K145" s="2">
        <v>0</v>
      </c>
      <c r="L145" s="2">
        <v>889.01461443843368</v>
      </c>
      <c r="M145" s="2">
        <f t="shared" si="39"/>
        <v>0</v>
      </c>
      <c r="N145" s="2">
        <f t="shared" si="40"/>
        <v>-889.01461443843368</v>
      </c>
      <c r="Q145" s="2">
        <v>0</v>
      </c>
      <c r="R145" s="2">
        <v>989.22664050811977</v>
      </c>
      <c r="S145" s="2">
        <f t="shared" si="41"/>
        <v>0</v>
      </c>
      <c r="T145" s="2">
        <f t="shared" si="42"/>
        <v>-989.22664050811977</v>
      </c>
      <c r="W145" s="2">
        <v>0</v>
      </c>
      <c r="X145" s="2">
        <v>1091.7902460683033</v>
      </c>
      <c r="Y145" s="2">
        <f t="shared" si="43"/>
        <v>0</v>
      </c>
      <c r="Z145" s="2">
        <f t="shared" si="44"/>
        <v>-1091.7902460683033</v>
      </c>
      <c r="AC145" s="2">
        <v>0</v>
      </c>
      <c r="AD145" s="2">
        <v>1207.705026063526</v>
      </c>
      <c r="AE145" s="2">
        <f t="shared" si="45"/>
        <v>0</v>
      </c>
      <c r="AF145" s="2">
        <f t="shared" si="46"/>
        <v>-1207.705026063526</v>
      </c>
      <c r="AH145" s="2"/>
      <c r="AI145" s="2">
        <v>0</v>
      </c>
      <c r="AJ145" s="2">
        <v>862.28333710349739</v>
      </c>
      <c r="AK145" s="2">
        <f t="shared" si="47"/>
        <v>0</v>
      </c>
      <c r="AL145" s="2">
        <v>-862.28333710349739</v>
      </c>
      <c r="AM145" s="2"/>
      <c r="AN145" s="2"/>
      <c r="AO145" s="2">
        <v>0</v>
      </c>
      <c r="AP145" s="2">
        <v>900.00968544723639</v>
      </c>
      <c r="AQ145" s="2">
        <f t="shared" si="48"/>
        <v>0</v>
      </c>
      <c r="AR145" s="2">
        <v>-900.00968544723639</v>
      </c>
      <c r="AS145" s="2"/>
      <c r="AT145" s="2"/>
      <c r="AU145" s="2">
        <v>0</v>
      </c>
      <c r="AV145" s="2">
        <v>943.24605119179455</v>
      </c>
      <c r="AW145" s="2">
        <f t="shared" si="34"/>
        <v>0</v>
      </c>
      <c r="AX145" s="2">
        <v>-943.24605119179455</v>
      </c>
      <c r="AY145" s="2"/>
      <c r="AZ145" s="2"/>
      <c r="BA145" s="2">
        <v>0</v>
      </c>
      <c r="BB145" s="2">
        <v>989.86246720512395</v>
      </c>
      <c r="BC145" s="2">
        <f t="shared" si="36"/>
        <v>0</v>
      </c>
      <c r="BD145" s="2">
        <v>-989.86246720512395</v>
      </c>
    </row>
    <row r="146" spans="4:56" x14ac:dyDescent="0.35">
      <c r="D146" s="9">
        <v>57710</v>
      </c>
      <c r="E146" s="2">
        <v>0</v>
      </c>
      <c r="F146" s="2">
        <v>821.48735272162185</v>
      </c>
      <c r="G146" s="10">
        <f t="shared" si="37"/>
        <v>0</v>
      </c>
      <c r="H146" s="10">
        <f t="shared" si="38"/>
        <v>-821.48735272162185</v>
      </c>
      <c r="I146" s="13" t="str">
        <f t="shared" si="49"/>
        <v/>
      </c>
      <c r="J146" s="14"/>
      <c r="K146" s="2">
        <v>0</v>
      </c>
      <c r="L146" s="2">
        <v>889.01461443843368</v>
      </c>
      <c r="M146" s="2">
        <f t="shared" si="39"/>
        <v>0</v>
      </c>
      <c r="N146" s="2">
        <f t="shared" si="40"/>
        <v>-889.01461443843368</v>
      </c>
      <c r="Q146" s="2">
        <v>0</v>
      </c>
      <c r="R146" s="2">
        <v>989.22664050811977</v>
      </c>
      <c r="S146" s="2">
        <f t="shared" si="41"/>
        <v>0</v>
      </c>
      <c r="T146" s="2">
        <f t="shared" si="42"/>
        <v>-989.22664050811977</v>
      </c>
      <c r="W146" s="2">
        <v>0</v>
      </c>
      <c r="X146" s="2">
        <v>1091.7902460683033</v>
      </c>
      <c r="Y146" s="2">
        <f t="shared" si="43"/>
        <v>0</v>
      </c>
      <c r="Z146" s="2">
        <f t="shared" si="44"/>
        <v>-1091.7902460683033</v>
      </c>
      <c r="AC146" s="2">
        <v>0</v>
      </c>
      <c r="AD146" s="2">
        <v>1207.705026063526</v>
      </c>
      <c r="AE146" s="2">
        <f t="shared" si="45"/>
        <v>0</v>
      </c>
      <c r="AF146" s="2">
        <f t="shared" si="46"/>
        <v>-1207.705026063526</v>
      </c>
      <c r="AH146" s="2"/>
      <c r="AI146" s="2">
        <v>0</v>
      </c>
      <c r="AJ146" s="2">
        <v>862.28333710349739</v>
      </c>
      <c r="AK146" s="2">
        <f t="shared" si="47"/>
        <v>0</v>
      </c>
      <c r="AL146" s="2">
        <v>-862.28333710349739</v>
      </c>
      <c r="AM146" s="2"/>
      <c r="AN146" s="2"/>
      <c r="AO146" s="2">
        <v>0</v>
      </c>
      <c r="AP146" s="2">
        <v>900.00968544723639</v>
      </c>
      <c r="AQ146" s="2">
        <f t="shared" si="48"/>
        <v>0</v>
      </c>
      <c r="AR146" s="2">
        <v>-900.00968544723639</v>
      </c>
      <c r="AS146" s="2"/>
      <c r="AT146" s="2"/>
      <c r="AU146" s="2">
        <v>0</v>
      </c>
      <c r="AV146" s="2">
        <v>943.24605119179455</v>
      </c>
      <c r="AW146" s="2">
        <f t="shared" si="34"/>
        <v>0</v>
      </c>
      <c r="AX146" s="2">
        <v>-943.24605119179455</v>
      </c>
      <c r="AY146" s="2"/>
      <c r="AZ146" s="2"/>
      <c r="BA146" s="2">
        <v>0</v>
      </c>
      <c r="BB146" s="2">
        <v>989.86246720512395</v>
      </c>
      <c r="BC146" s="2">
        <f t="shared" si="36"/>
        <v>0</v>
      </c>
      <c r="BD146" s="2">
        <v>-989.86246720512395</v>
      </c>
    </row>
    <row r="147" spans="4:56" x14ac:dyDescent="0.35">
      <c r="D147" s="9">
        <v>57800</v>
      </c>
      <c r="E147" s="2">
        <v>0</v>
      </c>
      <c r="F147" s="2">
        <v>821.48735272162185</v>
      </c>
      <c r="G147" s="10">
        <f t="shared" si="37"/>
        <v>0</v>
      </c>
      <c r="H147" s="10">
        <f t="shared" si="38"/>
        <v>-821.48735272162185</v>
      </c>
      <c r="I147" s="13" t="str">
        <f t="shared" si="49"/>
        <v/>
      </c>
      <c r="J147" s="14"/>
      <c r="K147" s="2">
        <v>0</v>
      </c>
      <c r="L147" s="2">
        <v>889.01461443843368</v>
      </c>
      <c r="M147" s="2">
        <f t="shared" si="39"/>
        <v>0</v>
      </c>
      <c r="N147" s="2">
        <f t="shared" si="40"/>
        <v>-889.01461443843368</v>
      </c>
      <c r="Q147" s="2">
        <v>0</v>
      </c>
      <c r="R147" s="2">
        <v>989.22664050811977</v>
      </c>
      <c r="S147" s="2">
        <f t="shared" si="41"/>
        <v>0</v>
      </c>
      <c r="T147" s="2">
        <f t="shared" si="42"/>
        <v>-989.22664050811977</v>
      </c>
      <c r="W147" s="2">
        <v>0</v>
      </c>
      <c r="X147" s="2">
        <v>1091.7902460683033</v>
      </c>
      <c r="Y147" s="2">
        <f t="shared" si="43"/>
        <v>0</v>
      </c>
      <c r="Z147" s="2">
        <f t="shared" si="44"/>
        <v>-1091.7902460683033</v>
      </c>
      <c r="AC147" s="2">
        <v>0</v>
      </c>
      <c r="AD147" s="2">
        <v>1207.705026063526</v>
      </c>
      <c r="AE147" s="2">
        <f t="shared" si="45"/>
        <v>0</v>
      </c>
      <c r="AF147" s="2">
        <f t="shared" si="46"/>
        <v>-1207.705026063526</v>
      </c>
      <c r="AH147" s="2"/>
      <c r="AI147" s="2">
        <v>0</v>
      </c>
      <c r="AJ147" s="2">
        <v>862.28333710349739</v>
      </c>
      <c r="AK147" s="2">
        <f t="shared" si="47"/>
        <v>0</v>
      </c>
      <c r="AL147" s="2">
        <v>-862.28333710349739</v>
      </c>
      <c r="AM147" s="2"/>
      <c r="AN147" s="2"/>
      <c r="AO147" s="2">
        <v>0</v>
      </c>
      <c r="AP147" s="2">
        <v>900.00968544723639</v>
      </c>
      <c r="AQ147" s="2">
        <f t="shared" si="48"/>
        <v>0</v>
      </c>
      <c r="AR147" s="2">
        <v>-900.00968544723639</v>
      </c>
      <c r="AS147" s="2"/>
      <c r="AT147" s="2"/>
      <c r="AU147" s="2">
        <v>0</v>
      </c>
      <c r="AV147" s="2">
        <v>943.24605119179455</v>
      </c>
      <c r="AW147" s="2">
        <f t="shared" si="34"/>
        <v>0</v>
      </c>
      <c r="AX147" s="2">
        <v>-943.24605119179455</v>
      </c>
      <c r="AY147" s="2"/>
      <c r="AZ147" s="2"/>
      <c r="BA147" s="2">
        <v>0</v>
      </c>
      <c r="BB147" s="2">
        <v>989.86246720512395</v>
      </c>
      <c r="BC147" s="2">
        <f t="shared" si="36"/>
        <v>0</v>
      </c>
      <c r="BD147" s="2">
        <v>-989.86246720512395</v>
      </c>
    </row>
    <row r="148" spans="4:56" x14ac:dyDescent="0.35">
      <c r="D148" s="9">
        <v>57891</v>
      </c>
      <c r="E148" s="2">
        <v>0</v>
      </c>
      <c r="F148" s="2">
        <v>821.48735272162185</v>
      </c>
      <c r="G148" s="10">
        <f t="shared" si="37"/>
        <v>0</v>
      </c>
      <c r="H148" s="10">
        <f t="shared" si="38"/>
        <v>-821.48735272162185</v>
      </c>
      <c r="I148" s="13" t="str">
        <f t="shared" si="49"/>
        <v/>
      </c>
      <c r="J148" s="14"/>
      <c r="K148" s="2">
        <v>0</v>
      </c>
      <c r="L148" s="2">
        <v>889.01461443843368</v>
      </c>
      <c r="M148" s="2">
        <f t="shared" si="39"/>
        <v>0</v>
      </c>
      <c r="N148" s="2">
        <f t="shared" si="40"/>
        <v>-889.01461443843368</v>
      </c>
      <c r="Q148" s="2">
        <v>0</v>
      </c>
      <c r="R148" s="2">
        <v>989.22664050811977</v>
      </c>
      <c r="S148" s="2">
        <f t="shared" si="41"/>
        <v>0</v>
      </c>
      <c r="T148" s="2">
        <f t="shared" si="42"/>
        <v>-989.22664050811977</v>
      </c>
      <c r="W148" s="2">
        <v>0</v>
      </c>
      <c r="X148" s="2">
        <v>1091.7902460683033</v>
      </c>
      <c r="Y148" s="2">
        <f t="shared" si="43"/>
        <v>0</v>
      </c>
      <c r="Z148" s="2">
        <f t="shared" si="44"/>
        <v>-1091.7902460683033</v>
      </c>
      <c r="AC148" s="2">
        <v>0</v>
      </c>
      <c r="AD148" s="2">
        <v>1207.705026063526</v>
      </c>
      <c r="AE148" s="2">
        <f t="shared" si="45"/>
        <v>0</v>
      </c>
      <c r="AF148" s="2">
        <f t="shared" si="46"/>
        <v>-1207.705026063526</v>
      </c>
      <c r="AH148" s="2"/>
      <c r="AI148" s="2">
        <v>0</v>
      </c>
      <c r="AJ148" s="2">
        <v>862.28333710349739</v>
      </c>
      <c r="AK148" s="2">
        <f t="shared" si="47"/>
        <v>0</v>
      </c>
      <c r="AL148" s="2">
        <v>-862.28333710349739</v>
      </c>
      <c r="AM148" s="2"/>
      <c r="AN148" s="2"/>
      <c r="AO148" s="2">
        <v>0</v>
      </c>
      <c r="AP148" s="2">
        <v>900.00968544723639</v>
      </c>
      <c r="AQ148" s="2">
        <f t="shared" si="48"/>
        <v>0</v>
      </c>
      <c r="AR148" s="2">
        <v>-900.00968544723639</v>
      </c>
      <c r="AS148" s="2"/>
      <c r="AT148" s="2"/>
      <c r="AU148" s="2">
        <v>0</v>
      </c>
      <c r="AV148" s="2">
        <v>943.24605119179455</v>
      </c>
      <c r="AW148" s="2">
        <f t="shared" ref="AW148:AW157" si="50">AT148-AU148</f>
        <v>0</v>
      </c>
      <c r="AX148" s="2">
        <v>-943.24605119179455</v>
      </c>
      <c r="AY148" s="2"/>
      <c r="AZ148" s="2"/>
      <c r="BA148" s="2">
        <v>0</v>
      </c>
      <c r="BB148" s="2">
        <v>989.86246720512395</v>
      </c>
      <c r="BC148" s="2">
        <f t="shared" ref="BC148:BC157" si="51">AZ148-BA148</f>
        <v>0</v>
      </c>
      <c r="BD148" s="2">
        <v>-989.86246720512395</v>
      </c>
    </row>
    <row r="149" spans="4:56" x14ac:dyDescent="0.35">
      <c r="D149" s="9">
        <v>57983</v>
      </c>
      <c r="E149" s="2">
        <v>0</v>
      </c>
      <c r="F149" s="2">
        <v>821.48735272162185</v>
      </c>
      <c r="G149" s="10">
        <f t="shared" si="37"/>
        <v>0</v>
      </c>
      <c r="H149" s="10">
        <f t="shared" si="38"/>
        <v>-821.48735272162185</v>
      </c>
      <c r="I149" s="13" t="str">
        <f t="shared" si="49"/>
        <v/>
      </c>
      <c r="J149" s="14"/>
      <c r="K149" s="2">
        <v>0</v>
      </c>
      <c r="L149" s="2">
        <v>889.01461443843368</v>
      </c>
      <c r="M149" s="2">
        <f t="shared" si="39"/>
        <v>0</v>
      </c>
      <c r="N149" s="2">
        <f t="shared" si="40"/>
        <v>-889.01461443843368</v>
      </c>
      <c r="Q149" s="2">
        <v>0</v>
      </c>
      <c r="R149" s="2">
        <v>989.22664050811977</v>
      </c>
      <c r="S149" s="2">
        <f t="shared" si="41"/>
        <v>0</v>
      </c>
      <c r="T149" s="2">
        <f t="shared" si="42"/>
        <v>-989.22664050811977</v>
      </c>
      <c r="W149" s="2">
        <v>0</v>
      </c>
      <c r="X149" s="2">
        <v>1091.7902460683033</v>
      </c>
      <c r="Y149" s="2">
        <f t="shared" si="43"/>
        <v>0</v>
      </c>
      <c r="Z149" s="2">
        <f t="shared" si="44"/>
        <v>-1091.7902460683033</v>
      </c>
      <c r="AC149" s="2">
        <v>0</v>
      </c>
      <c r="AD149" s="2">
        <v>1207.705026063526</v>
      </c>
      <c r="AE149" s="2">
        <f t="shared" si="45"/>
        <v>0</v>
      </c>
      <c r="AF149" s="2">
        <f t="shared" si="46"/>
        <v>-1207.705026063526</v>
      </c>
      <c r="AH149" s="2"/>
      <c r="AI149" s="2">
        <v>0</v>
      </c>
      <c r="AJ149" s="2">
        <v>862.28333710349739</v>
      </c>
      <c r="AK149" s="2">
        <f t="shared" si="47"/>
        <v>0</v>
      </c>
      <c r="AL149" s="2">
        <v>-862.28333710349739</v>
      </c>
      <c r="AM149" s="2"/>
      <c r="AN149" s="2"/>
      <c r="AO149" s="2">
        <v>0</v>
      </c>
      <c r="AP149" s="2">
        <v>900.00968544723639</v>
      </c>
      <c r="AQ149" s="2">
        <f t="shared" si="48"/>
        <v>0</v>
      </c>
      <c r="AR149" s="2">
        <v>-900.00968544723639</v>
      </c>
      <c r="AS149" s="2"/>
      <c r="AT149" s="2"/>
      <c r="AU149" s="2">
        <v>0</v>
      </c>
      <c r="AV149" s="2">
        <v>943.24605119179455</v>
      </c>
      <c r="AW149" s="2">
        <f t="shared" si="50"/>
        <v>0</v>
      </c>
      <c r="AX149" s="2">
        <v>-943.24605119179455</v>
      </c>
      <c r="AY149" s="2"/>
      <c r="AZ149" s="2"/>
      <c r="BA149" s="2">
        <v>0</v>
      </c>
      <c r="BB149" s="2">
        <v>989.86246720512395</v>
      </c>
      <c r="BC149" s="2">
        <f t="shared" si="51"/>
        <v>0</v>
      </c>
      <c r="BD149" s="2">
        <v>-989.86246720512395</v>
      </c>
    </row>
    <row r="150" spans="4:56" x14ac:dyDescent="0.35">
      <c r="D150" s="9">
        <v>58075</v>
      </c>
      <c r="E150" s="2">
        <v>0</v>
      </c>
      <c r="F150" s="2">
        <v>821.48735272162185</v>
      </c>
      <c r="G150" s="10">
        <f t="shared" si="37"/>
        <v>0</v>
      </c>
      <c r="H150" s="10">
        <f t="shared" si="38"/>
        <v>-821.48735272162185</v>
      </c>
      <c r="I150" s="13" t="str">
        <f t="shared" si="49"/>
        <v/>
      </c>
      <c r="J150" s="14"/>
      <c r="K150" s="2">
        <v>0</v>
      </c>
      <c r="L150" s="2">
        <v>889.01461443843368</v>
      </c>
      <c r="M150" s="2">
        <f t="shared" si="39"/>
        <v>0</v>
      </c>
      <c r="N150" s="2">
        <f t="shared" si="40"/>
        <v>-889.01461443843368</v>
      </c>
      <c r="Q150" s="2">
        <v>0</v>
      </c>
      <c r="R150" s="2">
        <v>989.22664050811977</v>
      </c>
      <c r="S150" s="2">
        <f t="shared" si="41"/>
        <v>0</v>
      </c>
      <c r="T150" s="2">
        <f t="shared" si="42"/>
        <v>-989.22664050811977</v>
      </c>
      <c r="W150" s="2">
        <v>0</v>
      </c>
      <c r="X150" s="2">
        <v>1091.7902460683033</v>
      </c>
      <c r="Y150" s="2">
        <f t="shared" si="43"/>
        <v>0</v>
      </c>
      <c r="Z150" s="2">
        <f t="shared" si="44"/>
        <v>-1091.7902460683033</v>
      </c>
      <c r="AC150" s="2">
        <v>0</v>
      </c>
      <c r="AD150" s="2">
        <v>1207.705026063526</v>
      </c>
      <c r="AE150" s="2">
        <f t="shared" si="45"/>
        <v>0</v>
      </c>
      <c r="AF150" s="2">
        <f t="shared" si="46"/>
        <v>-1207.705026063526</v>
      </c>
      <c r="AH150" s="2"/>
      <c r="AI150" s="2">
        <v>0</v>
      </c>
      <c r="AJ150" s="2">
        <v>862.28333710349739</v>
      </c>
      <c r="AK150" s="2">
        <f t="shared" si="47"/>
        <v>0</v>
      </c>
      <c r="AL150" s="2">
        <v>-862.28333710349739</v>
      </c>
      <c r="AM150" s="2"/>
      <c r="AN150" s="2"/>
      <c r="AO150" s="2">
        <v>0</v>
      </c>
      <c r="AP150" s="2">
        <v>900.00968544723639</v>
      </c>
      <c r="AQ150" s="2">
        <f t="shared" si="48"/>
        <v>0</v>
      </c>
      <c r="AR150" s="2">
        <v>-900.00968544723639</v>
      </c>
      <c r="AS150" s="2"/>
      <c r="AT150" s="2"/>
      <c r="AU150" s="2">
        <v>0</v>
      </c>
      <c r="AV150" s="2">
        <v>943.24605119179455</v>
      </c>
      <c r="AW150" s="2">
        <f t="shared" si="50"/>
        <v>0</v>
      </c>
      <c r="AX150" s="2">
        <v>-943.24605119179455</v>
      </c>
      <c r="AY150" s="2"/>
      <c r="AZ150" s="2"/>
      <c r="BA150" s="2">
        <v>0</v>
      </c>
      <c r="BB150" s="2">
        <v>989.86246720512395</v>
      </c>
      <c r="BC150" s="2">
        <f t="shared" si="51"/>
        <v>0</v>
      </c>
      <c r="BD150" s="2">
        <v>-989.86246720512395</v>
      </c>
    </row>
    <row r="151" spans="4:56" x14ac:dyDescent="0.35">
      <c r="D151" s="9">
        <v>58165</v>
      </c>
      <c r="E151" s="2">
        <v>0</v>
      </c>
      <c r="F151" s="2">
        <v>821.48735272162185</v>
      </c>
      <c r="G151" s="10">
        <f t="shared" si="37"/>
        <v>0</v>
      </c>
      <c r="H151" s="10">
        <f t="shared" si="38"/>
        <v>-821.48735272162185</v>
      </c>
      <c r="I151" s="13" t="str">
        <f t="shared" si="49"/>
        <v/>
      </c>
      <c r="J151" s="14"/>
      <c r="K151" s="2">
        <v>0</v>
      </c>
      <c r="L151" s="2">
        <v>889.01461443843368</v>
      </c>
      <c r="M151" s="2">
        <f t="shared" si="39"/>
        <v>0</v>
      </c>
      <c r="N151" s="2">
        <f t="shared" si="40"/>
        <v>-889.01461443843368</v>
      </c>
      <c r="Q151" s="2">
        <v>0</v>
      </c>
      <c r="R151" s="2">
        <v>989.22664050811977</v>
      </c>
      <c r="S151" s="2">
        <f t="shared" si="41"/>
        <v>0</v>
      </c>
      <c r="T151" s="2">
        <f t="shared" si="42"/>
        <v>-989.22664050811977</v>
      </c>
      <c r="W151" s="2">
        <v>0</v>
      </c>
      <c r="X151" s="2">
        <v>1091.7902460683033</v>
      </c>
      <c r="Y151" s="2">
        <f t="shared" si="43"/>
        <v>0</v>
      </c>
      <c r="Z151" s="2">
        <f t="shared" si="44"/>
        <v>-1091.7902460683033</v>
      </c>
      <c r="AC151" s="2">
        <v>0</v>
      </c>
      <c r="AD151" s="2">
        <v>1207.705026063526</v>
      </c>
      <c r="AE151" s="2">
        <f t="shared" si="45"/>
        <v>0</v>
      </c>
      <c r="AF151" s="2">
        <f t="shared" si="46"/>
        <v>-1207.705026063526</v>
      </c>
      <c r="AH151" s="2"/>
      <c r="AI151" s="2">
        <v>0</v>
      </c>
      <c r="AJ151" s="2">
        <v>862.28333710349739</v>
      </c>
      <c r="AK151" s="2">
        <f t="shared" si="47"/>
        <v>0</v>
      </c>
      <c r="AL151" s="2">
        <v>-862.28333710349739</v>
      </c>
      <c r="AM151" s="2"/>
      <c r="AN151" s="2"/>
      <c r="AO151" s="2">
        <v>0</v>
      </c>
      <c r="AP151" s="2">
        <v>900.00968544723639</v>
      </c>
      <c r="AQ151" s="2">
        <f t="shared" si="48"/>
        <v>0</v>
      </c>
      <c r="AR151" s="2">
        <v>-900.00968544723639</v>
      </c>
      <c r="AS151" s="2"/>
      <c r="AT151" s="2"/>
      <c r="AU151" s="2">
        <v>0</v>
      </c>
      <c r="AV151" s="2">
        <v>943.24605119179455</v>
      </c>
      <c r="AW151" s="2">
        <f t="shared" si="50"/>
        <v>0</v>
      </c>
      <c r="AX151" s="2">
        <v>-943.24605119179455</v>
      </c>
      <c r="AY151" s="2"/>
      <c r="AZ151" s="2"/>
      <c r="BA151" s="2">
        <v>0</v>
      </c>
      <c r="BB151" s="2">
        <v>989.86246720512395</v>
      </c>
      <c r="BC151" s="2">
        <f t="shared" si="51"/>
        <v>0</v>
      </c>
      <c r="BD151" s="2">
        <v>-989.86246720512395</v>
      </c>
    </row>
    <row r="152" spans="4:56" x14ac:dyDescent="0.35">
      <c r="D152" s="9">
        <v>58256</v>
      </c>
      <c r="E152" s="2">
        <v>0</v>
      </c>
      <c r="F152" s="2">
        <v>821.48735272162185</v>
      </c>
      <c r="G152" s="10">
        <f t="shared" si="37"/>
        <v>0</v>
      </c>
      <c r="H152" s="10">
        <f t="shared" si="38"/>
        <v>-821.48735272162185</v>
      </c>
      <c r="I152" s="13" t="str">
        <f t="shared" si="49"/>
        <v/>
      </c>
      <c r="J152" s="14"/>
      <c r="K152" s="2">
        <v>0</v>
      </c>
      <c r="L152" s="2">
        <v>889.01461443843368</v>
      </c>
      <c r="M152" s="2">
        <f t="shared" si="39"/>
        <v>0</v>
      </c>
      <c r="N152" s="2">
        <f t="shared" si="40"/>
        <v>-889.01461443843368</v>
      </c>
      <c r="Q152" s="2">
        <v>0</v>
      </c>
      <c r="R152" s="2">
        <v>989.22664050811977</v>
      </c>
      <c r="S152" s="2">
        <f t="shared" si="41"/>
        <v>0</v>
      </c>
      <c r="T152" s="2">
        <f t="shared" si="42"/>
        <v>-989.22664050811977</v>
      </c>
      <c r="W152" s="2">
        <v>0</v>
      </c>
      <c r="X152" s="2">
        <v>1091.7902460683033</v>
      </c>
      <c r="Y152" s="2">
        <f t="shared" si="43"/>
        <v>0</v>
      </c>
      <c r="Z152" s="2">
        <f t="shared" si="44"/>
        <v>-1091.7902460683033</v>
      </c>
      <c r="AC152" s="2">
        <v>0</v>
      </c>
      <c r="AD152" s="2">
        <v>1207.705026063526</v>
      </c>
      <c r="AE152" s="2">
        <f t="shared" si="45"/>
        <v>0</v>
      </c>
      <c r="AF152" s="2">
        <f t="shared" si="46"/>
        <v>-1207.705026063526</v>
      </c>
      <c r="AH152" s="2"/>
      <c r="AI152" s="2">
        <v>0</v>
      </c>
      <c r="AJ152" s="2">
        <v>862.28333710349739</v>
      </c>
      <c r="AK152" s="2">
        <f t="shared" si="47"/>
        <v>0</v>
      </c>
      <c r="AL152" s="2">
        <v>-862.28333710349739</v>
      </c>
      <c r="AM152" s="2"/>
      <c r="AN152" s="2"/>
      <c r="AO152" s="2">
        <v>0</v>
      </c>
      <c r="AP152" s="2">
        <v>900.00968544723639</v>
      </c>
      <c r="AQ152" s="2">
        <f t="shared" si="48"/>
        <v>0</v>
      </c>
      <c r="AR152" s="2">
        <v>-900.00968544723639</v>
      </c>
      <c r="AS152" s="2"/>
      <c r="AT152" s="2"/>
      <c r="AU152" s="2">
        <v>0</v>
      </c>
      <c r="AV152" s="2">
        <v>943.24605119179455</v>
      </c>
      <c r="AW152" s="2">
        <f t="shared" si="50"/>
        <v>0</v>
      </c>
      <c r="AX152" s="2">
        <v>-943.24605119179455</v>
      </c>
      <c r="AY152" s="2"/>
      <c r="AZ152" s="2"/>
      <c r="BA152" s="2">
        <v>0</v>
      </c>
      <c r="BB152" s="2">
        <v>989.86246720512395</v>
      </c>
      <c r="BC152" s="2">
        <f t="shared" si="51"/>
        <v>0</v>
      </c>
      <c r="BD152" s="2">
        <v>-989.86246720512395</v>
      </c>
    </row>
    <row r="153" spans="4:56" x14ac:dyDescent="0.35">
      <c r="D153" s="9">
        <v>58348</v>
      </c>
      <c r="E153" s="2">
        <v>0</v>
      </c>
      <c r="F153" s="2">
        <v>821.48735272162185</v>
      </c>
      <c r="G153" s="10">
        <f t="shared" si="37"/>
        <v>0</v>
      </c>
      <c r="H153" s="10">
        <f t="shared" si="38"/>
        <v>-821.48735272162185</v>
      </c>
      <c r="I153" s="13" t="str">
        <f t="shared" si="49"/>
        <v/>
      </c>
      <c r="J153" s="14"/>
      <c r="K153" s="2">
        <v>0</v>
      </c>
      <c r="L153" s="2">
        <v>889.01461443843368</v>
      </c>
      <c r="M153" s="2">
        <f t="shared" si="39"/>
        <v>0</v>
      </c>
      <c r="N153" s="2">
        <f t="shared" si="40"/>
        <v>-889.01461443843368</v>
      </c>
      <c r="Q153" s="2">
        <v>0</v>
      </c>
      <c r="R153" s="2">
        <v>989.22664050811977</v>
      </c>
      <c r="S153" s="2">
        <f t="shared" si="41"/>
        <v>0</v>
      </c>
      <c r="T153" s="2">
        <f t="shared" si="42"/>
        <v>-989.22664050811977</v>
      </c>
      <c r="W153" s="2">
        <v>0</v>
      </c>
      <c r="X153" s="2">
        <v>1091.7902460683033</v>
      </c>
      <c r="Y153" s="2">
        <f t="shared" si="43"/>
        <v>0</v>
      </c>
      <c r="Z153" s="2">
        <f t="shared" si="44"/>
        <v>-1091.7902460683033</v>
      </c>
      <c r="AC153" s="2">
        <v>0</v>
      </c>
      <c r="AD153" s="2">
        <v>1207.705026063526</v>
      </c>
      <c r="AE153" s="2">
        <f t="shared" si="45"/>
        <v>0</v>
      </c>
      <c r="AF153" s="2">
        <f t="shared" si="46"/>
        <v>-1207.705026063526</v>
      </c>
      <c r="AH153" s="2"/>
      <c r="AI153" s="2">
        <v>0</v>
      </c>
      <c r="AJ153" s="2">
        <v>862.28333710349739</v>
      </c>
      <c r="AK153" s="2">
        <f t="shared" si="47"/>
        <v>0</v>
      </c>
      <c r="AL153" s="2">
        <v>-862.28333710349739</v>
      </c>
      <c r="AM153" s="2"/>
      <c r="AN153" s="2"/>
      <c r="AO153" s="2">
        <v>0</v>
      </c>
      <c r="AP153" s="2">
        <v>900.00968544723639</v>
      </c>
      <c r="AQ153" s="2">
        <f t="shared" si="48"/>
        <v>0</v>
      </c>
      <c r="AR153" s="2">
        <v>-900.00968544723639</v>
      </c>
      <c r="AS153" s="2"/>
      <c r="AT153" s="2"/>
      <c r="AU153" s="2">
        <v>0</v>
      </c>
      <c r="AV153" s="2">
        <v>943.24605119179455</v>
      </c>
      <c r="AW153" s="2">
        <f t="shared" si="50"/>
        <v>0</v>
      </c>
      <c r="AX153" s="2">
        <v>-943.24605119179455</v>
      </c>
      <c r="AY153" s="2"/>
      <c r="AZ153" s="2"/>
      <c r="BA153" s="2">
        <v>0</v>
      </c>
      <c r="BB153" s="2">
        <v>989.86246720512395</v>
      </c>
      <c r="BC153" s="2">
        <f t="shared" si="51"/>
        <v>0</v>
      </c>
      <c r="BD153" s="2">
        <v>-989.86246720512395</v>
      </c>
    </row>
    <row r="154" spans="4:56" x14ac:dyDescent="0.35">
      <c r="D154" s="9">
        <v>58440</v>
      </c>
      <c r="E154" s="2">
        <v>0</v>
      </c>
      <c r="F154" s="2">
        <v>821.48735272162185</v>
      </c>
      <c r="G154" s="10">
        <f t="shared" si="37"/>
        <v>0</v>
      </c>
      <c r="H154" s="10">
        <f t="shared" si="38"/>
        <v>-821.48735272162185</v>
      </c>
      <c r="I154" s="13" t="str">
        <f t="shared" si="49"/>
        <v/>
      </c>
      <c r="J154" s="14"/>
      <c r="K154" s="2">
        <v>0</v>
      </c>
      <c r="L154" s="2">
        <v>889.01461443843368</v>
      </c>
      <c r="M154" s="2">
        <f t="shared" si="39"/>
        <v>0</v>
      </c>
      <c r="N154" s="2">
        <f t="shared" si="40"/>
        <v>-889.01461443843368</v>
      </c>
      <c r="Q154" s="2">
        <v>0</v>
      </c>
      <c r="R154" s="2">
        <v>989.22664050811977</v>
      </c>
      <c r="S154" s="2">
        <f t="shared" si="41"/>
        <v>0</v>
      </c>
      <c r="T154" s="2">
        <f t="shared" si="42"/>
        <v>-989.22664050811977</v>
      </c>
      <c r="W154" s="2">
        <v>0</v>
      </c>
      <c r="X154" s="2">
        <v>1091.7902460683033</v>
      </c>
      <c r="Y154" s="2">
        <f t="shared" si="43"/>
        <v>0</v>
      </c>
      <c r="Z154" s="2">
        <f t="shared" si="44"/>
        <v>-1091.7902460683033</v>
      </c>
      <c r="AC154" s="2">
        <v>0</v>
      </c>
      <c r="AD154" s="2">
        <v>1207.705026063526</v>
      </c>
      <c r="AE154" s="2">
        <f t="shared" si="45"/>
        <v>0</v>
      </c>
      <c r="AF154" s="2">
        <f t="shared" si="46"/>
        <v>-1207.705026063526</v>
      </c>
      <c r="AH154" s="2"/>
      <c r="AI154" s="2">
        <v>0</v>
      </c>
      <c r="AJ154" s="2">
        <v>862.28333710349739</v>
      </c>
      <c r="AK154" s="2">
        <f t="shared" si="47"/>
        <v>0</v>
      </c>
      <c r="AL154" s="2">
        <v>-862.28333710349739</v>
      </c>
      <c r="AM154" s="2"/>
      <c r="AN154" s="2"/>
      <c r="AO154" s="2">
        <v>0</v>
      </c>
      <c r="AP154" s="2">
        <v>900.00968544723639</v>
      </c>
      <c r="AQ154" s="2">
        <f t="shared" si="48"/>
        <v>0</v>
      </c>
      <c r="AR154" s="2">
        <v>-900.00968544723639</v>
      </c>
      <c r="AS154" s="2"/>
      <c r="AT154" s="2"/>
      <c r="AU154" s="2">
        <v>0</v>
      </c>
      <c r="AV154" s="2">
        <v>943.24605119179455</v>
      </c>
      <c r="AW154" s="2">
        <f t="shared" si="50"/>
        <v>0</v>
      </c>
      <c r="AX154" s="2">
        <v>-943.24605119179455</v>
      </c>
      <c r="AY154" s="2"/>
      <c r="AZ154" s="2"/>
      <c r="BA154" s="2">
        <v>0</v>
      </c>
      <c r="BB154" s="2">
        <v>989.86246720512395</v>
      </c>
      <c r="BC154" s="2">
        <f t="shared" si="51"/>
        <v>0</v>
      </c>
      <c r="BD154" s="2">
        <v>-989.86246720512395</v>
      </c>
    </row>
    <row r="155" spans="4:56" x14ac:dyDescent="0.35">
      <c r="D155" s="9">
        <v>58531</v>
      </c>
      <c r="E155" s="2">
        <v>0</v>
      </c>
      <c r="F155" s="2">
        <v>821.48735272162185</v>
      </c>
      <c r="G155" s="10">
        <f t="shared" si="37"/>
        <v>0</v>
      </c>
      <c r="H155" s="10">
        <f t="shared" si="38"/>
        <v>-821.48735272162185</v>
      </c>
      <c r="I155" s="13" t="str">
        <f t="shared" si="49"/>
        <v/>
      </c>
      <c r="J155" s="14"/>
      <c r="K155" s="2">
        <v>0</v>
      </c>
      <c r="L155" s="2">
        <v>889.01461443843368</v>
      </c>
      <c r="M155" s="2">
        <f t="shared" si="39"/>
        <v>0</v>
      </c>
      <c r="N155" s="2">
        <f t="shared" si="40"/>
        <v>-889.01461443843368</v>
      </c>
      <c r="Q155" s="2">
        <v>0</v>
      </c>
      <c r="R155" s="2">
        <v>989.22664050811977</v>
      </c>
      <c r="S155" s="2">
        <f t="shared" si="41"/>
        <v>0</v>
      </c>
      <c r="T155" s="2">
        <f t="shared" si="42"/>
        <v>-989.22664050811977</v>
      </c>
      <c r="W155" s="2">
        <v>0</v>
      </c>
      <c r="X155" s="2">
        <v>1091.7902460683033</v>
      </c>
      <c r="Y155" s="2">
        <f t="shared" si="43"/>
        <v>0</v>
      </c>
      <c r="Z155" s="2">
        <f t="shared" si="44"/>
        <v>-1091.7902460683033</v>
      </c>
      <c r="AC155" s="2">
        <v>0</v>
      </c>
      <c r="AD155" s="2">
        <v>1207.705026063526</v>
      </c>
      <c r="AE155" s="2">
        <f t="shared" si="45"/>
        <v>0</v>
      </c>
      <c r="AF155" s="2">
        <f t="shared" si="46"/>
        <v>-1207.705026063526</v>
      </c>
      <c r="AH155" s="2"/>
      <c r="AI155" s="2">
        <v>0</v>
      </c>
      <c r="AJ155" s="2">
        <v>862.28333710349739</v>
      </c>
      <c r="AK155" s="2">
        <f t="shared" si="47"/>
        <v>0</v>
      </c>
      <c r="AL155" s="2">
        <v>-862.28333710349739</v>
      </c>
      <c r="AM155" s="2"/>
      <c r="AN155" s="2"/>
      <c r="AO155" s="2">
        <v>0</v>
      </c>
      <c r="AP155" s="2">
        <v>900.00968544723639</v>
      </c>
      <c r="AQ155" s="2">
        <f t="shared" si="48"/>
        <v>0</v>
      </c>
      <c r="AR155" s="2">
        <v>-900.00968544723639</v>
      </c>
      <c r="AS155" s="2"/>
      <c r="AT155" s="2"/>
      <c r="AU155" s="2">
        <v>0</v>
      </c>
      <c r="AV155" s="2">
        <v>943.24605119179455</v>
      </c>
      <c r="AW155" s="2">
        <f t="shared" si="50"/>
        <v>0</v>
      </c>
      <c r="AX155" s="2">
        <v>-943.24605119179455</v>
      </c>
      <c r="AY155" s="2"/>
      <c r="AZ155" s="2"/>
      <c r="BA155" s="2">
        <v>0</v>
      </c>
      <c r="BB155" s="2">
        <v>989.86246720512395</v>
      </c>
      <c r="BC155" s="2">
        <f t="shared" si="51"/>
        <v>0</v>
      </c>
      <c r="BD155" s="2">
        <v>-989.86246720512395</v>
      </c>
    </row>
    <row r="156" spans="4:56" x14ac:dyDescent="0.35">
      <c r="D156" s="9">
        <v>58622</v>
      </c>
      <c r="E156" s="2">
        <v>0</v>
      </c>
      <c r="F156" s="2">
        <v>821.48735272162185</v>
      </c>
      <c r="G156" s="10">
        <f t="shared" si="37"/>
        <v>0</v>
      </c>
      <c r="H156" s="10">
        <f t="shared" si="38"/>
        <v>-821.48735272162185</v>
      </c>
      <c r="I156" s="13" t="str">
        <f t="shared" si="49"/>
        <v/>
      </c>
      <c r="J156" s="14"/>
      <c r="K156" s="2">
        <v>0</v>
      </c>
      <c r="L156" s="2">
        <v>889.01461443843368</v>
      </c>
      <c r="M156" s="2">
        <f t="shared" si="39"/>
        <v>0</v>
      </c>
      <c r="N156" s="2">
        <f t="shared" si="40"/>
        <v>-889.01461443843368</v>
      </c>
      <c r="Q156" s="2">
        <v>0</v>
      </c>
      <c r="R156" s="2">
        <v>989.22664050811977</v>
      </c>
      <c r="S156" s="2">
        <f t="shared" si="41"/>
        <v>0</v>
      </c>
      <c r="T156" s="2">
        <f t="shared" si="42"/>
        <v>-989.22664050811977</v>
      </c>
      <c r="W156" s="2">
        <v>0</v>
      </c>
      <c r="X156" s="2">
        <v>1091.7902460683033</v>
      </c>
      <c r="Y156" s="2">
        <f t="shared" si="43"/>
        <v>0</v>
      </c>
      <c r="Z156" s="2">
        <f t="shared" si="44"/>
        <v>-1091.7902460683033</v>
      </c>
      <c r="AC156" s="2">
        <v>0</v>
      </c>
      <c r="AD156" s="2">
        <v>1207.705026063526</v>
      </c>
      <c r="AE156" s="2">
        <f t="shared" si="45"/>
        <v>0</v>
      </c>
      <c r="AF156" s="2">
        <f t="shared" si="46"/>
        <v>-1207.705026063526</v>
      </c>
      <c r="AH156" s="2"/>
      <c r="AI156" s="2">
        <v>0</v>
      </c>
      <c r="AJ156" s="2">
        <v>862.28333710349739</v>
      </c>
      <c r="AK156" s="2">
        <f t="shared" si="47"/>
        <v>0</v>
      </c>
      <c r="AL156" s="2">
        <v>-862.28333710349739</v>
      </c>
      <c r="AM156" s="2"/>
      <c r="AN156" s="2"/>
      <c r="AO156" s="2">
        <v>0</v>
      </c>
      <c r="AP156" s="2">
        <v>900.00968544723639</v>
      </c>
      <c r="AQ156" s="2">
        <f t="shared" si="48"/>
        <v>0</v>
      </c>
      <c r="AR156" s="2">
        <v>-900.00968544723639</v>
      </c>
      <c r="AS156" s="2"/>
      <c r="AT156" s="2"/>
      <c r="AU156" s="2">
        <v>0</v>
      </c>
      <c r="AV156" s="2">
        <v>943.24605119179455</v>
      </c>
      <c r="AW156" s="2">
        <f t="shared" si="50"/>
        <v>0</v>
      </c>
      <c r="AX156" s="2">
        <v>-943.24605119179455</v>
      </c>
      <c r="AY156" s="2"/>
      <c r="AZ156" s="2"/>
      <c r="BA156" s="2">
        <v>0</v>
      </c>
      <c r="BB156" s="2">
        <v>989.86246720512395</v>
      </c>
      <c r="BC156" s="2">
        <f t="shared" si="51"/>
        <v>0</v>
      </c>
      <c r="BD156" s="2">
        <v>-989.86246720512395</v>
      </c>
    </row>
    <row r="157" spans="4:56" x14ac:dyDescent="0.35">
      <c r="D157" s="9">
        <v>58714</v>
      </c>
      <c r="E157" s="2">
        <v>0</v>
      </c>
      <c r="F157" s="2">
        <v>821.48735272162185</v>
      </c>
      <c r="G157" s="10">
        <f t="shared" si="37"/>
        <v>0</v>
      </c>
      <c r="H157" s="10">
        <f t="shared" si="38"/>
        <v>-821.48735272162185</v>
      </c>
      <c r="I157" s="13" t="str">
        <f t="shared" si="49"/>
        <v/>
      </c>
      <c r="J157" s="14"/>
      <c r="K157" s="2">
        <v>0</v>
      </c>
      <c r="L157" s="2">
        <v>889.01461443843368</v>
      </c>
      <c r="M157" s="2">
        <f t="shared" si="39"/>
        <v>0</v>
      </c>
      <c r="N157" s="2">
        <f t="shared" si="40"/>
        <v>-889.01461443843368</v>
      </c>
      <c r="Q157" s="2">
        <v>0</v>
      </c>
      <c r="R157" s="2">
        <v>989.22664050811977</v>
      </c>
      <c r="S157" s="2">
        <f t="shared" si="41"/>
        <v>0</v>
      </c>
      <c r="T157" s="2">
        <f t="shared" si="42"/>
        <v>-989.22664050811977</v>
      </c>
      <c r="W157" s="2">
        <v>0</v>
      </c>
      <c r="X157" s="2">
        <v>1091.7902460683033</v>
      </c>
      <c r="Y157" s="2">
        <f t="shared" si="43"/>
        <v>0</v>
      </c>
      <c r="Z157" s="2">
        <f t="shared" si="44"/>
        <v>-1091.7902460683033</v>
      </c>
      <c r="AC157" s="2">
        <v>0</v>
      </c>
      <c r="AD157" s="2">
        <v>1207.705026063526</v>
      </c>
      <c r="AE157" s="2">
        <f t="shared" si="45"/>
        <v>0</v>
      </c>
      <c r="AF157" s="2">
        <f t="shared" si="46"/>
        <v>-1207.705026063526</v>
      </c>
      <c r="AH157" s="2"/>
      <c r="AI157" s="2">
        <v>0</v>
      </c>
      <c r="AJ157" s="2">
        <v>862.28333710349739</v>
      </c>
      <c r="AK157" s="2">
        <f t="shared" si="47"/>
        <v>0</v>
      </c>
      <c r="AL157" s="2">
        <v>-862.28333710349739</v>
      </c>
      <c r="AM157" s="2"/>
      <c r="AN157" s="2"/>
      <c r="AO157" s="2">
        <v>0</v>
      </c>
      <c r="AP157" s="2">
        <v>900.00968544723639</v>
      </c>
      <c r="AQ157" s="2">
        <f t="shared" si="48"/>
        <v>0</v>
      </c>
      <c r="AR157" s="2">
        <v>-900.00968544723639</v>
      </c>
      <c r="AS157" s="2"/>
      <c r="AT157" s="2"/>
      <c r="AU157" s="2">
        <v>0</v>
      </c>
      <c r="AV157" s="2">
        <v>943.24605119179455</v>
      </c>
      <c r="AW157" s="2">
        <f t="shared" si="50"/>
        <v>0</v>
      </c>
      <c r="AX157" s="2">
        <v>-943.24605119179455</v>
      </c>
      <c r="AY157" s="2"/>
      <c r="AZ157" s="2"/>
      <c r="BA157" s="2">
        <v>0</v>
      </c>
      <c r="BB157" s="2">
        <v>989.86246720512395</v>
      </c>
      <c r="BC157" s="2">
        <f t="shared" si="51"/>
        <v>0</v>
      </c>
      <c r="BD157" s="2">
        <v>-989.86246720512395</v>
      </c>
    </row>
    <row r="158" spans="4:56" x14ac:dyDescent="0.35">
      <c r="S158" s="2">
        <f t="shared" si="41"/>
        <v>0</v>
      </c>
      <c r="T158" s="2">
        <f t="shared" si="42"/>
        <v>0</v>
      </c>
    </row>
  </sheetData>
  <pageMargins left="0.7" right="0.7" top="0.75" bottom="0.75" header="0.3" footer="0.3"/>
  <pageSetup orientation="portrait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F5CE7AD-632A-4247-8DCC-41AED3E5CB12}">
  <sheetPr codeName="Sheet2"/>
  <dimension ref="A1:BC157"/>
  <sheetViews>
    <sheetView workbookViewId="0">
      <pane xSplit="1" ySplit="6" topLeftCell="B7" activePane="bottomRight" state="frozen"/>
      <selection activeCell="H3" sqref="H3"/>
      <selection pane="topRight" activeCell="H3" sqref="H3"/>
      <selection pane="bottomLeft" activeCell="H3" sqref="H3"/>
      <selection pane="bottomRight" activeCell="B22" sqref="B22"/>
    </sheetView>
  </sheetViews>
  <sheetFormatPr defaultRowHeight="14.5" x14ac:dyDescent="0.35"/>
  <cols>
    <col min="1" max="1" width="29" bestFit="1" customWidth="1"/>
    <col min="2" max="2" width="24" bestFit="1" customWidth="1"/>
    <col min="3" max="3" width="14.90625" bestFit="1" customWidth="1"/>
    <col min="4" max="4" width="20.36328125" bestFit="1" customWidth="1"/>
    <col min="5" max="5" width="19.54296875" bestFit="1" customWidth="1"/>
    <col min="6" max="6" width="24" bestFit="1" customWidth="1"/>
    <col min="7" max="7" width="19" bestFit="1" customWidth="1"/>
    <col min="8" max="8" width="20" bestFit="1" customWidth="1"/>
    <col min="9" max="9" width="14.54296875" bestFit="1" customWidth="1"/>
    <col min="10" max="10" width="23.6328125" bestFit="1" customWidth="1"/>
    <col min="11" max="11" width="18.6328125" bestFit="1" customWidth="1"/>
    <col min="12" max="13" width="10.6328125" customWidth="1"/>
    <col min="14" max="14" width="11.36328125" bestFit="1" customWidth="1"/>
    <col min="15" max="15" width="10.08984375" customWidth="1"/>
    <col min="16" max="16" width="10.453125" bestFit="1" customWidth="1"/>
    <col min="17" max="17" width="10.6328125" bestFit="1" customWidth="1"/>
    <col min="18" max="19" width="10.6328125" customWidth="1"/>
    <col min="20" max="20" width="11.36328125" bestFit="1" customWidth="1"/>
    <col min="21" max="22" width="11.08984375" customWidth="1"/>
    <col min="23" max="23" width="10.6328125" bestFit="1" customWidth="1"/>
    <col min="24" max="25" width="10.6328125" customWidth="1"/>
    <col min="26" max="26" width="11.36328125" bestFit="1" customWidth="1"/>
    <col min="27" max="28" width="11.08984375" customWidth="1"/>
    <col min="29" max="29" width="10.6328125" bestFit="1" customWidth="1"/>
    <col min="31" max="32" width="10.54296875" bestFit="1" customWidth="1"/>
    <col min="34" max="34" width="13.08984375" bestFit="1" customWidth="1"/>
    <col min="37" max="37" width="9.54296875" bestFit="1" customWidth="1"/>
    <col min="38" max="38" width="13.36328125" bestFit="1" customWidth="1"/>
    <col min="40" max="40" width="13.08984375" bestFit="1" customWidth="1"/>
    <col min="43" max="43" width="9.54296875" bestFit="1" customWidth="1"/>
    <col min="44" max="44" width="13.36328125" bestFit="1" customWidth="1"/>
    <col min="46" max="46" width="13.08984375" bestFit="1" customWidth="1"/>
    <col min="49" max="49" width="9.54296875" bestFit="1" customWidth="1"/>
    <col min="50" max="50" width="13.36328125" bestFit="1" customWidth="1"/>
    <col min="52" max="52" width="13.08984375" bestFit="1" customWidth="1"/>
    <col min="55" max="55" width="9.54296875" bestFit="1" customWidth="1"/>
  </cols>
  <sheetData>
    <row r="1" spans="1:55" x14ac:dyDescent="0.35">
      <c r="A1" s="16" t="s">
        <v>8</v>
      </c>
      <c r="B1" s="17"/>
      <c r="C1" s="17"/>
      <c r="D1" s="17"/>
      <c r="E1" s="17"/>
      <c r="F1" s="17"/>
      <c r="G1" s="17"/>
      <c r="H1" s="17"/>
      <c r="I1" s="17"/>
      <c r="J1" s="17"/>
      <c r="K1" s="17"/>
      <c r="L1" s="17"/>
      <c r="M1" s="17"/>
      <c r="N1" s="17"/>
      <c r="O1" s="17"/>
      <c r="P1" s="17"/>
      <c r="Q1" s="17"/>
      <c r="R1" s="17"/>
      <c r="S1" s="17"/>
      <c r="T1" s="17"/>
      <c r="U1" s="17"/>
      <c r="V1" s="17"/>
      <c r="W1" s="17"/>
      <c r="X1" s="17"/>
      <c r="Y1" s="17"/>
      <c r="Z1" s="17"/>
      <c r="AA1" s="17"/>
      <c r="AB1" s="17"/>
    </row>
    <row r="2" spans="1:55" x14ac:dyDescent="0.35">
      <c r="A2" s="16"/>
      <c r="B2" s="91" t="s">
        <v>9</v>
      </c>
      <c r="C2" s="91"/>
      <c r="D2" s="91"/>
      <c r="E2" s="91"/>
      <c r="F2" s="18"/>
      <c r="G2" s="18"/>
      <c r="H2" s="91" t="s">
        <v>10</v>
      </c>
      <c r="I2" s="91"/>
      <c r="J2" s="91"/>
      <c r="K2" s="91"/>
      <c r="L2" s="18"/>
      <c r="M2" s="18"/>
      <c r="N2" s="91" t="s">
        <v>11</v>
      </c>
      <c r="O2" s="91"/>
      <c r="P2" s="91"/>
      <c r="Q2" s="91"/>
      <c r="R2" s="18"/>
      <c r="S2" s="18"/>
      <c r="T2" s="91" t="s">
        <v>12</v>
      </c>
      <c r="U2" s="91"/>
      <c r="V2" s="91"/>
      <c r="W2" s="91"/>
      <c r="X2" s="18"/>
      <c r="Y2" s="18"/>
      <c r="Z2" s="91" t="s">
        <v>13</v>
      </c>
      <c r="AA2" s="91"/>
      <c r="AB2" s="91"/>
      <c r="AC2" s="91"/>
      <c r="AF2" s="91" t="s">
        <v>14</v>
      </c>
      <c r="AG2" s="91"/>
      <c r="AH2" s="91"/>
      <c r="AI2" s="91"/>
      <c r="AJ2" s="18"/>
      <c r="AL2" s="91" t="s">
        <v>15</v>
      </c>
      <c r="AM2" s="91"/>
      <c r="AN2" s="91"/>
      <c r="AO2" s="91"/>
      <c r="AP2" s="18"/>
      <c r="AR2" s="91" t="s">
        <v>16</v>
      </c>
      <c r="AS2" s="91"/>
      <c r="AT2" s="91"/>
      <c r="AU2" s="91"/>
      <c r="AV2" s="18"/>
      <c r="AX2" s="91" t="s">
        <v>17</v>
      </c>
      <c r="AY2" s="91"/>
      <c r="AZ2" s="91"/>
      <c r="BA2" s="91"/>
    </row>
    <row r="3" spans="1:55" x14ac:dyDescent="0.35">
      <c r="A3" s="19"/>
      <c r="B3" s="18" t="s">
        <v>18</v>
      </c>
      <c r="C3" s="18"/>
      <c r="D3" s="18"/>
      <c r="E3" s="18" t="s">
        <v>19</v>
      </c>
      <c r="F3" s="18"/>
      <c r="G3" s="18"/>
      <c r="H3" s="18" t="s">
        <v>18</v>
      </c>
      <c r="I3" s="18"/>
      <c r="J3" s="18"/>
      <c r="K3" s="18" t="s">
        <v>20</v>
      </c>
      <c r="L3" s="18"/>
      <c r="M3" s="18"/>
      <c r="N3" s="18" t="s">
        <v>18</v>
      </c>
      <c r="O3" s="18"/>
      <c r="P3" s="18"/>
      <c r="Q3" s="18" t="s">
        <v>19</v>
      </c>
      <c r="R3" s="18"/>
      <c r="S3" s="18"/>
      <c r="T3" s="18" t="s">
        <v>18</v>
      </c>
      <c r="U3" s="18"/>
      <c r="V3" s="18"/>
      <c r="W3" s="18" t="s">
        <v>20</v>
      </c>
      <c r="X3" s="18"/>
      <c r="Y3" s="18"/>
      <c r="Z3" s="18" t="s">
        <v>18</v>
      </c>
      <c r="AA3" s="18"/>
      <c r="AB3" s="18"/>
      <c r="AC3" s="18" t="s">
        <v>20</v>
      </c>
      <c r="AF3" s="18" t="s">
        <v>18</v>
      </c>
      <c r="AG3" s="18"/>
      <c r="AH3" s="18"/>
      <c r="AI3" s="18" t="s">
        <v>20</v>
      </c>
      <c r="AJ3" s="18"/>
      <c r="AL3" s="18" t="s">
        <v>18</v>
      </c>
      <c r="AM3" s="18"/>
      <c r="AN3" s="18"/>
      <c r="AO3" s="18" t="s">
        <v>20</v>
      </c>
      <c r="AP3" s="18"/>
      <c r="AR3" s="18" t="s">
        <v>18</v>
      </c>
      <c r="AS3" s="18"/>
      <c r="AT3" s="18"/>
      <c r="AU3" s="18" t="s">
        <v>20</v>
      </c>
      <c r="AV3" s="18"/>
      <c r="AX3" s="18" t="s">
        <v>18</v>
      </c>
      <c r="AY3" s="18"/>
      <c r="AZ3" s="18"/>
      <c r="BA3" s="18" t="s">
        <v>20</v>
      </c>
    </row>
    <row r="4" spans="1:55" x14ac:dyDescent="0.35">
      <c r="A4" s="16"/>
    </row>
    <row r="5" spans="1:55" x14ac:dyDescent="0.35">
      <c r="A5" s="20"/>
      <c r="B5" s="21">
        <f>AVERAGE(B7:B145)</f>
        <v>-30247.049047877998</v>
      </c>
      <c r="C5" s="22">
        <f>AVERAGE(C8:C145)</f>
        <v>-0.40992458182083968</v>
      </c>
      <c r="G5" s="23">
        <f>AVERAGE(G8:G86)</f>
        <v>-0.24532412303678364</v>
      </c>
      <c r="H5" s="21">
        <f>AVERAGE(H7:H145)</f>
        <v>-72474.922625393403</v>
      </c>
      <c r="I5" s="22">
        <f>AVERAGE(I8:I145)</f>
        <v>-0.14109104937824357</v>
      </c>
      <c r="M5" s="23">
        <f>AVERAGE(M8:M145)</f>
        <v>-3.4158483820151707E-2</v>
      </c>
      <c r="N5" s="21">
        <f>AVERAGE(N7:N145)</f>
        <v>-234762.96522066556</v>
      </c>
      <c r="O5" s="22">
        <f>AVERAGE(O8:O145)</f>
        <v>-5.6867498302547628E-2</v>
      </c>
      <c r="S5" s="23">
        <f>AVERAGE(S8:S145)</f>
        <v>-4.6644898981249711E-4</v>
      </c>
      <c r="T5" s="21">
        <f>AVERAGE(T7:T145)</f>
        <v>-398891.97529161617</v>
      </c>
      <c r="U5" s="22">
        <f>AVERAGE(U8:U145)</f>
        <v>-5.0489241774828011E-2</v>
      </c>
      <c r="X5" s="23"/>
      <c r="Y5" s="23">
        <f>AVERAGE(Y8:Y145)</f>
        <v>2.4481934575464269E-3</v>
      </c>
      <c r="Z5" s="21">
        <f>AVERAGE(Z7:Z145)</f>
        <v>-590457.52602399548</v>
      </c>
      <c r="AA5" s="22">
        <f>AVERAGE(AA8:AA145)</f>
        <v>-4.9813922948738133E-2</v>
      </c>
      <c r="AD5" s="23"/>
      <c r="AE5" s="23">
        <f>AVERAGE(AE8:AE145)</f>
        <v>3.1888265246373922E-3</v>
      </c>
      <c r="AF5" s="21">
        <f>AVERAGE(AF7:AF145)</f>
        <v>-34623.421924002585</v>
      </c>
      <c r="AG5" s="22">
        <f>AVERAGE(AG8:AG145)</f>
        <v>-0.48287373066202804</v>
      </c>
      <c r="AJ5" s="23"/>
      <c r="AK5" s="23">
        <f>AVERAGE(AK8:AK145)</f>
        <v>-0.27363290023879216</v>
      </c>
      <c r="AL5" s="21">
        <f>AVERAGE(AL7:AL145)</f>
        <v>-79383.38802224258</v>
      </c>
      <c r="AM5" s="22">
        <f>AVERAGE(AM8:AM145)</f>
        <v>-0.12711993001584704</v>
      </c>
      <c r="AP5" s="23"/>
      <c r="AQ5" s="23">
        <f>AVERAGE(AQ8:AQ145)</f>
        <v>-2.3670655329638707E-2</v>
      </c>
      <c r="AR5" s="21">
        <f>AVERAGE(AR7:AR145)</f>
        <v>-137356.65818839721</v>
      </c>
      <c r="AS5" s="22">
        <f>AVERAGE(AS8:AS145)</f>
        <v>-8.2919530625999716E-2</v>
      </c>
      <c r="AV5" s="23"/>
      <c r="AW5" s="23">
        <f>AVERAGE(AW8:AW86)</f>
        <v>3.0507514693628823E-3</v>
      </c>
      <c r="AX5" s="21">
        <f>AVERAGE(AX7:AX145)</f>
        <v>-203213.04485411305</v>
      </c>
      <c r="AY5" s="22">
        <f>AVERAGE(AY8:AY86)</f>
        <v>-5.3959837648280565E-2</v>
      </c>
      <c r="BB5" s="23"/>
      <c r="BC5" s="23">
        <f>AVERAGE(BC8:BC86)</f>
        <v>1.1479921408666429E-2</v>
      </c>
    </row>
    <row r="6" spans="1:55" x14ac:dyDescent="0.35">
      <c r="A6" s="20" t="s">
        <v>3</v>
      </c>
      <c r="B6" s="24"/>
      <c r="C6" s="24"/>
      <c r="D6" s="24"/>
      <c r="E6" s="24"/>
      <c r="F6" s="25" t="s">
        <v>21</v>
      </c>
      <c r="L6" s="25" t="s">
        <v>21</v>
      </c>
      <c r="R6" s="25" t="s">
        <v>21</v>
      </c>
      <c r="X6" s="25" t="s">
        <v>21</v>
      </c>
      <c r="AD6" s="25" t="s">
        <v>21</v>
      </c>
      <c r="AJ6" s="25" t="s">
        <v>21</v>
      </c>
      <c r="AP6" s="25" t="s">
        <v>21</v>
      </c>
      <c r="AV6" s="25" t="s">
        <v>21</v>
      </c>
      <c r="BB6" s="25" t="s">
        <v>21</v>
      </c>
    </row>
    <row r="7" spans="1:55" x14ac:dyDescent="0.35">
      <c r="A7" s="26">
        <v>44651</v>
      </c>
      <c r="B7" s="27">
        <f>'Benefit-Cost'!G3</f>
        <v>-89762.884132666048</v>
      </c>
      <c r="C7" s="28"/>
      <c r="D7" s="29">
        <f>STDEV(B7:B145)</f>
        <v>37867.720709906971</v>
      </c>
      <c r="E7" s="30">
        <v>42682.985046823611</v>
      </c>
      <c r="F7" s="31">
        <f>B7/E7</f>
        <v>-2.1030132741230578</v>
      </c>
      <c r="G7" s="29">
        <f>STDEV(E7:E86)</f>
        <v>8189.4535513105238</v>
      </c>
      <c r="H7" s="27">
        <f>'Benefit-Cost'!M3</f>
        <v>-156471.5370502593</v>
      </c>
      <c r="I7" s="32"/>
      <c r="J7" s="33">
        <f>STDEV(H7:H145)</f>
        <v>72978.635433817821</v>
      </c>
      <c r="K7" s="34">
        <v>43943.86461986936</v>
      </c>
      <c r="L7" s="31">
        <f>H7/K7</f>
        <v>-3.5607140701846736</v>
      </c>
      <c r="M7" s="29">
        <f>STDEV(K7:K86)</f>
        <v>8929.0944447058719</v>
      </c>
      <c r="N7" s="27">
        <f>'Benefit-Cost'!S3</f>
        <v>-412731.79963520495</v>
      </c>
      <c r="O7" s="32"/>
      <c r="P7" s="35">
        <f>STDEV(N7:N145)</f>
        <v>219604.35626204679</v>
      </c>
      <c r="Q7" s="34">
        <v>45019.146900937427</v>
      </c>
      <c r="R7" s="31">
        <f>N7/Q7</f>
        <v>-9.1679169430598577</v>
      </c>
      <c r="S7" s="29">
        <f>STDEV(Q7:Q86)</f>
        <v>9436.4042961280447</v>
      </c>
      <c r="T7" s="27">
        <f>'Benefit-Cost'!Y3</f>
        <v>-671810.71165616345</v>
      </c>
      <c r="U7" s="32"/>
      <c r="V7" s="35">
        <f>STDEV(T7:T145)</f>
        <v>371003.29790602514</v>
      </c>
      <c r="W7" s="34">
        <v>45907.369174352731</v>
      </c>
      <c r="X7" s="31">
        <f>T7/W7</f>
        <v>-14.63404947263863</v>
      </c>
      <c r="Y7" s="29">
        <f>STDEV(W7:W86)</f>
        <v>9980.8048246114267</v>
      </c>
      <c r="Z7" s="27">
        <f>'Benefit-Cost'!AE3</f>
        <v>-972984.18012961466</v>
      </c>
      <c r="AA7" s="32"/>
      <c r="AB7" s="35">
        <f>STDEV(Z7:Z145)</f>
        <v>548631.49282080447</v>
      </c>
      <c r="AC7" s="34">
        <v>46636.590557132324</v>
      </c>
      <c r="AD7" s="36">
        <f>Z7/AC7</f>
        <v>-20.86310702618059</v>
      </c>
      <c r="AE7" s="29">
        <f>STDEV(AC7:AC86)</f>
        <v>10547.684047909172</v>
      </c>
      <c r="AF7" s="11">
        <f t="array" ref="AF7:AF146">'Benefit-Cost'!AK3:AK157</f>
        <v>-96398.499424612615</v>
      </c>
      <c r="AH7" s="35">
        <f>STDEV(AF7:AF145)</f>
        <v>41761.327073071901</v>
      </c>
      <c r="AI7" s="30">
        <v>43480.074808474848</v>
      </c>
      <c r="AJ7" s="36">
        <f>AF7/AI7</f>
        <v>-2.217072989161998</v>
      </c>
      <c r="AK7" s="29">
        <f>STDEV(AI7:AI86)</f>
        <v>8746.5601107258317</v>
      </c>
      <c r="AL7" s="11">
        <f t="array" ref="AL7:AL146">'Benefit-Cost'!AQ3:AQ157</f>
        <v>-167792.19479185529</v>
      </c>
      <c r="AN7" s="37">
        <f>STDEV(AL7:AL145)</f>
        <v>79588.026082874436</v>
      </c>
      <c r="AO7" s="30">
        <v>44159.094628754072</v>
      </c>
      <c r="AP7" s="36">
        <f>AL7/AO7</f>
        <v>-3.7997199943179512</v>
      </c>
      <c r="AQ7" s="29">
        <f>STDEV(AO7:AO86)</f>
        <v>9034.7343487402959</v>
      </c>
      <c r="AR7" s="11">
        <f t="array" ref="AR7:AR146">'Benefit-Cost'!AW3:AW157</f>
        <v>-259953.64231099654</v>
      </c>
      <c r="AT7" s="37">
        <f>STDEV(AR7:AR145)</f>
        <v>132119.55167153309</v>
      </c>
      <c r="AU7" s="30">
        <v>44765.323759389707</v>
      </c>
      <c r="AV7" s="36">
        <f>AR7/AU7</f>
        <v>-5.8070314359442161</v>
      </c>
      <c r="AW7" s="29">
        <f>STDEV(AU7:AU86)</f>
        <v>9324.8227331970029</v>
      </c>
      <c r="AX7" s="11">
        <f t="array" ref="AX7:AX146">'Benefit-Cost'!BC3:BC157</f>
        <v>-364188.07878659759</v>
      </c>
      <c r="AZ7" s="37">
        <f>STDEV(AX7:AX145)</f>
        <v>192782.13639307348</v>
      </c>
      <c r="BA7" s="30">
        <v>45267.041753564816</v>
      </c>
      <c r="BB7" s="36">
        <f>AX7/BA7</f>
        <v>-8.0453253554594717</v>
      </c>
      <c r="BC7" s="29">
        <f>STDEV(BA7:BA86)</f>
        <v>9624.0250995597125</v>
      </c>
    </row>
    <row r="8" spans="1:55" x14ac:dyDescent="0.35">
      <c r="A8" s="26">
        <v>44742</v>
      </c>
      <c r="B8" s="27">
        <f>'Benefit-Cost'!G4</f>
        <v>-139988.2015006193</v>
      </c>
      <c r="C8" s="38">
        <f>IFERROR((B8-B7)/ABS(B7),"")</f>
        <v>-0.55953323974887204</v>
      </c>
      <c r="E8" s="30">
        <v>60511.8726904582</v>
      </c>
      <c r="F8" s="31">
        <f t="shared" ref="F8:F71" si="0">B8/E8</f>
        <v>-2.3134005820099715</v>
      </c>
      <c r="G8" s="39">
        <f>IFERROR((F8-F7)/ABS(F7),"")</f>
        <v>-0.10004088441840372</v>
      </c>
      <c r="H8" s="27">
        <f>'Benefit-Cost'!M4</f>
        <v>-238292.32130438508</v>
      </c>
      <c r="I8" s="38">
        <f>IFERROR((H8-H7)/ABS(H7),"")</f>
        <v>-0.52291161572628131</v>
      </c>
      <c r="K8" s="30">
        <v>62531.660784675172</v>
      </c>
      <c r="L8" s="31">
        <f t="shared" ref="L8:L71" si="1">H8/K8</f>
        <v>-3.8107467211679129</v>
      </c>
      <c r="M8" s="39">
        <f>IFERROR((L8-L7)/ABS(L7),"")</f>
        <v>-7.0219805930744561E-2</v>
      </c>
      <c r="N8" s="27">
        <f>'Benefit-Cost'!S4</f>
        <v>-609768.26274436805</v>
      </c>
      <c r="O8" s="38">
        <f>IFERROR((N8-N7)/ABS(N7),"")</f>
        <v>-0.47739588585932741</v>
      </c>
      <c r="Q8" s="30">
        <v>64487.502150370085</v>
      </c>
      <c r="R8" s="31">
        <f t="shared" ref="R8:R71" si="2">N8/Q8</f>
        <v>-9.4556036815091424</v>
      </c>
      <c r="S8" s="39">
        <f>IFERROR((R8-R7)/ABS(R7),"")</f>
        <v>-3.1379727830874872E-2</v>
      </c>
      <c r="T8" s="27">
        <f>'Benefit-Cost'!Y4</f>
        <v>-992576.80474543339</v>
      </c>
      <c r="U8" s="38">
        <f>IFERROR((T8-T7)/ABS(T7),"")</f>
        <v>-0.4774649875684624</v>
      </c>
      <c r="W8" s="30">
        <v>66360.882777977167</v>
      </c>
      <c r="X8" s="31">
        <f t="shared" ref="X8:X71" si="3">T8/W8</f>
        <v>-14.957257396142333</v>
      </c>
      <c r="Y8" s="39">
        <f>IFERROR((X8-X7)/ABS(X7),"")</f>
        <v>-2.2086020968290942E-2</v>
      </c>
      <c r="Z8" s="27">
        <f>'Benefit-Cost'!AE4</f>
        <v>-1446313.8928618305</v>
      </c>
      <c r="AA8" s="38">
        <f>IFERROR((Z8-Z7)/ABS(Z7),"")</f>
        <v>-0.48647215689484485</v>
      </c>
      <c r="AC8" s="30">
        <v>68160.777400146268</v>
      </c>
      <c r="AD8" s="36">
        <f>Z8/AC8</f>
        <v>-21.219151952611487</v>
      </c>
      <c r="AE8" s="39">
        <f>IFERROR((AD8-AD7)/ABS(AD7),"")</f>
        <v>-1.7065767145042456E-2</v>
      </c>
      <c r="AF8" s="11">
        <v>-151688.24238089658</v>
      </c>
      <c r="AG8" s="38">
        <f>IFERROR((AF8-AF7)/ABS(AF7),"")</f>
        <v>-0.57355397943224939</v>
      </c>
      <c r="AI8" s="30">
        <v>61762.568293304736</v>
      </c>
      <c r="AJ8" s="36">
        <f t="shared" ref="AJ8:AJ71" si="4">AF8/AI8</f>
        <v>-2.455989874976428</v>
      </c>
      <c r="AK8" s="38">
        <f>IFERROR((AJ8-AJ7)/ABS(AJ7),"")</f>
        <v>-0.10776230055679627</v>
      </c>
      <c r="AL8" s="11">
        <v>-255999.45896581793</v>
      </c>
      <c r="AM8" s="38">
        <f>IFERROR((AL8-AL7)/ABS(AL7),"")</f>
        <v>-0.52569348820654593</v>
      </c>
      <c r="AO8" s="30">
        <v>62955.242142136871</v>
      </c>
      <c r="AP8" s="36">
        <f t="shared" ref="AP8:AP71" si="5">AL8/AO8</f>
        <v>-4.0663723981529047</v>
      </c>
      <c r="AQ8" s="38">
        <f>IFERROR((AP8-AP7)/ABS(AP7),"")</f>
        <v>-7.017685625090847E-2</v>
      </c>
      <c r="AR8" s="11">
        <v>-390895.0740875951</v>
      </c>
      <c r="AS8" s="38">
        <f>IFERROR((AR8-AR7)/ABS(AR7),"")</f>
        <v>-0.50371070246419658</v>
      </c>
      <c r="AU8" s="30">
        <v>64076.057246708704</v>
      </c>
      <c r="AV8" s="36">
        <f t="shared" ref="AV8:AV71" si="6">AR8/AU8</f>
        <v>-6.100485749030284</v>
      </c>
      <c r="AW8" s="38">
        <f>IFERROR((AV8-AV7)/ABS(AV7),"")</f>
        <v>-5.053430764463436E-2</v>
      </c>
      <c r="AX8" s="11">
        <v>-545045.80533559714</v>
      </c>
      <c r="AY8" s="38">
        <f>IFERROR((AX8-AX7)/ABS(AX7),"")</f>
        <v>-0.49660529018846966</v>
      </c>
      <c r="BA8" s="30">
        <v>65158.646894536781</v>
      </c>
      <c r="BB8" s="36">
        <f t="shared" ref="BB8:BB71" si="7">AX8/BA8</f>
        <v>-8.3649036822048615</v>
      </c>
      <c r="BC8" s="38">
        <f>IFERROR((BB8-BB7)/ABS(BB7),"")</f>
        <v>-3.9722237774825024E-2</v>
      </c>
    </row>
    <row r="9" spans="1:55" x14ac:dyDescent="0.35">
      <c r="A9" s="26">
        <v>44834</v>
      </c>
      <c r="B9" s="27">
        <f>'Benefit-Cost'!G5</f>
        <v>-129891.13945806026</v>
      </c>
      <c r="C9" s="38">
        <f t="shared" ref="C9:C72" si="8">IFERROR((B9-B8)/ABS(B8),"")</f>
        <v>7.2127950315258274E-2</v>
      </c>
      <c r="D9" s="40"/>
      <c r="E9" s="30">
        <v>56920.309511516185</v>
      </c>
      <c r="F9" s="31">
        <f t="shared" si="0"/>
        <v>-2.2819823112834712</v>
      </c>
      <c r="G9" s="39">
        <f t="shared" ref="G9:G72" si="9">IFERROR((F9-F8)/ABS(F8),"")</f>
        <v>1.3580990240437681E-2</v>
      </c>
      <c r="H9" s="27">
        <f>'Benefit-Cost'!M5</f>
        <v>-222050.17303169891</v>
      </c>
      <c r="I9" s="38">
        <f t="shared" ref="I9:I72" si="10">IFERROR((H9-H8)/ABS(H8),"")</f>
        <v>6.8160602841830981E-2</v>
      </c>
      <c r="J9" s="40"/>
      <c r="K9" s="30">
        <v>58751.665757252355</v>
      </c>
      <c r="L9" s="31">
        <f t="shared" si="1"/>
        <v>-3.7794702527951536</v>
      </c>
      <c r="M9" s="39">
        <f t="shared" ref="M9:M72" si="11">IFERROR((L9-L8)/ABS(L8),"")</f>
        <v>8.2074382427530512E-3</v>
      </c>
      <c r="N9" s="27">
        <f>'Benefit-Cost'!S5</f>
        <v>-569792.06046522222</v>
      </c>
      <c r="O9" s="38">
        <f t="shared" ref="O9:O72" si="12">IFERROR((N9-N8)/ABS(N8),"")</f>
        <v>6.5559663763453319E-2</v>
      </c>
      <c r="P9" s="40"/>
      <c r="Q9" s="30">
        <v>60458.8349653474</v>
      </c>
      <c r="R9" s="31">
        <f t="shared" si="2"/>
        <v>-9.4244631209285519</v>
      </c>
      <c r="S9" s="39">
        <f t="shared" ref="S9:S72" si="13">IFERROR((R9-R8)/ABS(R8),"")</f>
        <v>3.293344521353758E-3</v>
      </c>
      <c r="T9" s="27">
        <f>'Benefit-Cost'!Y5</f>
        <v>-925744.60185511736</v>
      </c>
      <c r="U9" s="38">
        <f t="shared" ref="U9:U72" si="14">IFERROR((T9-T8)/ABS(T8),"")</f>
        <v>6.7332021633788333E-2</v>
      </c>
      <c r="V9" s="40"/>
      <c r="W9" s="30">
        <v>62021.221983878888</v>
      </c>
      <c r="X9" s="31">
        <f t="shared" si="3"/>
        <v>-14.926255437142874</v>
      </c>
      <c r="Y9" s="39">
        <f t="shared" ref="Y9:Y72" si="15">IFERROR((X9-X8)/ABS(X8),"")</f>
        <v>2.0727034494609307E-3</v>
      </c>
      <c r="Z9" s="27">
        <f>'Benefit-Cost'!AE5</f>
        <v>-1344317.1259679561</v>
      </c>
      <c r="AA9" s="38">
        <f t="shared" ref="AA9:AA72" si="16">IFERROR((Z9-Z8)/ABS(Z8),"")</f>
        <v>7.0521874537243595E-2</v>
      </c>
      <c r="AB9" s="40"/>
      <c r="AC9" s="30">
        <v>63446.357629703765</v>
      </c>
      <c r="AD9" s="36">
        <f t="shared" ref="AD9:AD72" si="17">Z9/AC9</f>
        <v>-21.188247461168448</v>
      </c>
      <c r="AE9" s="39">
        <f t="shared" ref="AE9:AE72" si="18">IFERROR((AD9-AD8)/ABS(AD8),"")</f>
        <v>1.456443288217052E-3</v>
      </c>
      <c r="AF9" s="11">
        <v>-140864.74034038512</v>
      </c>
      <c r="AG9" s="38">
        <f t="shared" ref="AG9:AG72" si="19">IFERROR((AF9-AF8)/ABS(AF8),"")</f>
        <v>7.1353599136135551E-2</v>
      </c>
      <c r="AI9" s="30">
        <v>58100.283448269343</v>
      </c>
      <c r="AJ9" s="36">
        <f t="shared" si="4"/>
        <v>-2.4245103806732136</v>
      </c>
      <c r="AK9" s="38">
        <f t="shared" ref="AK9:AK72" si="20">IFERROR((AJ9-AJ8)/ABS(AJ8),"")</f>
        <v>1.2817436514682914E-2</v>
      </c>
      <c r="AL9" s="11">
        <v>-238845.35644342657</v>
      </c>
      <c r="AM9" s="38">
        <f t="shared" ref="AM9:AM72" si="21">IFERROR((AL9-AL8)/ABS(AL8),"")</f>
        <v>6.7008354594537814E-2</v>
      </c>
      <c r="AO9" s="30">
        <v>59195.847951910182</v>
      </c>
      <c r="AP9" s="36">
        <f t="shared" si="5"/>
        <v>-4.0348329267529195</v>
      </c>
      <c r="AQ9" s="38">
        <f t="shared" ref="AQ9:AQ72" si="22">IFERROR((AP9-AP8)/ABS(AP8),"")</f>
        <v>7.7561689663031442E-3</v>
      </c>
      <c r="AR9" s="11">
        <v>-365301.52577667823</v>
      </c>
      <c r="AS9" s="38">
        <f t="shared" ref="AS9:AS72" si="23">IFERROR((AR9-AR8)/ABS(AR8),"")</f>
        <v>6.5474215480089804E-2</v>
      </c>
      <c r="AU9" s="30">
        <v>60192.400006158292</v>
      </c>
      <c r="AV9" s="36">
        <f t="shared" si="6"/>
        <v>-6.0688978299470397</v>
      </c>
      <c r="AW9" s="38">
        <f t="shared" ref="AW9:AW72" si="24">IFERROR((AV9-AV8)/ABS(AV8),"")</f>
        <v>5.1779350666076611E-3</v>
      </c>
      <c r="AX9" s="11">
        <v>-509101.23741669022</v>
      </c>
      <c r="AY9" s="38">
        <f t="shared" ref="AY9:AY72" si="25">IFERROR((AX9-AX8)/ABS(AX8),"")</f>
        <v>6.5947792950676917E-2</v>
      </c>
      <c r="BA9" s="30">
        <v>61092.740828426016</v>
      </c>
      <c r="BB9" s="36">
        <f t="shared" si="7"/>
        <v>-8.3332525356238243</v>
      </c>
      <c r="BC9" s="38">
        <f t="shared" ref="BC9:BC72" si="26">IFERROR((BB9-BB8)/ABS(BB8),"")</f>
        <v>3.7838028725148956E-3</v>
      </c>
    </row>
    <row r="10" spans="1:55" x14ac:dyDescent="0.35">
      <c r="A10" s="26">
        <v>44926</v>
      </c>
      <c r="B10" s="27">
        <f>'Benefit-Cost'!G6</f>
        <v>-79108.863577492535</v>
      </c>
      <c r="C10" s="38">
        <f t="shared" si="8"/>
        <v>0.39096027714010856</v>
      </c>
      <c r="D10" s="40"/>
      <c r="E10" s="30">
        <v>41447.406449000271</v>
      </c>
      <c r="F10" s="31">
        <f t="shared" si="0"/>
        <v>-1.9086565446461288</v>
      </c>
      <c r="G10" s="39">
        <f t="shared" si="9"/>
        <v>0.16359713429477471</v>
      </c>
      <c r="H10" s="27">
        <f>'Benefit-Cost'!M6</f>
        <v>-142224.75280944537</v>
      </c>
      <c r="I10" s="38">
        <f t="shared" si="10"/>
        <v>0.35949271794018378</v>
      </c>
      <c r="J10" s="40"/>
      <c r="K10" s="30">
        <v>42526.386629104622</v>
      </c>
      <c r="L10" s="31">
        <f t="shared" si="1"/>
        <v>-3.3443883687994367</v>
      </c>
      <c r="M10" s="39">
        <f t="shared" si="11"/>
        <v>0.11511716057930255</v>
      </c>
      <c r="N10" s="27">
        <f>'Benefit-Cost'!S6</f>
        <v>-382117.25269847177</v>
      </c>
      <c r="O10" s="38">
        <f t="shared" si="12"/>
        <v>0.32937420646668586</v>
      </c>
      <c r="P10" s="40"/>
      <c r="Q10" s="30">
        <v>43204.760875458924</v>
      </c>
      <c r="R10" s="31">
        <f t="shared" si="2"/>
        <v>-8.8443320818266855</v>
      </c>
      <c r="S10" s="39">
        <f t="shared" si="13"/>
        <v>6.1555871316806482E-2</v>
      </c>
      <c r="T10" s="27">
        <f>'Benefit-Cost'!Y6</f>
        <v>-621597.93010406499</v>
      </c>
      <c r="U10" s="38">
        <f t="shared" si="14"/>
        <v>0.32854274401553846</v>
      </c>
      <c r="V10" s="40"/>
      <c r="W10" s="30">
        <v>43630.086522294689</v>
      </c>
      <c r="X10" s="31">
        <f t="shared" si="3"/>
        <v>-14.247002003684603</v>
      </c>
      <c r="Y10" s="39">
        <f t="shared" si="15"/>
        <v>4.5507289910636232E-2</v>
      </c>
      <c r="Z10" s="27">
        <f>'Benefit-Cost'!AE6</f>
        <v>-897040.02708679345</v>
      </c>
      <c r="AA10" s="38">
        <f t="shared" si="16"/>
        <v>0.33271695364224962</v>
      </c>
      <c r="AB10" s="40"/>
      <c r="AC10" s="30">
        <v>43796.275742916325</v>
      </c>
      <c r="AD10" s="36">
        <f t="shared" si="17"/>
        <v>-20.482107482207137</v>
      </c>
      <c r="AE10" s="39">
        <f t="shared" si="18"/>
        <v>3.3326964877838448E-2</v>
      </c>
      <c r="AF10" s="11">
        <v>-84393.976598177571</v>
      </c>
      <c r="AG10" s="38">
        <f t="shared" si="19"/>
        <v>0.40088643620647563</v>
      </c>
      <c r="AI10" s="30">
        <v>42200.668804091096</v>
      </c>
      <c r="AJ10" s="36">
        <f t="shared" si="4"/>
        <v>-1.9998255712477262</v>
      </c>
      <c r="AK10" s="38">
        <f t="shared" si="20"/>
        <v>0.17516312275287729</v>
      </c>
      <c r="AL10" s="11">
        <v>-148033.29193968792</v>
      </c>
      <c r="AM10" s="38">
        <f t="shared" si="21"/>
        <v>0.38021281156976816</v>
      </c>
      <c r="AO10" s="30">
        <v>42698.663525768607</v>
      </c>
      <c r="AP10" s="36">
        <f t="shared" si="5"/>
        <v>-3.4669303373008371</v>
      </c>
      <c r="AQ10" s="38">
        <f t="shared" si="22"/>
        <v>0.14074996406582535</v>
      </c>
      <c r="AR10" s="11">
        <v>-232310.40338689834</v>
      </c>
      <c r="AS10" s="38">
        <f t="shared" si="23"/>
        <v>0.36405849142574365</v>
      </c>
      <c r="AU10" s="30">
        <v>43046.747689846794</v>
      </c>
      <c r="AV10" s="36">
        <f t="shared" si="6"/>
        <v>-5.3967004676102892</v>
      </c>
      <c r="AW10" s="38">
        <f t="shared" si="24"/>
        <v>0.11076102797773026</v>
      </c>
      <c r="AX10" s="11">
        <v>-328785.63039836474</v>
      </c>
      <c r="AY10" s="38">
        <f t="shared" si="25"/>
        <v>0.35418418531703627</v>
      </c>
      <c r="BA10" s="30">
        <v>43299.720288074692</v>
      </c>
      <c r="BB10" s="36">
        <f t="shared" si="7"/>
        <v>-7.5932506771623789</v>
      </c>
      <c r="BC10" s="38">
        <f t="shared" si="26"/>
        <v>8.8801084006276204E-2</v>
      </c>
    </row>
    <row r="11" spans="1:55" x14ac:dyDescent="0.35">
      <c r="A11" s="26">
        <v>45016</v>
      </c>
      <c r="B11" s="27">
        <f>'Benefit-Cost'!G7</f>
        <v>-89265.762501802761</v>
      </c>
      <c r="C11" s="38">
        <f t="shared" si="8"/>
        <v>-0.12839141488059488</v>
      </c>
      <c r="D11" s="40"/>
      <c r="E11" s="30">
        <v>42469.570121589466</v>
      </c>
      <c r="F11" s="31">
        <f t="shared" si="0"/>
        <v>-2.1018758194687819</v>
      </c>
      <c r="G11" s="39">
        <f t="shared" si="9"/>
        <v>-0.10123312932577747</v>
      </c>
      <c r="H11" s="27">
        <f>'Benefit-Cost'!M7</f>
        <v>-155993.27099202154</v>
      </c>
      <c r="I11" s="38">
        <f t="shared" si="10"/>
        <v>-9.6808170944922736E-2</v>
      </c>
      <c r="J11" s="40"/>
      <c r="K11" s="30">
        <v>43811.575586940715</v>
      </c>
      <c r="L11" s="31">
        <f t="shared" si="1"/>
        <v>-3.5605492133572061</v>
      </c>
      <c r="M11" s="39">
        <f t="shared" si="11"/>
        <v>-6.4633894368962441E-2</v>
      </c>
      <c r="N11" s="27">
        <f>'Benefit-Cost'!S7</f>
        <v>-411120.25557012018</v>
      </c>
      <c r="O11" s="38">
        <f t="shared" si="12"/>
        <v>-7.5900793975755498E-2</v>
      </c>
      <c r="P11" s="40"/>
      <c r="Q11" s="30">
        <v>44842.107362025818</v>
      </c>
      <c r="R11" s="31">
        <f t="shared" si="2"/>
        <v>-9.1681742842949898</v>
      </c>
      <c r="S11" s="39">
        <f t="shared" si="13"/>
        <v>-3.6615789578246905E-2</v>
      </c>
      <c r="T11" s="27">
        <f>'Benefit-Cost'!Y7</f>
        <v>-668892.05518724862</v>
      </c>
      <c r="U11" s="38">
        <f t="shared" si="14"/>
        <v>-7.6084753170374747E-2</v>
      </c>
      <c r="V11" s="40"/>
      <c r="W11" s="30">
        <v>45705.758013656494</v>
      </c>
      <c r="X11" s="31">
        <f t="shared" si="3"/>
        <v>-14.634743722823487</v>
      </c>
      <c r="Y11" s="39">
        <f t="shared" si="15"/>
        <v>-2.7215670990893715E-2</v>
      </c>
      <c r="Z11" s="27">
        <f>'Benefit-Cost'!AE7</f>
        <v>-968443.31732944585</v>
      </c>
      <c r="AA11" s="38">
        <f t="shared" si="16"/>
        <v>-7.959877830038431E-2</v>
      </c>
      <c r="AB11" s="40"/>
      <c r="AC11" s="30">
        <v>46418.548194727227</v>
      </c>
      <c r="AD11" s="36">
        <f t="shared" si="17"/>
        <v>-20.863283213141361</v>
      </c>
      <c r="AE11" s="39">
        <f t="shared" si="18"/>
        <v>-1.8610181167409284E-2</v>
      </c>
      <c r="AF11" s="11">
        <v>-96154.963744078763</v>
      </c>
      <c r="AG11" s="38">
        <f t="shared" si="19"/>
        <v>-0.13935813454908538</v>
      </c>
      <c r="AI11" s="30">
        <v>43365.095643503533</v>
      </c>
      <c r="AJ11" s="36">
        <f t="shared" si="4"/>
        <v>-2.217335447258113</v>
      </c>
      <c r="AK11" s="38">
        <f t="shared" si="20"/>
        <v>-0.10876442382656334</v>
      </c>
      <c r="AL11" s="11">
        <v>-167298.2725849445</v>
      </c>
      <c r="AM11" s="38">
        <f t="shared" si="21"/>
        <v>-0.13013951384061342</v>
      </c>
      <c r="AO11" s="30">
        <v>44014.476867223479</v>
      </c>
      <c r="AP11" s="36">
        <f t="shared" si="5"/>
        <v>-3.8009828695596175</v>
      </c>
      <c r="AQ11" s="38">
        <f t="shared" si="22"/>
        <v>-9.6353978810793037E-2</v>
      </c>
      <c r="AR11" s="11">
        <v>-259045.37789480761</v>
      </c>
      <c r="AS11" s="38">
        <f t="shared" si="23"/>
        <v>-0.1150829843095053</v>
      </c>
      <c r="AU11" s="30">
        <v>44593.08056813306</v>
      </c>
      <c r="AV11" s="36">
        <f t="shared" si="6"/>
        <v>-5.8090935767269158</v>
      </c>
      <c r="AW11" s="38">
        <f t="shared" si="24"/>
        <v>-7.6415786199681049E-2</v>
      </c>
      <c r="AX11" s="11">
        <v>-362813.071251316</v>
      </c>
      <c r="AY11" s="38">
        <f t="shared" si="25"/>
        <v>-0.10349430664510118</v>
      </c>
      <c r="BA11" s="30">
        <v>45080.619127808561</v>
      </c>
      <c r="BB11" s="36">
        <f t="shared" si="7"/>
        <v>-8.0480942425103041</v>
      </c>
      <c r="BC11" s="38">
        <f t="shared" si="26"/>
        <v>-5.99010337846375E-2</v>
      </c>
    </row>
    <row r="12" spans="1:55" x14ac:dyDescent="0.35">
      <c r="A12" s="26">
        <v>45107</v>
      </c>
      <c r="B12" s="27">
        <f>'Benefit-Cost'!G8</f>
        <v>-139284.22769623529</v>
      </c>
      <c r="C12" s="38">
        <f t="shared" si="8"/>
        <v>-0.5603320219599579</v>
      </c>
      <c r="D12" s="40"/>
      <c r="E12" s="30">
        <v>60209.313327005708</v>
      </c>
      <c r="F12" s="31">
        <f t="shared" si="0"/>
        <v>-2.3133336023907463</v>
      </c>
      <c r="G12" s="39">
        <f t="shared" si="9"/>
        <v>-0.10060431780189907</v>
      </c>
      <c r="H12" s="27">
        <f>'Benefit-Cost'!M8</f>
        <v>-237634.73220968852</v>
      </c>
      <c r="I12" s="38">
        <f t="shared" si="10"/>
        <v>-0.52336527529987253</v>
      </c>
      <c r="J12" s="40"/>
      <c r="K12" s="30">
        <v>62359.253446649753</v>
      </c>
      <c r="L12" s="31">
        <f t="shared" si="1"/>
        <v>-3.8107372855737007</v>
      </c>
      <c r="M12" s="39">
        <f t="shared" si="11"/>
        <v>-7.0266708090405749E-2</v>
      </c>
      <c r="N12" s="27">
        <f>'Benefit-Cost'!S8</f>
        <v>-607308.66905738693</v>
      </c>
      <c r="O12" s="38">
        <f t="shared" si="12"/>
        <v>-0.47720444524243366</v>
      </c>
      <c r="P12" s="40"/>
      <c r="Q12" s="30">
        <v>64227.142786043158</v>
      </c>
      <c r="R12" s="31">
        <f t="shared" si="2"/>
        <v>-9.4556388890050052</v>
      </c>
      <c r="S12" s="39">
        <f t="shared" si="13"/>
        <v>-3.135461824743449E-2</v>
      </c>
      <c r="T12" s="27">
        <f>'Benefit-Cost'!Y8</f>
        <v>-987336.87430817913</v>
      </c>
      <c r="U12" s="38">
        <f t="shared" si="14"/>
        <v>-0.47607804077114585</v>
      </c>
      <c r="V12" s="40"/>
      <c r="W12" s="30">
        <v>66010.317426647292</v>
      </c>
      <c r="X12" s="31">
        <f t="shared" si="3"/>
        <v>-14.957311414315473</v>
      </c>
      <c r="Y12" s="39">
        <f t="shared" si="15"/>
        <v>-2.2041225839092009E-2</v>
      </c>
      <c r="Z12" s="27">
        <f>'Benefit-Cost'!AE8</f>
        <v>-1436961.2760475446</v>
      </c>
      <c r="AA12" s="38">
        <f t="shared" si="16"/>
        <v>-0.48378459568503362</v>
      </c>
      <c r="AB12" s="40"/>
      <c r="AC12" s="30">
        <v>67719.813395981124</v>
      </c>
      <c r="AD12" s="36">
        <f t="shared" si="17"/>
        <v>-21.219214938545917</v>
      </c>
      <c r="AE12" s="39">
        <f t="shared" si="18"/>
        <v>-1.7060197178378988E-2</v>
      </c>
      <c r="AF12" s="11">
        <v>-151305.85642307019</v>
      </c>
      <c r="AG12" s="38">
        <f t="shared" si="19"/>
        <v>-0.57356261737852954</v>
      </c>
      <c r="AI12" s="30">
        <v>61607.877801355447</v>
      </c>
      <c r="AJ12" s="36">
        <f t="shared" si="4"/>
        <v>-2.4559498204260701</v>
      </c>
      <c r="AK12" s="38">
        <f t="shared" si="20"/>
        <v>-0.10761311440856641</v>
      </c>
      <c r="AL12" s="11">
        <v>-255072.78930874588</v>
      </c>
      <c r="AM12" s="38">
        <f t="shared" si="21"/>
        <v>-0.52465883459277496</v>
      </c>
      <c r="AO12" s="30">
        <v>62727.790826404664</v>
      </c>
      <c r="AP12" s="36">
        <f t="shared" si="5"/>
        <v>-4.0663442143952473</v>
      </c>
      <c r="AQ12" s="38">
        <f t="shared" si="22"/>
        <v>-6.9813875500674014E-2</v>
      </c>
      <c r="AR12" s="11">
        <v>-389047.31966908462</v>
      </c>
      <c r="AS12" s="38">
        <f t="shared" si="23"/>
        <v>-0.50185007287436656</v>
      </c>
      <c r="AU12" s="30">
        <v>63773.41752978506</v>
      </c>
      <c r="AV12" s="36">
        <f t="shared" si="6"/>
        <v>-6.100462147686879</v>
      </c>
      <c r="AW12" s="38">
        <f t="shared" si="24"/>
        <v>-5.0157320950600402E-2</v>
      </c>
      <c r="AX12" s="11">
        <v>-541939.6441271035</v>
      </c>
      <c r="AY12" s="38">
        <f t="shared" si="25"/>
        <v>-0.49371587483877838</v>
      </c>
      <c r="BA12" s="30">
        <v>64787.509419897498</v>
      </c>
      <c r="BB12" s="36">
        <f t="shared" si="7"/>
        <v>-8.3648784924685398</v>
      </c>
      <c r="BC12" s="38">
        <f t="shared" si="26"/>
        <v>-3.93613991601851E-2</v>
      </c>
    </row>
    <row r="13" spans="1:55" x14ac:dyDescent="0.35">
      <c r="A13" s="26">
        <v>45199</v>
      </c>
      <c r="B13" s="27">
        <f>'Benefit-Cost'!G9</f>
        <v>-129211.0586182815</v>
      </c>
      <c r="C13" s="38">
        <f t="shared" si="8"/>
        <v>7.2320960129974979E-2</v>
      </c>
      <c r="D13" s="40"/>
      <c r="E13" s="30">
        <v>56635.707963958455</v>
      </c>
      <c r="F13" s="31">
        <f t="shared" si="0"/>
        <v>-2.281441572170479</v>
      </c>
      <c r="G13" s="39">
        <f t="shared" si="9"/>
        <v>1.3786178607057777E-2</v>
      </c>
      <c r="H13" s="27">
        <f>'Benefit-Cost'!M9</f>
        <v>-221364.30379003892</v>
      </c>
      <c r="I13" s="38">
        <f t="shared" si="10"/>
        <v>6.8468225449858061E-2</v>
      </c>
      <c r="J13" s="40"/>
      <c r="K13" s="30">
        <v>58577.353298317612</v>
      </c>
      <c r="L13" s="31">
        <f t="shared" si="1"/>
        <v>-3.7790082911854039</v>
      </c>
      <c r="M13" s="39">
        <f t="shared" si="11"/>
        <v>8.3262088174939734E-3</v>
      </c>
      <c r="N13" s="27">
        <f>'Benefit-Cost'!S9</f>
        <v>-567526.93088612054</v>
      </c>
      <c r="O13" s="38">
        <f t="shared" si="12"/>
        <v>6.550497333260899E-2</v>
      </c>
      <c r="P13" s="40"/>
      <c r="Q13" s="30">
        <v>60220.957250238425</v>
      </c>
      <c r="R13" s="31">
        <f t="shared" si="2"/>
        <v>-9.424076879546341</v>
      </c>
      <c r="S13" s="39">
        <f t="shared" si="13"/>
        <v>3.3379034276958689E-3</v>
      </c>
      <c r="T13" s="27">
        <f>'Benefit-Cost'!Y9</f>
        <v>-921220.45955731208</v>
      </c>
      <c r="U13" s="38">
        <f t="shared" si="14"/>
        <v>6.6964393279846282E-2</v>
      </c>
      <c r="V13" s="40"/>
      <c r="W13" s="30">
        <v>61719.489588499346</v>
      </c>
      <c r="X13" s="31">
        <f t="shared" si="3"/>
        <v>-14.925924788091086</v>
      </c>
      <c r="Y13" s="39">
        <f t="shared" si="15"/>
        <v>2.0984136356449455E-3</v>
      </c>
      <c r="Z13" s="27">
        <f>'Benefit-Cost'!AE9</f>
        <v>-1336697.6067826175</v>
      </c>
      <c r="AA13" s="38">
        <f t="shared" si="16"/>
        <v>6.9774788601616872E-2</v>
      </c>
      <c r="AB13" s="40"/>
      <c r="AC13" s="30">
        <v>63087.613712834151</v>
      </c>
      <c r="AD13" s="36">
        <f t="shared" si="17"/>
        <v>-21.187956369170578</v>
      </c>
      <c r="AE13" s="39">
        <f t="shared" si="18"/>
        <v>1.4731256300418603E-3</v>
      </c>
      <c r="AF13" s="11">
        <v>-140466.66078504082</v>
      </c>
      <c r="AG13" s="38">
        <f t="shared" si="19"/>
        <v>7.1637647704274027E-2</v>
      </c>
      <c r="AI13" s="30">
        <v>57947.272840815189</v>
      </c>
      <c r="AJ13" s="36">
        <f t="shared" si="4"/>
        <v>-2.4240426494429097</v>
      </c>
      <c r="AK13" s="38">
        <f t="shared" si="20"/>
        <v>1.2991784570592331E-2</v>
      </c>
      <c r="AL13" s="11">
        <v>-237984.27813552413</v>
      </c>
      <c r="AM13" s="38">
        <f t="shared" si="21"/>
        <v>6.6994645801036146E-2</v>
      </c>
      <c r="AO13" s="30">
        <v>58988.365091498643</v>
      </c>
      <c r="AP13" s="36">
        <f t="shared" si="5"/>
        <v>-4.0344274293138911</v>
      </c>
      <c r="AQ13" s="38">
        <f t="shared" si="22"/>
        <v>7.8490121343804918E-3</v>
      </c>
      <c r="AR13" s="11">
        <v>-363730.90039411699</v>
      </c>
      <c r="AS13" s="38">
        <f t="shared" si="23"/>
        <v>6.5072853596578523E-2</v>
      </c>
      <c r="AU13" s="30">
        <v>59937.004721067337</v>
      </c>
      <c r="AV13" s="36">
        <f t="shared" si="6"/>
        <v>-6.0685531765698784</v>
      </c>
      <c r="AW13" s="38">
        <f t="shared" si="24"/>
        <v>5.2305825926810493E-3</v>
      </c>
      <c r="AX13" s="11">
        <v>-506611.52874436788</v>
      </c>
      <c r="AY13" s="38">
        <f t="shared" si="25"/>
        <v>6.518828390869659E-2</v>
      </c>
      <c r="BA13" s="30">
        <v>60796.053394793184</v>
      </c>
      <c r="BB13" s="36">
        <f t="shared" si="7"/>
        <v>-8.3329673631044621</v>
      </c>
      <c r="BC13" s="38">
        <f t="shared" si="26"/>
        <v>3.8148945490134043E-3</v>
      </c>
    </row>
    <row r="14" spans="1:55" x14ac:dyDescent="0.35">
      <c r="A14" s="26">
        <v>45291</v>
      </c>
      <c r="B14" s="27">
        <f>'Benefit-Cost'!G10</f>
        <v>-67992.085037849844</v>
      </c>
      <c r="C14" s="38">
        <f t="shared" si="8"/>
        <v>0.47379051170292058</v>
      </c>
      <c r="D14" s="40"/>
      <c r="E14" s="30">
        <v>41240.169416755292</v>
      </c>
      <c r="F14" s="31">
        <f t="shared" si="0"/>
        <v>-1.6486858807671538</v>
      </c>
      <c r="G14" s="39">
        <f t="shared" si="9"/>
        <v>0.27734906697669442</v>
      </c>
      <c r="H14" s="27">
        <f>'Benefit-Cost'!M10</f>
        <v>-131896.11207881174</v>
      </c>
      <c r="I14" s="38">
        <f t="shared" si="10"/>
        <v>0.40416720392320599</v>
      </c>
      <c r="J14" s="40"/>
      <c r="K14" s="30">
        <v>42367.852325631393</v>
      </c>
      <c r="L14" s="31">
        <f t="shared" si="1"/>
        <v>-3.1131177257955605</v>
      </c>
      <c r="M14" s="39">
        <f t="shared" si="11"/>
        <v>0.17620775454318099</v>
      </c>
      <c r="N14" s="27">
        <f>'Benefit-Cost'!S10</f>
        <v>-369341.69684149697</v>
      </c>
      <c r="O14" s="38">
        <f t="shared" si="12"/>
        <v>0.34920851022026872</v>
      </c>
      <c r="P14" s="40"/>
      <c r="Q14" s="30">
        <v>42985.714787706762</v>
      </c>
      <c r="R14" s="31">
        <f t="shared" si="2"/>
        <v>-8.5921962369489986</v>
      </c>
      <c r="S14" s="39">
        <f t="shared" si="13"/>
        <v>8.8271843834680994E-2</v>
      </c>
      <c r="T14" s="27">
        <f>'Benefit-Cost'!Y10</f>
        <v>-604832.8036190148</v>
      </c>
      <c r="U14" s="38">
        <f t="shared" si="14"/>
        <v>0.34344401783079787</v>
      </c>
      <c r="V14" s="40"/>
      <c r="W14" s="30">
        <v>43388.037011003151</v>
      </c>
      <c r="X14" s="31">
        <f t="shared" si="3"/>
        <v>-13.940082227403604</v>
      </c>
      <c r="Y14" s="39">
        <f t="shared" si="15"/>
        <v>6.6049010341660983E-2</v>
      </c>
      <c r="Z14" s="27">
        <f>'Benefit-Cost'!AE10</f>
        <v>-872329.86762182461</v>
      </c>
      <c r="AA14" s="38">
        <f t="shared" si="16"/>
        <v>0.34739924482883539</v>
      </c>
      <c r="AB14" s="40"/>
      <c r="AC14" s="30">
        <v>43558.98587858137</v>
      </c>
      <c r="AD14" s="36">
        <f t="shared" si="17"/>
        <v>-20.026404426710098</v>
      </c>
      <c r="AE14" s="39">
        <f t="shared" si="18"/>
        <v>5.4821329731950481E-2</v>
      </c>
      <c r="AF14" s="11">
        <v>-75493.343738339841</v>
      </c>
      <c r="AG14" s="38">
        <f t="shared" si="19"/>
        <v>0.46255329687185387</v>
      </c>
      <c r="AI14" s="30">
        <v>42056.843951409428</v>
      </c>
      <c r="AJ14" s="36">
        <f t="shared" si="4"/>
        <v>-1.7950311208696836</v>
      </c>
      <c r="AK14" s="38">
        <f t="shared" si="20"/>
        <v>0.25948863924394427</v>
      </c>
      <c r="AL14" s="11">
        <v>-140665.1393986058</v>
      </c>
      <c r="AM14" s="38">
        <f t="shared" si="21"/>
        <v>0.40893095753786862</v>
      </c>
      <c r="AO14" s="30">
        <v>42503.943211824109</v>
      </c>
      <c r="AP14" s="36">
        <f t="shared" si="5"/>
        <v>-3.3094609292503092</v>
      </c>
      <c r="AQ14" s="38">
        <f t="shared" si="22"/>
        <v>0.17969501565352788</v>
      </c>
      <c r="AR14" s="11">
        <v>-224761.2626749198</v>
      </c>
      <c r="AS14" s="38">
        <f t="shared" si="23"/>
        <v>0.38206717539977503</v>
      </c>
      <c r="AU14" s="30">
        <v>42828.020350589097</v>
      </c>
      <c r="AV14" s="36">
        <f t="shared" si="6"/>
        <v>-5.2479956074324647</v>
      </c>
      <c r="AW14" s="38">
        <f t="shared" si="24"/>
        <v>0.13521469537508715</v>
      </c>
      <c r="AX14" s="11">
        <v>-320152.71708273585</v>
      </c>
      <c r="AY14" s="38">
        <f t="shared" si="25"/>
        <v>0.36805086556906536</v>
      </c>
      <c r="BA14" s="30">
        <v>43064.372373133476</v>
      </c>
      <c r="BB14" s="36">
        <f t="shared" si="7"/>
        <v>-7.4342826666265127</v>
      </c>
      <c r="BC14" s="38">
        <f t="shared" si="26"/>
        <v>0.10784689982790749</v>
      </c>
    </row>
    <row r="15" spans="1:55" x14ac:dyDescent="0.35">
      <c r="A15" s="26">
        <v>45382</v>
      </c>
      <c r="B15" s="27">
        <f>'Benefit-Cost'!G11</f>
        <v>-64358.595607937779</v>
      </c>
      <c r="C15" s="38">
        <f t="shared" si="8"/>
        <v>5.343988830301899E-2</v>
      </c>
      <c r="D15" s="40"/>
      <c r="E15" s="30">
        <v>42796.411285155176</v>
      </c>
      <c r="F15" s="31">
        <f t="shared" si="0"/>
        <v>-1.5038315988486142</v>
      </c>
      <c r="G15" s="39">
        <f t="shared" si="9"/>
        <v>8.7860449105767305E-2</v>
      </c>
      <c r="H15" s="27">
        <f>'Benefit-Cost'!M11</f>
        <v>-128681.47039835248</v>
      </c>
      <c r="I15" s="38">
        <f t="shared" si="10"/>
        <v>2.4372527967605428E-2</v>
      </c>
      <c r="J15" s="40"/>
      <c r="K15" s="30">
        <v>44234.630095838278</v>
      </c>
      <c r="L15" s="31">
        <f t="shared" si="1"/>
        <v>-2.9090662704662065</v>
      </c>
      <c r="M15" s="39">
        <f t="shared" si="11"/>
        <v>6.554569190832911E-2</v>
      </c>
      <c r="N15" s="27">
        <f>'Benefit-Cost'!S11</f>
        <v>-380947.70700300951</v>
      </c>
      <c r="O15" s="38">
        <f t="shared" si="12"/>
        <v>-3.1423503657355134E-2</v>
      </c>
      <c r="P15" s="40"/>
      <c r="Q15" s="30">
        <v>45231.798669442913</v>
      </c>
      <c r="R15" s="31">
        <f t="shared" si="2"/>
        <v>-8.4221215651184131</v>
      </c>
      <c r="S15" s="39">
        <f t="shared" si="13"/>
        <v>1.9794086068380724E-2</v>
      </c>
      <c r="T15" s="27">
        <f>'Benefit-Cost'!Y11</f>
        <v>-635597.60341939842</v>
      </c>
      <c r="U15" s="38">
        <f t="shared" si="14"/>
        <v>-5.0864965683578275E-2</v>
      </c>
      <c r="V15" s="40"/>
      <c r="W15" s="30">
        <v>46064.816234361228</v>
      </c>
      <c r="X15" s="31">
        <f t="shared" si="3"/>
        <v>-13.797897297271442</v>
      </c>
      <c r="Y15" s="39">
        <f t="shared" si="15"/>
        <v>1.0199719615186542E-2</v>
      </c>
      <c r="Z15" s="27">
        <f>'Benefit-Cost'!AE11</f>
        <v>-931690.48107551597</v>
      </c>
      <c r="AA15" s="38">
        <f t="shared" si="16"/>
        <v>-6.8048356082914235E-2</v>
      </c>
      <c r="AB15" s="40"/>
      <c r="AC15" s="30">
        <v>46750.023490416963</v>
      </c>
      <c r="AD15" s="36">
        <f t="shared" si="17"/>
        <v>-19.929198137547424</v>
      </c>
      <c r="AE15" s="39">
        <f t="shared" si="18"/>
        <v>4.8539062275715274E-3</v>
      </c>
      <c r="AF15" s="11">
        <v>-69747.852536855731</v>
      </c>
      <c r="AG15" s="38">
        <f t="shared" si="19"/>
        <v>7.6105930893695745E-2</v>
      </c>
      <c r="AI15" s="30">
        <v>43811.370166382301</v>
      </c>
      <c r="AJ15" s="36">
        <f t="shared" si="4"/>
        <v>-1.5920034518887343</v>
      </c>
      <c r="AK15" s="38">
        <f t="shared" si="20"/>
        <v>0.11310537551158638</v>
      </c>
      <c r="AL15" s="11">
        <v>-139289.05647914018</v>
      </c>
      <c r="AM15" s="38">
        <f t="shared" si="21"/>
        <v>9.7826862103067014E-3</v>
      </c>
      <c r="AO15" s="30">
        <v>44452.794440486083</v>
      </c>
      <c r="AP15" s="36">
        <f t="shared" si="5"/>
        <v>-3.1334150807014391</v>
      </c>
      <c r="AQ15" s="38">
        <f t="shared" si="22"/>
        <v>5.3194720322245849E-2</v>
      </c>
      <c r="AR15" s="11">
        <v>-229406.87956132274</v>
      </c>
      <c r="AS15" s="38">
        <f t="shared" si="23"/>
        <v>-2.0669117227384803E-2</v>
      </c>
      <c r="AU15" s="30">
        <v>45021.705770863053</v>
      </c>
      <c r="AV15" s="36">
        <f t="shared" si="6"/>
        <v>-5.0954728532251492</v>
      </c>
      <c r="AW15" s="38">
        <f t="shared" si="24"/>
        <v>2.9063049136570436E-2</v>
      </c>
      <c r="AX15" s="11">
        <v>-331474.03763440484</v>
      </c>
      <c r="AY15" s="38">
        <f t="shared" si="25"/>
        <v>-3.5362250412334519E-2</v>
      </c>
      <c r="BA15" s="30">
        <v>45490.878807473855</v>
      </c>
      <c r="BB15" s="36">
        <f t="shared" si="7"/>
        <v>-7.2866043990327531</v>
      </c>
      <c r="BC15" s="38">
        <f t="shared" si="26"/>
        <v>1.9864494560679947E-2</v>
      </c>
    </row>
    <row r="16" spans="1:55" x14ac:dyDescent="0.35">
      <c r="A16" s="26">
        <v>45473</v>
      </c>
      <c r="B16" s="27">
        <f>'Benefit-Cost'!G12</f>
        <v>-115518.0105106975</v>
      </c>
      <c r="C16" s="38">
        <f t="shared" si="8"/>
        <v>-0.79491192154680701</v>
      </c>
      <c r="D16" s="40"/>
      <c r="E16" s="30">
        <v>59908.266760370963</v>
      </c>
      <c r="F16" s="31">
        <f t="shared" si="0"/>
        <v>-1.928248249490538</v>
      </c>
      <c r="G16" s="39">
        <f t="shared" si="9"/>
        <v>-0.28222352221277436</v>
      </c>
      <c r="H16" s="27">
        <f>'Benefit-Cost'!M12</f>
        <v>-212138.0054970854</v>
      </c>
      <c r="I16" s="38">
        <f t="shared" si="10"/>
        <v>-0.64855130144519557</v>
      </c>
      <c r="J16" s="40"/>
      <c r="K16" s="30">
        <v>62216.195358452154</v>
      </c>
      <c r="L16" s="31">
        <f t="shared" si="1"/>
        <v>-3.4096910663674351</v>
      </c>
      <c r="M16" s="39">
        <f t="shared" si="11"/>
        <v>-0.17209123112241737</v>
      </c>
      <c r="N16" s="27">
        <f>'Benefit-Cost'!S12</f>
        <v>-576004.16833781358</v>
      </c>
      <c r="O16" s="38">
        <f t="shared" si="12"/>
        <v>-0.51202949315367086</v>
      </c>
      <c r="P16" s="40"/>
      <c r="Q16" s="30">
        <v>64023.500529761557</v>
      </c>
      <c r="R16" s="31">
        <f t="shared" si="2"/>
        <v>-8.9967615574230582</v>
      </c>
      <c r="S16" s="39">
        <f t="shared" si="13"/>
        <v>-6.822983827312705E-2</v>
      </c>
      <c r="T16" s="27">
        <f>'Benefit-Cost'!Y12</f>
        <v>-949498.21071216604</v>
      </c>
      <c r="U16" s="38">
        <f t="shared" si="14"/>
        <v>-0.49386688307828724</v>
      </c>
      <c r="V16" s="40"/>
      <c r="W16" s="30">
        <v>65745.231079963443</v>
      </c>
      <c r="X16" s="31">
        <f t="shared" si="3"/>
        <v>-14.442084925632511</v>
      </c>
      <c r="Y16" s="39">
        <f t="shared" si="15"/>
        <v>-4.6687376669230451E-2</v>
      </c>
      <c r="Z16" s="27">
        <f>'Benefit-Cost'!AE12</f>
        <v>-1391013.3315561018</v>
      </c>
      <c r="AA16" s="38">
        <f t="shared" si="16"/>
        <v>-0.49299940249508301</v>
      </c>
      <c r="AB16" s="40"/>
      <c r="AC16" s="30">
        <v>67394.056600518175</v>
      </c>
      <c r="AD16" s="36">
        <f t="shared" si="17"/>
        <v>-20.640000049283376</v>
      </c>
      <c r="AE16" s="39">
        <f t="shared" si="18"/>
        <v>-3.5666357814807044E-2</v>
      </c>
      <c r="AF16" s="11">
        <v>-127209.10234021256</v>
      </c>
      <c r="AG16" s="38">
        <f t="shared" si="19"/>
        <v>-0.82384256594844274</v>
      </c>
      <c r="AI16" s="30">
        <v>61483.393880048643</v>
      </c>
      <c r="AJ16" s="36">
        <f t="shared" si="4"/>
        <v>-2.0689993559625521</v>
      </c>
      <c r="AK16" s="38">
        <f t="shared" si="20"/>
        <v>-0.29961989310256554</v>
      </c>
      <c r="AL16" s="11">
        <v>-229147.76004885091</v>
      </c>
      <c r="AM16" s="38">
        <f t="shared" si="21"/>
        <v>-0.64512393034385929</v>
      </c>
      <c r="AO16" s="30">
        <v>62562.808245182765</v>
      </c>
      <c r="AP16" s="36">
        <f t="shared" si="5"/>
        <v>-3.662683413296028</v>
      </c>
      <c r="AQ16" s="38">
        <f t="shared" si="22"/>
        <v>-0.16891101847767581</v>
      </c>
      <c r="AR16" s="11">
        <v>-360784.6832155562</v>
      </c>
      <c r="AS16" s="38">
        <f t="shared" si="23"/>
        <v>-0.57268467234050346</v>
      </c>
      <c r="AU16" s="30">
        <v>63565.243060801928</v>
      </c>
      <c r="AV16" s="36">
        <f t="shared" si="6"/>
        <v>-5.6758169377320806</v>
      </c>
      <c r="AW16" s="38">
        <f t="shared" si="24"/>
        <v>-0.1138940587505252</v>
      </c>
      <c r="AX16" s="11">
        <v>-510942.59873882728</v>
      </c>
      <c r="AY16" s="38">
        <f t="shared" si="25"/>
        <v>-0.5414256947096564</v>
      </c>
      <c r="BA16" s="30">
        <v>64537.788981015707</v>
      </c>
      <c r="BB16" s="36">
        <f t="shared" si="7"/>
        <v>-7.9169523283347223</v>
      </c>
      <c r="BC16" s="38">
        <f t="shared" si="26"/>
        <v>-8.6507774373704646E-2</v>
      </c>
    </row>
    <row r="17" spans="1:55" x14ac:dyDescent="0.35">
      <c r="A17" s="26">
        <v>45565</v>
      </c>
      <c r="B17" s="27">
        <f>'Benefit-Cost'!G13</f>
        <v>-105043.94565230235</v>
      </c>
      <c r="C17" s="38">
        <f t="shared" si="8"/>
        <v>9.0670405524558392E-2</v>
      </c>
      <c r="D17" s="40"/>
      <c r="E17" s="30">
        <v>56352.529424138833</v>
      </c>
      <c r="F17" s="31">
        <f t="shared" si="0"/>
        <v>-1.8640502338712477</v>
      </c>
      <c r="G17" s="39">
        <f t="shared" si="9"/>
        <v>3.3293439076764117E-2</v>
      </c>
      <c r="H17" s="27">
        <f>'Benefit-Cost'!M13</f>
        <v>-195571.72052108403</v>
      </c>
      <c r="I17" s="38">
        <f t="shared" si="10"/>
        <v>7.8092018151971226E-2</v>
      </c>
      <c r="J17" s="40"/>
      <c r="K17" s="30">
        <v>58453.923037603374</v>
      </c>
      <c r="L17" s="31">
        <f t="shared" si="1"/>
        <v>-3.3457415748686854</v>
      </c>
      <c r="M17" s="39">
        <f t="shared" si="11"/>
        <v>1.8755215723071143E-2</v>
      </c>
      <c r="N17" s="27">
        <f>'Benefit-Cost'!S13</f>
        <v>-536735.04120994592</v>
      </c>
      <c r="O17" s="38">
        <f t="shared" si="12"/>
        <v>6.8175074567927763E-2</v>
      </c>
      <c r="P17" s="40"/>
      <c r="Q17" s="30">
        <v>60083.917827557772</v>
      </c>
      <c r="R17" s="31">
        <f t="shared" si="2"/>
        <v>-8.9330899284961376</v>
      </c>
      <c r="S17" s="39">
        <f t="shared" si="13"/>
        <v>7.0771719935587615E-3</v>
      </c>
      <c r="T17" s="27">
        <f>'Benefit-Cost'!Y13</f>
        <v>-885269.21119396621</v>
      </c>
      <c r="U17" s="38">
        <f t="shared" si="14"/>
        <v>6.7645203322737393E-2</v>
      </c>
      <c r="V17" s="40"/>
      <c r="W17" s="30">
        <v>61568.10083719666</v>
      </c>
      <c r="X17" s="31">
        <f t="shared" si="3"/>
        <v>-14.378699345215576</v>
      </c>
      <c r="Y17" s="39">
        <f t="shared" si="15"/>
        <v>4.3889494310087127E-3</v>
      </c>
      <c r="Z17" s="27">
        <f>'Benefit-Cost'!AE13</f>
        <v>-1294633.6169366161</v>
      </c>
      <c r="AA17" s="38">
        <f t="shared" si="16"/>
        <v>6.9287412588395103E-2</v>
      </c>
      <c r="AB17" s="40"/>
      <c r="AC17" s="30">
        <v>62917.159253514023</v>
      </c>
      <c r="AD17" s="36">
        <f t="shared" si="17"/>
        <v>-20.576797050230915</v>
      </c>
      <c r="AE17" s="39">
        <f t="shared" si="18"/>
        <v>3.062160799493562E-3</v>
      </c>
      <c r="AF17" s="11">
        <v>-115922.91528187506</v>
      </c>
      <c r="AG17" s="38">
        <f t="shared" si="19"/>
        <v>8.8721536829599795E-2</v>
      </c>
      <c r="AI17" s="30">
        <v>57825.118659065294</v>
      </c>
      <c r="AJ17" s="36">
        <f t="shared" si="4"/>
        <v>-2.0047155625456159</v>
      </c>
      <c r="AK17" s="38">
        <f t="shared" si="20"/>
        <v>3.1069991989934553E-2</v>
      </c>
      <c r="AL17" s="11">
        <v>-211757.8993058959</v>
      </c>
      <c r="AM17" s="38">
        <f t="shared" si="21"/>
        <v>7.5889289684733297E-2</v>
      </c>
      <c r="AO17" s="30">
        <v>58848.319858110102</v>
      </c>
      <c r="AP17" s="36">
        <f t="shared" si="5"/>
        <v>-3.5983678007540054</v>
      </c>
      <c r="AQ17" s="38">
        <f t="shared" si="22"/>
        <v>1.7559697436187995E-2</v>
      </c>
      <c r="AR17" s="11">
        <v>-335451.51048440905</v>
      </c>
      <c r="AS17" s="38">
        <f t="shared" si="23"/>
        <v>7.0216874245771305E-2</v>
      </c>
      <c r="AU17" s="30">
        <v>59779.273082482425</v>
      </c>
      <c r="AV17" s="36">
        <f t="shared" si="6"/>
        <v>-5.611502000393326</v>
      </c>
      <c r="AW17" s="38">
        <f t="shared" si="24"/>
        <v>1.1331397408397264E-2</v>
      </c>
      <c r="AX17" s="11">
        <v>-476038.34291234287</v>
      </c>
      <c r="AY17" s="38">
        <f t="shared" si="25"/>
        <v>6.8313458131382038E-2</v>
      </c>
      <c r="BA17" s="30">
        <v>60621.773011363053</v>
      </c>
      <c r="BB17" s="36">
        <f t="shared" si="7"/>
        <v>-7.8525968355150777</v>
      </c>
      <c r="BC17" s="38">
        <f t="shared" si="26"/>
        <v>8.128821565505288E-3</v>
      </c>
    </row>
    <row r="18" spans="1:55" x14ac:dyDescent="0.35">
      <c r="A18" s="26">
        <v>45657</v>
      </c>
      <c r="B18" s="27">
        <f>'Benefit-Cost'!G14</f>
        <v>-66017.10895233159</v>
      </c>
      <c r="C18" s="38">
        <f t="shared" si="8"/>
        <v>0.3715286631478068</v>
      </c>
      <c r="D18" s="40"/>
      <c r="E18" s="30">
        <v>41033.968569671473</v>
      </c>
      <c r="F18" s="31">
        <f t="shared" si="0"/>
        <v>-1.6088404620245615</v>
      </c>
      <c r="G18" s="39">
        <f t="shared" si="9"/>
        <v>0.13691142395699718</v>
      </c>
      <c r="H18" s="27">
        <f>'Benefit-Cost'!M14</f>
        <v>-130496.42812167457</v>
      </c>
      <c r="I18" s="38">
        <f t="shared" si="10"/>
        <v>0.3327438763949202</v>
      </c>
      <c r="J18" s="40"/>
      <c r="K18" s="30">
        <v>42222.987097856974</v>
      </c>
      <c r="L18" s="31">
        <f t="shared" si="1"/>
        <v>-3.0906488879915819</v>
      </c>
      <c r="M18" s="39">
        <f t="shared" si="11"/>
        <v>7.624398991040289E-2</v>
      </c>
      <c r="N18" s="27">
        <f>'Benefit-Cost'!S14</f>
        <v>-367441.58656690829</v>
      </c>
      <c r="O18" s="38">
        <f t="shared" si="12"/>
        <v>0.31541345663104914</v>
      </c>
      <c r="P18" s="40"/>
      <c r="Q18" s="30">
        <v>42805.145868211977</v>
      </c>
      <c r="R18" s="31">
        <f t="shared" si="2"/>
        <v>-8.5840517328964019</v>
      </c>
      <c r="S18" s="39">
        <f t="shared" si="13"/>
        <v>3.9072504407049596E-2</v>
      </c>
      <c r="T18" s="27">
        <f>'Benefit-Cost'!Y14</f>
        <v>-602343.26587234251</v>
      </c>
      <c r="U18" s="38">
        <f t="shared" si="14"/>
        <v>0.31959311556768172</v>
      </c>
      <c r="V18" s="40"/>
      <c r="W18" s="30">
        <v>43186.506140184283</v>
      </c>
      <c r="X18" s="31">
        <f t="shared" si="3"/>
        <v>-13.947487761967221</v>
      </c>
      <c r="Y18" s="39">
        <f t="shared" si="15"/>
        <v>2.9989609831562312E-2</v>
      </c>
      <c r="Z18" s="27">
        <f>'Benefit-Cost'!AE14</f>
        <v>-869997.97735814285</v>
      </c>
      <c r="AA18" s="38">
        <f t="shared" si="16"/>
        <v>0.3279967660528183</v>
      </c>
      <c r="AB18" s="40"/>
      <c r="AC18" s="30">
        <v>43347.372238351294</v>
      </c>
      <c r="AD18" s="36">
        <f t="shared" si="17"/>
        <v>-20.070374106516613</v>
      </c>
      <c r="AE18" s="39">
        <f t="shared" si="18"/>
        <v>2.4611359215822116E-2</v>
      </c>
      <c r="AF18" s="11">
        <v>-74189.356739545707</v>
      </c>
      <c r="AG18" s="38">
        <f t="shared" si="19"/>
        <v>0.360011292338975</v>
      </c>
      <c r="AI18" s="30">
        <v>41923.297311767674</v>
      </c>
      <c r="AJ18" s="36">
        <f t="shared" si="4"/>
        <v>-1.7696450779581476</v>
      </c>
      <c r="AK18" s="38">
        <f t="shared" si="20"/>
        <v>0.11725877175761157</v>
      </c>
      <c r="AL18" s="11">
        <v>-139326.16425504</v>
      </c>
      <c r="AM18" s="38">
        <f t="shared" si="21"/>
        <v>0.3420497430710922</v>
      </c>
      <c r="AO18" s="30">
        <v>42344.746803073802</v>
      </c>
      <c r="AP18" s="36">
        <f t="shared" si="5"/>
        <v>-3.290282142977091</v>
      </c>
      <c r="AQ18" s="38">
        <f t="shared" si="22"/>
        <v>8.5618167690461738E-2</v>
      </c>
      <c r="AR18" s="11">
        <v>-223660.66013580281</v>
      </c>
      <c r="AS18" s="38">
        <f t="shared" si="23"/>
        <v>0.3332548724767242</v>
      </c>
      <c r="AU18" s="30">
        <v>42649.010441732033</v>
      </c>
      <c r="AV18" s="36">
        <f t="shared" si="6"/>
        <v>-5.2442168720742695</v>
      </c>
      <c r="AW18" s="38">
        <f t="shared" si="24"/>
        <v>6.5452195917120329E-2</v>
      </c>
      <c r="AX18" s="11">
        <v>-318905.16351167765</v>
      </c>
      <c r="AY18" s="38">
        <f t="shared" si="25"/>
        <v>0.33008513230120107</v>
      </c>
      <c r="BA18" s="30">
        <v>42876.066914005823</v>
      </c>
      <c r="BB18" s="36">
        <f t="shared" si="7"/>
        <v>-7.437836221108812</v>
      </c>
      <c r="BC18" s="38">
        <f t="shared" si="26"/>
        <v>5.2818274399421675E-2</v>
      </c>
    </row>
    <row r="19" spans="1:55" x14ac:dyDescent="0.35">
      <c r="A19" s="26">
        <v>45747</v>
      </c>
      <c r="B19" s="27">
        <f>'Benefit-Cost'!G15</f>
        <v>-63268.662206467241</v>
      </c>
      <c r="C19" s="38">
        <f t="shared" si="8"/>
        <v>4.1632340305130536E-2</v>
      </c>
      <c r="D19" s="40"/>
      <c r="E19" s="30">
        <v>42045.936159626697</v>
      </c>
      <c r="F19" s="31">
        <f t="shared" si="0"/>
        <v>-1.5047509458766435</v>
      </c>
      <c r="G19" s="39">
        <f t="shared" si="9"/>
        <v>6.4698469863775074E-2</v>
      </c>
      <c r="H19" s="27">
        <f>'Benefit-Cost'!M15</f>
        <v>-126865.8672697125</v>
      </c>
      <c r="I19" s="38">
        <f t="shared" si="10"/>
        <v>2.782115115501051E-2</v>
      </c>
      <c r="J19" s="40"/>
      <c r="K19" s="30">
        <v>43580.251692444777</v>
      </c>
      <c r="L19" s="31">
        <f t="shared" si="1"/>
        <v>-2.9110861535411097</v>
      </c>
      <c r="M19" s="39">
        <f t="shared" si="11"/>
        <v>5.8098716793145253E-2</v>
      </c>
      <c r="N19" s="27">
        <f>'Benefit-Cost'!S15</f>
        <v>-375300.77030684706</v>
      </c>
      <c r="O19" s="38">
        <f t="shared" si="12"/>
        <v>-2.138893371697239E-2</v>
      </c>
      <c r="P19" s="40"/>
      <c r="Q19" s="30">
        <v>44547.801532691461</v>
      </c>
      <c r="R19" s="31">
        <f t="shared" si="2"/>
        <v>-8.4246754585954626</v>
      </c>
      <c r="S19" s="39">
        <f t="shared" si="13"/>
        <v>1.8566555661607489E-2</v>
      </c>
      <c r="T19" s="27">
        <f>'Benefit-Cost'!Y15</f>
        <v>-625922.28432801133</v>
      </c>
      <c r="U19" s="38">
        <f t="shared" si="14"/>
        <v>-3.9145483633025349E-2</v>
      </c>
      <c r="V19" s="40"/>
      <c r="W19" s="30">
        <v>45352.989809663763</v>
      </c>
      <c r="X19" s="31">
        <f t="shared" si="3"/>
        <v>-13.801125062644504</v>
      </c>
      <c r="Y19" s="39">
        <f t="shared" si="15"/>
        <v>1.0493839594670722E-2</v>
      </c>
      <c r="Z19" s="27">
        <f>'Benefit-Cost'!AE15</f>
        <v>-917546.84143884853</v>
      </c>
      <c r="AA19" s="38">
        <f t="shared" si="16"/>
        <v>-5.4653993823173846E-2</v>
      </c>
      <c r="AB19" s="40"/>
      <c r="AC19" s="30">
        <v>46030.751304322243</v>
      </c>
      <c r="AD19" s="36">
        <f t="shared" si="17"/>
        <v>-19.933344893127821</v>
      </c>
      <c r="AE19" s="39">
        <f t="shared" si="18"/>
        <v>6.8274369307496441E-3</v>
      </c>
      <c r="AF19" s="11">
        <v>-68789.837146554142</v>
      </c>
      <c r="AG19" s="38">
        <f t="shared" si="19"/>
        <v>7.2780245446088604E-2</v>
      </c>
      <c r="AI19" s="30">
        <v>43151.214259054192</v>
      </c>
      <c r="AJ19" s="36">
        <f t="shared" si="4"/>
        <v>-1.594157622855777</v>
      </c>
      <c r="AK19" s="38">
        <f t="shared" si="20"/>
        <v>9.9165339585975967E-2</v>
      </c>
      <c r="AL19" s="11">
        <v>-137245.94815751025</v>
      </c>
      <c r="AM19" s="38">
        <f t="shared" si="21"/>
        <v>1.493054882155413E-2</v>
      </c>
      <c r="AO19" s="30">
        <v>43760.748231502424</v>
      </c>
      <c r="AP19" s="36">
        <f t="shared" si="5"/>
        <v>-3.1362797416409309</v>
      </c>
      <c r="AQ19" s="38">
        <f t="shared" si="22"/>
        <v>4.6805226617075653E-2</v>
      </c>
      <c r="AR19" s="11">
        <v>-225869.4656890668</v>
      </c>
      <c r="AS19" s="38">
        <f t="shared" si="23"/>
        <v>-9.8756998746352478E-3</v>
      </c>
      <c r="AU19" s="30">
        <v>44298.141189406844</v>
      </c>
      <c r="AV19" s="36">
        <f t="shared" si="6"/>
        <v>-5.0988474826361267</v>
      </c>
      <c r="AW19" s="38">
        <f t="shared" si="24"/>
        <v>2.7719942363986193E-2</v>
      </c>
      <c r="AX19" s="11">
        <v>-326261.05422481475</v>
      </c>
      <c r="AY19" s="38">
        <f t="shared" si="25"/>
        <v>-2.306607592093049E-2</v>
      </c>
      <c r="BA19" s="30">
        <v>44751.67696681017</v>
      </c>
      <c r="BB19" s="36">
        <f t="shared" si="7"/>
        <v>-7.2904766108940331</v>
      </c>
      <c r="BC19" s="38">
        <f t="shared" si="26"/>
        <v>1.9812161203088575E-2</v>
      </c>
    </row>
    <row r="20" spans="1:55" x14ac:dyDescent="0.35">
      <c r="A20" s="26">
        <v>45838</v>
      </c>
      <c r="B20" s="27">
        <f>'Benefit-Cost'!G16</f>
        <v>-114982.44541299157</v>
      </c>
      <c r="C20" s="38">
        <f t="shared" si="8"/>
        <v>-0.81736805241376209</v>
      </c>
      <c r="D20" s="40"/>
      <c r="E20" s="30">
        <v>59608.725426569174</v>
      </c>
      <c r="F20" s="31">
        <f t="shared" si="0"/>
        <v>-1.9289532629687947</v>
      </c>
      <c r="G20" s="39">
        <f t="shared" si="9"/>
        <v>-0.28190865621620714</v>
      </c>
      <c r="H20" s="27">
        <f>'Benefit-Cost'!M16</f>
        <v>-211849.88054313278</v>
      </c>
      <c r="I20" s="38">
        <f t="shared" si="10"/>
        <v>-0.66987295402905467</v>
      </c>
      <c r="J20" s="40"/>
      <c r="K20" s="30">
        <v>62118.575592596535</v>
      </c>
      <c r="L20" s="31">
        <f t="shared" si="1"/>
        <v>-3.4104111132963846</v>
      </c>
      <c r="M20" s="39">
        <f t="shared" si="11"/>
        <v>-0.17152531166000876</v>
      </c>
      <c r="N20" s="27">
        <f>'Benefit-Cost'!S16</f>
        <v>-575026.63231804268</v>
      </c>
      <c r="O20" s="38">
        <f t="shared" si="12"/>
        <v>-0.53217546515531833</v>
      </c>
      <c r="P20" s="40"/>
      <c r="Q20" s="30">
        <v>63909.785711460892</v>
      </c>
      <c r="R20" s="31">
        <f t="shared" si="2"/>
        <v>-8.9974739535846009</v>
      </c>
      <c r="S20" s="39">
        <f t="shared" si="13"/>
        <v>-6.7990571008255021E-2</v>
      </c>
      <c r="T20" s="27">
        <f>'Benefit-Cost'!Y16</f>
        <v>-947596.52981061442</v>
      </c>
      <c r="U20" s="38">
        <f t="shared" si="14"/>
        <v>-0.51392042356816192</v>
      </c>
      <c r="V20" s="40"/>
      <c r="W20" s="30">
        <v>65610.356202081603</v>
      </c>
      <c r="X20" s="31">
        <f t="shared" si="3"/>
        <v>-14.44278898428767</v>
      </c>
      <c r="Y20" s="39">
        <f t="shared" si="15"/>
        <v>-4.6493595176523531E-2</v>
      </c>
      <c r="Z20" s="27">
        <f>'Benefit-Cost'!AE16</f>
        <v>-1387876.671351742</v>
      </c>
      <c r="AA20" s="38">
        <f t="shared" si="16"/>
        <v>-0.51259489834366068</v>
      </c>
      <c r="AB20" s="40"/>
      <c r="AC20" s="30">
        <v>67239.882632892288</v>
      </c>
      <c r="AD20" s="36">
        <f t="shared" si="17"/>
        <v>-20.640676589652806</v>
      </c>
      <c r="AE20" s="39">
        <f t="shared" si="18"/>
        <v>-3.5484847140172818E-2</v>
      </c>
      <c r="AF20" s="11">
        <v>-127059.43509251485</v>
      </c>
      <c r="AG20" s="38">
        <f t="shared" si="19"/>
        <v>-0.8470669558618017</v>
      </c>
      <c r="AI20" s="30">
        <v>61388.915078385326</v>
      </c>
      <c r="AJ20" s="36">
        <f t="shared" si="4"/>
        <v>-2.069745571008661</v>
      </c>
      <c r="AK20" s="38">
        <f t="shared" si="20"/>
        <v>-0.29833182198189084</v>
      </c>
      <c r="AL20" s="11">
        <v>-228812.55203407677</v>
      </c>
      <c r="AM20" s="38">
        <f t="shared" si="21"/>
        <v>-0.6671716368011108</v>
      </c>
      <c r="AO20" s="30">
        <v>62458.169059915825</v>
      </c>
      <c r="AP20" s="36">
        <f t="shared" si="5"/>
        <v>-3.6634527633139227</v>
      </c>
      <c r="AQ20" s="38">
        <f t="shared" si="22"/>
        <v>-0.16808864804807555</v>
      </c>
      <c r="AR20" s="11">
        <v>-360179.29025616078</v>
      </c>
      <c r="AS20" s="38">
        <f t="shared" si="23"/>
        <v>-0.59463471150184444</v>
      </c>
      <c r="AU20" s="30">
        <v>63449.732576973605</v>
      </c>
      <c r="AV20" s="36">
        <f t="shared" si="6"/>
        <v>-5.6766084840343769</v>
      </c>
      <c r="AW20" s="38">
        <f t="shared" si="24"/>
        <v>-0.11331207755591567</v>
      </c>
      <c r="AX20" s="11">
        <v>-510019.39471933758</v>
      </c>
      <c r="AY20" s="38">
        <f t="shared" si="25"/>
        <v>-0.56322487196985993</v>
      </c>
      <c r="BA20" s="30">
        <v>64414.549905288899</v>
      </c>
      <c r="BB20" s="36">
        <f t="shared" si="7"/>
        <v>-7.9177669559010813</v>
      </c>
      <c r="BC20" s="38">
        <f t="shared" si="26"/>
        <v>-8.6042432955576467E-2</v>
      </c>
    </row>
    <row r="21" spans="1:55" x14ac:dyDescent="0.35">
      <c r="A21" s="26">
        <v>45930</v>
      </c>
      <c r="B21" s="27">
        <f>'Benefit-Cost'!G17</f>
        <v>-104534.1561250654</v>
      </c>
      <c r="C21" s="38">
        <f t="shared" si="8"/>
        <v>9.0868560417185551E-2</v>
      </c>
      <c r="D21" s="40"/>
      <c r="E21" s="30">
        <v>56070.766777018202</v>
      </c>
      <c r="F21" s="31">
        <f t="shared" si="0"/>
        <v>-1.8643254254177768</v>
      </c>
      <c r="G21" s="39">
        <f t="shared" si="9"/>
        <v>3.350409716591634E-2</v>
      </c>
      <c r="H21" s="27">
        <f>'Benefit-Cost'!M17</f>
        <v>-195008.98089359002</v>
      </c>
      <c r="I21" s="38">
        <f t="shared" si="10"/>
        <v>7.9494496793515723E-2</v>
      </c>
      <c r="J21" s="40"/>
      <c r="K21" s="30">
        <v>58281.602477620399</v>
      </c>
      <c r="L21" s="31">
        <f t="shared" si="1"/>
        <v>-3.3459783637293032</v>
      </c>
      <c r="M21" s="39">
        <f t="shared" si="11"/>
        <v>1.8892956721807914E-2</v>
      </c>
      <c r="N21" s="27">
        <f>'Benefit-Cost'!S17</f>
        <v>-534605.78040412581</v>
      </c>
      <c r="O21" s="38">
        <f t="shared" si="12"/>
        <v>7.0293877956526418E-2</v>
      </c>
      <c r="P21" s="40"/>
      <c r="Q21" s="30">
        <v>59844.327120732516</v>
      </c>
      <c r="R21" s="31">
        <f t="shared" si="2"/>
        <v>-8.9332741485352347</v>
      </c>
      <c r="S21" s="39">
        <f t="shared" si="13"/>
        <v>7.1353143538458279E-3</v>
      </c>
      <c r="T21" s="27">
        <f>'Benefit-Cost'!Y17</f>
        <v>-880966.44380212948</v>
      </c>
      <c r="U21" s="38">
        <f t="shared" si="14"/>
        <v>7.0314826946233699E-2</v>
      </c>
      <c r="V21" s="40"/>
      <c r="W21" s="30">
        <v>61268.271132481663</v>
      </c>
      <c r="X21" s="31">
        <f t="shared" si="3"/>
        <v>-14.378836345768551</v>
      </c>
      <c r="Y21" s="39">
        <f t="shared" si="15"/>
        <v>4.4279978464473232E-3</v>
      </c>
      <c r="Z21" s="27">
        <f>'Benefit-Cost'!AE17</f>
        <v>-1287071.1805476248</v>
      </c>
      <c r="AA21" s="38">
        <f t="shared" si="16"/>
        <v>7.263288798271697E-2</v>
      </c>
      <c r="AB21" s="40"/>
      <c r="AC21" s="30">
        <v>62549.267161436386</v>
      </c>
      <c r="AD21" s="36">
        <f t="shared" si="17"/>
        <v>-20.57691862681239</v>
      </c>
      <c r="AE21" s="39">
        <f t="shared" si="18"/>
        <v>3.088947329971638E-3</v>
      </c>
      <c r="AF21" s="11">
        <v>-115654.81972605363</v>
      </c>
      <c r="AG21" s="38">
        <f t="shared" si="19"/>
        <v>8.9758114839384132E-2</v>
      </c>
      <c r="AI21" s="30">
        <v>57683.352184297088</v>
      </c>
      <c r="AJ21" s="36">
        <f t="shared" si="4"/>
        <v>-2.004994774862233</v>
      </c>
      <c r="AK21" s="38">
        <f t="shared" si="20"/>
        <v>3.1284423096928096E-2</v>
      </c>
      <c r="AL21" s="11">
        <v>-211118.95494532678</v>
      </c>
      <c r="AM21" s="38">
        <f t="shared" si="21"/>
        <v>7.7327912876540533E-2</v>
      </c>
      <c r="AO21" s="30">
        <v>58666.28988392443</v>
      </c>
      <c r="AP21" s="36">
        <f t="shared" si="5"/>
        <v>-3.5986416622397832</v>
      </c>
      <c r="AQ21" s="38">
        <f t="shared" si="22"/>
        <v>1.7691261567001067E-2</v>
      </c>
      <c r="AR21" s="11">
        <v>-334225.61932909861</v>
      </c>
      <c r="AS21" s="38">
        <f t="shared" si="23"/>
        <v>7.2057643593566478E-2</v>
      </c>
      <c r="AU21" s="30">
        <v>59557.897997315034</v>
      </c>
      <c r="AV21" s="36">
        <f t="shared" si="6"/>
        <v>-5.6117766168336907</v>
      </c>
      <c r="AW21" s="38">
        <f t="shared" si="24"/>
        <v>1.1420880510436418E-2</v>
      </c>
      <c r="AX21" s="11">
        <v>-474021.75892128935</v>
      </c>
      <c r="AY21" s="38">
        <f t="shared" si="25"/>
        <v>7.058091549216014E-2</v>
      </c>
      <c r="BA21" s="30">
        <v>60362.834681524328</v>
      </c>
      <c r="BB21" s="36">
        <f t="shared" si="7"/>
        <v>-7.8528743956813623</v>
      </c>
      <c r="BC21" s="38">
        <f t="shared" si="26"/>
        <v>8.1958158886395148E-3</v>
      </c>
    </row>
    <row r="22" spans="1:55" x14ac:dyDescent="0.35">
      <c r="A22" s="26">
        <v>46022</v>
      </c>
      <c r="B22" s="27">
        <f>'Benefit-Cost'!G18</f>
        <v>-51239.400118275313</v>
      </c>
      <c r="C22" s="38">
        <f t="shared" si="8"/>
        <v>0.50983102540214575</v>
      </c>
      <c r="D22" s="40"/>
      <c r="E22" s="30">
        <v>40828.798726823195</v>
      </c>
      <c r="F22" s="31">
        <f t="shared" si="0"/>
        <v>-1.2549818196001121</v>
      </c>
      <c r="G22" s="39">
        <f t="shared" si="9"/>
        <v>0.32684401419946135</v>
      </c>
      <c r="H22" s="27">
        <f>'Benefit-Cost'!M18</f>
        <v>-113506.98336144048</v>
      </c>
      <c r="I22" s="38">
        <f t="shared" si="10"/>
        <v>0.41793971312850714</v>
      </c>
      <c r="J22" s="40"/>
      <c r="K22" s="30">
        <v>42086.057445806131</v>
      </c>
      <c r="L22" s="31">
        <f t="shared" si="1"/>
        <v>-2.6970210623221833</v>
      </c>
      <c r="M22" s="39">
        <f t="shared" si="11"/>
        <v>0.19395143388907518</v>
      </c>
      <c r="N22" s="27">
        <f>'Benefit-Cost'!S18</f>
        <v>-346191.53805653146</v>
      </c>
      <c r="O22" s="38">
        <f t="shared" si="12"/>
        <v>0.3524358494686794</v>
      </c>
      <c r="P22" s="40"/>
      <c r="Q22" s="30">
        <v>42639.16696510608</v>
      </c>
      <c r="R22" s="31">
        <f t="shared" si="2"/>
        <v>-8.1190971282304503</v>
      </c>
      <c r="S22" s="39">
        <f t="shared" si="13"/>
        <v>9.113982250710205E-2</v>
      </c>
      <c r="T22" s="27">
        <f>'Benefit-Cost'!Y18</f>
        <v>-577136.56628748844</v>
      </c>
      <c r="U22" s="38">
        <f t="shared" si="14"/>
        <v>0.34488246363091113</v>
      </c>
      <c r="V22" s="40"/>
      <c r="W22" s="30">
        <v>43002.803310228148</v>
      </c>
      <c r="X22" s="31">
        <f t="shared" si="3"/>
        <v>-13.420905658729868</v>
      </c>
      <c r="Y22" s="39">
        <f t="shared" si="15"/>
        <v>6.662087696133949E-2</v>
      </c>
      <c r="Z22" s="27">
        <f>'Benefit-Cost'!AE18</f>
        <v>-838590.15403735894</v>
      </c>
      <c r="AA22" s="38">
        <f t="shared" si="16"/>
        <v>0.34845083417954054</v>
      </c>
      <c r="AB22" s="40"/>
      <c r="AC22" s="30">
        <v>43147.897595563802</v>
      </c>
      <c r="AD22" s="36">
        <f t="shared" si="17"/>
        <v>-19.435249473744406</v>
      </c>
      <c r="AE22" s="39">
        <f t="shared" si="18"/>
        <v>5.5482998877215348E-2</v>
      </c>
      <c r="AF22" s="11">
        <v>-58402.030590096954</v>
      </c>
      <c r="AG22" s="38">
        <f t="shared" si="19"/>
        <v>0.49503158858030111</v>
      </c>
      <c r="AI22" s="30">
        <v>41797.858878459061</v>
      </c>
      <c r="AJ22" s="36">
        <f t="shared" si="4"/>
        <v>-1.3972493366208052</v>
      </c>
      <c r="AK22" s="38">
        <f t="shared" si="20"/>
        <v>0.30311572172709883</v>
      </c>
      <c r="AL22" s="11">
        <v>-122049.86395803536</v>
      </c>
      <c r="AM22" s="38">
        <f t="shared" si="21"/>
        <v>0.42189054512114998</v>
      </c>
      <c r="AO22" s="30">
        <v>42197.586974947852</v>
      </c>
      <c r="AP22" s="36">
        <f t="shared" si="5"/>
        <v>-2.8923422571649593</v>
      </c>
      <c r="AQ22" s="38">
        <f t="shared" si="22"/>
        <v>0.19626833437904051</v>
      </c>
      <c r="AR22" s="11">
        <v>-204519.12125900481</v>
      </c>
      <c r="AS22" s="38">
        <f t="shared" si="23"/>
        <v>0.38808065740279774</v>
      </c>
      <c r="AU22" s="30">
        <v>42486.527269541228</v>
      </c>
      <c r="AV22" s="36">
        <f t="shared" si="6"/>
        <v>-4.8137405997318456</v>
      </c>
      <c r="AW22" s="38">
        <f t="shared" si="24"/>
        <v>0.14220737416880957</v>
      </c>
      <c r="AX22" s="11">
        <v>-297826.51967107831</v>
      </c>
      <c r="AY22" s="38">
        <f t="shared" si="25"/>
        <v>0.3717028510488018</v>
      </c>
      <c r="BA22" s="30">
        <v>42705.364142873033</v>
      </c>
      <c r="BB22" s="36">
        <f t="shared" si="7"/>
        <v>-6.9739838460265569</v>
      </c>
      <c r="BC22" s="38">
        <f t="shared" si="26"/>
        <v>0.11191959852791554</v>
      </c>
    </row>
    <row r="23" spans="1:55" x14ac:dyDescent="0.35">
      <c r="A23" s="26">
        <v>46112</v>
      </c>
      <c r="B23" s="27">
        <f>'Benefit-Cost'!G19</f>
        <v>-37968.632229324896</v>
      </c>
      <c r="C23" s="38">
        <f t="shared" si="8"/>
        <v>0.25899537969448622</v>
      </c>
      <c r="D23" s="40"/>
      <c r="E23" s="30">
        <v>41835.706478828382</v>
      </c>
      <c r="F23" s="31">
        <f t="shared" si="0"/>
        <v>-0.90756522179300403</v>
      </c>
      <c r="G23" s="39">
        <f t="shared" si="9"/>
        <v>0.27682998461109903</v>
      </c>
      <c r="H23" s="27">
        <f>'Benefit-Cost'!M19</f>
        <v>-98319.62929324666</v>
      </c>
      <c r="I23" s="38">
        <f t="shared" si="10"/>
        <v>0.13380105451162155</v>
      </c>
      <c r="J23" s="40"/>
      <c r="K23" s="30">
        <v>43469.412872287357</v>
      </c>
      <c r="L23" s="31">
        <f t="shared" si="1"/>
        <v>-2.2618117613437434</v>
      </c>
      <c r="M23" s="39">
        <f t="shared" si="11"/>
        <v>0.16136666749043366</v>
      </c>
      <c r="N23" s="27">
        <f>'Benefit-Cost'!S19</f>
        <v>-341124.09205385158</v>
      </c>
      <c r="O23" s="38">
        <f t="shared" si="12"/>
        <v>1.4637694587013235E-2</v>
      </c>
      <c r="P23" s="40"/>
      <c r="Q23" s="30">
        <v>44408.687422414405</v>
      </c>
      <c r="R23" s="31">
        <f t="shared" si="2"/>
        <v>-7.6814720689464906</v>
      </c>
      <c r="S23" s="39">
        <f t="shared" si="13"/>
        <v>5.3900705013408268E-2</v>
      </c>
      <c r="T23" s="27">
        <f>'Benefit-Cost'!Y19</f>
        <v>-586022.44839258352</v>
      </c>
      <c r="U23" s="38">
        <f t="shared" si="14"/>
        <v>-1.5396498201898307E-2</v>
      </c>
      <c r="V23" s="40"/>
      <c r="W23" s="30">
        <v>45191.810201929453</v>
      </c>
      <c r="X23" s="31">
        <f t="shared" si="3"/>
        <v>-12.967447990555675</v>
      </c>
      <c r="Y23" s="39">
        <f t="shared" si="15"/>
        <v>3.3787411945574171E-2</v>
      </c>
      <c r="Z23" s="27">
        <f>'Benefit-Cost'!AE19</f>
        <v>-871377.28266901569</v>
      </c>
      <c r="AA23" s="38">
        <f t="shared" si="16"/>
        <v>-3.9097917467554838E-2</v>
      </c>
      <c r="AB23" s="40"/>
      <c r="AC23" s="30">
        <v>45854.14900599049</v>
      </c>
      <c r="AD23" s="36">
        <f t="shared" si="17"/>
        <v>-19.003237472691445</v>
      </c>
      <c r="AE23" s="39">
        <f t="shared" si="18"/>
        <v>2.2228271452680713E-2</v>
      </c>
      <c r="AF23" s="11">
        <v>-41807.022589104716</v>
      </c>
      <c r="AG23" s="38">
        <f t="shared" si="19"/>
        <v>0.28415121586211078</v>
      </c>
      <c r="AI23" s="30">
        <v>43048.964214067833</v>
      </c>
      <c r="AJ23" s="36">
        <f t="shared" si="4"/>
        <v>-0.97115048764501355</v>
      </c>
      <c r="AK23" s="38">
        <f t="shared" si="20"/>
        <v>0.30495548490027957</v>
      </c>
      <c r="AL23" s="11">
        <v>-107875.21796840522</v>
      </c>
      <c r="AM23" s="38">
        <f t="shared" si="21"/>
        <v>0.11613815476684049</v>
      </c>
      <c r="AO23" s="30">
        <v>43639.962870280331</v>
      </c>
      <c r="AP23" s="36">
        <f t="shared" si="5"/>
        <v>-2.4719365204105239</v>
      </c>
      <c r="AQ23" s="38">
        <f t="shared" si="22"/>
        <v>0.14535131024449099</v>
      </c>
      <c r="AR23" s="11">
        <v>-193833.04513120372</v>
      </c>
      <c r="AS23" s="38">
        <f t="shared" si="23"/>
        <v>5.2249765508566554E-2</v>
      </c>
      <c r="AU23" s="30">
        <v>44160.670945096557</v>
      </c>
      <c r="AV23" s="36">
        <f t="shared" si="6"/>
        <v>-4.389268572757639</v>
      </c>
      <c r="AW23" s="38">
        <f t="shared" si="24"/>
        <v>8.817924817092393E-2</v>
      </c>
      <c r="AX23" s="11">
        <v>-291439.76183990482</v>
      </c>
      <c r="AY23" s="38">
        <f t="shared" si="25"/>
        <v>2.1444557181231085E-2</v>
      </c>
      <c r="BA23" s="30">
        <v>44605.883914341517</v>
      </c>
      <c r="BB23" s="36">
        <f t="shared" si="7"/>
        <v>-6.5336618460373606</v>
      </c>
      <c r="BC23" s="38">
        <f t="shared" si="26"/>
        <v>6.3137800389381563E-2</v>
      </c>
    </row>
    <row r="24" spans="1:55" x14ac:dyDescent="0.35">
      <c r="A24" s="26">
        <v>46203</v>
      </c>
      <c r="B24" s="27">
        <f>'Benefit-Cost'!G20</f>
        <v>-91618.289930519182</v>
      </c>
      <c r="C24" s="38">
        <f t="shared" si="8"/>
        <v>-1.4129994827614101</v>
      </c>
      <c r="D24" s="40"/>
      <c r="E24" s="30">
        <v>59310.681799435813</v>
      </c>
      <c r="F24" s="31">
        <f t="shared" si="0"/>
        <v>-1.5447182050669108</v>
      </c>
      <c r="G24" s="39">
        <f t="shared" si="9"/>
        <v>-0.70204649536386443</v>
      </c>
      <c r="H24" s="27">
        <f>'Benefit-Cost'!M20</f>
        <v>-186632.36744492548</v>
      </c>
      <c r="I24" s="38">
        <f t="shared" si="10"/>
        <v>-0.89822082107611045</v>
      </c>
      <c r="J24" s="40"/>
      <c r="K24" s="30">
        <v>61999.721254348799</v>
      </c>
      <c r="L24" s="31">
        <f t="shared" si="1"/>
        <v>-3.0102130085275935</v>
      </c>
      <c r="M24" s="39">
        <f t="shared" si="11"/>
        <v>-0.33088573504420393</v>
      </c>
      <c r="N24" s="27">
        <f>'Benefit-Cost'!S20</f>
        <v>-544438.01784799388</v>
      </c>
      <c r="O24" s="38">
        <f t="shared" si="12"/>
        <v>-0.59601162899407922</v>
      </c>
      <c r="P24" s="40"/>
      <c r="Q24" s="30">
        <v>63756.048339047207</v>
      </c>
      <c r="R24" s="31">
        <f t="shared" si="2"/>
        <v>-8.5393940187876165</v>
      </c>
      <c r="S24" s="39">
        <f t="shared" si="13"/>
        <v>-0.11168717950682978</v>
      </c>
      <c r="T24" s="27">
        <f>'Benefit-Cost'!Y20</f>
        <v>-911174.62053830223</v>
      </c>
      <c r="U24" s="38">
        <f t="shared" si="14"/>
        <v>-0.55484593301431917</v>
      </c>
      <c r="V24" s="40"/>
      <c r="W24" s="30">
        <v>65418.851335733634</v>
      </c>
      <c r="X24" s="31">
        <f t="shared" si="3"/>
        <v>-13.928318855097244</v>
      </c>
      <c r="Y24" s="39">
        <f t="shared" si="15"/>
        <v>-7.4098686591330926E-2</v>
      </c>
      <c r="Z24" s="27">
        <f>'Benefit-Cost'!AE20</f>
        <v>-1344438.726751083</v>
      </c>
      <c r="AA24" s="38">
        <f t="shared" si="16"/>
        <v>-0.54288934711849168</v>
      </c>
      <c r="AB24" s="40"/>
      <c r="AC24" s="30">
        <v>67013.566338610923</v>
      </c>
      <c r="AD24" s="36">
        <f t="shared" si="17"/>
        <v>-20.062187407812431</v>
      </c>
      <c r="AE24" s="39">
        <f t="shared" si="18"/>
        <v>-5.572471199408767E-2</v>
      </c>
      <c r="AF24" s="11">
        <v>-103173.91199757531</v>
      </c>
      <c r="AG24" s="38">
        <f t="shared" si="19"/>
        <v>-1.4678607948623292</v>
      </c>
      <c r="AI24" s="30">
        <v>61280.168243220942</v>
      </c>
      <c r="AJ24" s="36">
        <f t="shared" si="4"/>
        <v>-1.6836427665811577</v>
      </c>
      <c r="AK24" s="38">
        <f t="shared" si="20"/>
        <v>-0.73365795311898441</v>
      </c>
      <c r="AL24" s="11">
        <v>-203212.65762320301</v>
      </c>
      <c r="AM24" s="38">
        <f t="shared" si="21"/>
        <v>-0.88377517515394921</v>
      </c>
      <c r="AO24" s="30">
        <v>62323.837686507504</v>
      </c>
      <c r="AP24" s="36">
        <f t="shared" si="5"/>
        <v>-3.2605928191613356</v>
      </c>
      <c r="AQ24" s="38">
        <f t="shared" si="22"/>
        <v>-0.31904391243017699</v>
      </c>
      <c r="AR24" s="11">
        <v>-332437.09427026613</v>
      </c>
      <c r="AS24" s="38">
        <f t="shared" si="23"/>
        <v>-0.71506924448946596</v>
      </c>
      <c r="AU24" s="30">
        <v>63288.486030918633</v>
      </c>
      <c r="AV24" s="36">
        <f t="shared" si="6"/>
        <v>-5.2527262874934157</v>
      </c>
      <c r="AW24" s="38">
        <f t="shared" si="24"/>
        <v>-0.19672018251398399</v>
      </c>
      <c r="AX24" s="11">
        <v>-479820.36793453014</v>
      </c>
      <c r="AY24" s="38">
        <f t="shared" si="25"/>
        <v>-0.64637922054749519</v>
      </c>
      <c r="BA24" s="30">
        <v>64228.160519292847</v>
      </c>
      <c r="BB24" s="36">
        <f t="shared" si="7"/>
        <v>-7.4705606396808104</v>
      </c>
      <c r="BC24" s="38">
        <f t="shared" si="26"/>
        <v>-0.14339566627735337</v>
      </c>
    </row>
    <row r="25" spans="1:55" x14ac:dyDescent="0.35">
      <c r="A25" s="26">
        <v>46295</v>
      </c>
      <c r="B25" s="27">
        <f>'Benefit-Cost'!G21</f>
        <v>-80840.721186291426</v>
      </c>
      <c r="C25" s="38">
        <f t="shared" si="8"/>
        <v>0.11763555893044031</v>
      </c>
      <c r="D25" s="40"/>
      <c r="E25" s="30">
        <v>55790.412943132666</v>
      </c>
      <c r="F25" s="31">
        <f t="shared" si="0"/>
        <v>-1.4490073996887711</v>
      </c>
      <c r="G25" s="39">
        <f t="shared" si="9"/>
        <v>6.1960042332765732E-2</v>
      </c>
      <c r="H25" s="27">
        <f>'Benefit-Cost'!M21</f>
        <v>-169458.23483877862</v>
      </c>
      <c r="I25" s="38">
        <f t="shared" si="10"/>
        <v>9.2021190328708022E-2</v>
      </c>
      <c r="J25" s="40"/>
      <c r="K25" s="30">
        <v>58139.35276869571</v>
      </c>
      <c r="L25" s="31">
        <f t="shared" si="1"/>
        <v>-2.9146907691414987</v>
      </c>
      <c r="M25" s="39">
        <f t="shared" si="11"/>
        <v>3.1732717623467549E-2</v>
      </c>
      <c r="N25" s="27">
        <f>'Benefit-Cost'!S21</f>
        <v>-503804.34761609556</v>
      </c>
      <c r="O25" s="38">
        <f t="shared" si="12"/>
        <v>7.4634152832514289E-2</v>
      </c>
      <c r="P25" s="40"/>
      <c r="Q25" s="30">
        <v>59663.387248731204</v>
      </c>
      <c r="R25" s="31">
        <f t="shared" si="2"/>
        <v>-8.4441123920065309</v>
      </c>
      <c r="S25" s="39">
        <f t="shared" si="13"/>
        <v>1.1157890896175474E-2</v>
      </c>
      <c r="T25" s="27">
        <f>'Benefit-Cost'!Y21</f>
        <v>-844590.46597597003</v>
      </c>
      <c r="U25" s="38">
        <f t="shared" si="14"/>
        <v>7.3075075909155296E-2</v>
      </c>
      <c r="V25" s="40"/>
      <c r="W25" s="30">
        <v>61054.954377693939</v>
      </c>
      <c r="X25" s="31">
        <f t="shared" si="3"/>
        <v>-13.833283057607789</v>
      </c>
      <c r="Y25" s="39">
        <f t="shared" si="15"/>
        <v>6.8232066251610523E-3</v>
      </c>
      <c r="Z25" s="27">
        <f>'Benefit-Cost'!AE21</f>
        <v>-1244160.155851501</v>
      </c>
      <c r="AA25" s="38">
        <f t="shared" si="16"/>
        <v>7.4587683993536241E-2</v>
      </c>
      <c r="AB25" s="40"/>
      <c r="AC25" s="30">
        <v>62309.715302491444</v>
      </c>
      <c r="AD25" s="36">
        <f t="shared" si="17"/>
        <v>-19.967354204902836</v>
      </c>
      <c r="AE25" s="39">
        <f t="shared" si="18"/>
        <v>4.7269622689630215E-3</v>
      </c>
      <c r="AF25" s="11">
        <v>-91381.28496078914</v>
      </c>
      <c r="AG25" s="38">
        <f t="shared" si="19"/>
        <v>0.1142985354385255</v>
      </c>
      <c r="AI25" s="30">
        <v>57553.835818502484</v>
      </c>
      <c r="AJ25" s="36">
        <f t="shared" si="4"/>
        <v>-1.5877531646884908</v>
      </c>
      <c r="AK25" s="38">
        <f t="shared" si="20"/>
        <v>5.69536506175728E-2</v>
      </c>
      <c r="AL25" s="11">
        <v>-185175.16322652204</v>
      </c>
      <c r="AM25" s="38">
        <f t="shared" si="21"/>
        <v>8.8761667740825945E-2</v>
      </c>
      <c r="AO25" s="30">
        <v>58514.137452509683</v>
      </c>
      <c r="AP25" s="36">
        <f t="shared" si="5"/>
        <v>-3.1646226243497302</v>
      </c>
      <c r="AQ25" s="38">
        <f t="shared" si="22"/>
        <v>2.9433357715696041E-2</v>
      </c>
      <c r="AR25" s="11">
        <v>-306222.77381834341</v>
      </c>
      <c r="AS25" s="38">
        <f t="shared" si="23"/>
        <v>7.8854980096206964E-2</v>
      </c>
      <c r="AU25" s="30">
        <v>59383.22314421396</v>
      </c>
      <c r="AV25" s="36">
        <f t="shared" si="6"/>
        <v>-5.1567220100982416</v>
      </c>
      <c r="AW25" s="38">
        <f t="shared" si="24"/>
        <v>1.8277037892447862E-2</v>
      </c>
      <c r="AX25" s="11">
        <v>-443690.50165262027</v>
      </c>
      <c r="AY25" s="38">
        <f t="shared" si="25"/>
        <v>7.5298734060492548E-2</v>
      </c>
      <c r="BA25" s="30">
        <v>60165.708934168317</v>
      </c>
      <c r="BB25" s="36">
        <f t="shared" si="7"/>
        <v>-7.3744747550152585</v>
      </c>
      <c r="BC25" s="38">
        <f t="shared" si="26"/>
        <v>1.2861937584065617E-2</v>
      </c>
    </row>
    <row r="26" spans="1:55" x14ac:dyDescent="0.35">
      <c r="A26" s="26">
        <v>46387</v>
      </c>
      <c r="B26" s="27">
        <f>'Benefit-Cost'!G22</f>
        <v>-53079.442022406263</v>
      </c>
      <c r="C26" s="38">
        <f t="shared" si="8"/>
        <v>0.3434071190422876</v>
      </c>
      <c r="D26" s="40"/>
      <c r="E26" s="30">
        <v>40624.654733188901</v>
      </c>
      <c r="F26" s="31">
        <f t="shared" si="0"/>
        <v>-1.3065819850289642</v>
      </c>
      <c r="G26" s="39">
        <f t="shared" si="9"/>
        <v>9.829170968374501E-2</v>
      </c>
      <c r="H26" s="27">
        <f>'Benefit-Cost'!M22</f>
        <v>-114995.66679042694</v>
      </c>
      <c r="I26" s="38">
        <f t="shared" si="10"/>
        <v>0.3213922775730963</v>
      </c>
      <c r="J26" s="40"/>
      <c r="K26" s="30">
        <v>41948.28331414274</v>
      </c>
      <c r="L26" s="31">
        <f t="shared" si="1"/>
        <v>-2.7413676485696969</v>
      </c>
      <c r="M26" s="39">
        <f t="shared" si="11"/>
        <v>5.9465354749400345E-2</v>
      </c>
      <c r="N26" s="27">
        <f>'Benefit-Cost'!S22</f>
        <v>-346430.39085681736</v>
      </c>
      <c r="O26" s="38">
        <f t="shared" si="12"/>
        <v>0.31237117643772078</v>
      </c>
      <c r="P26" s="40"/>
      <c r="Q26" s="30">
        <v>42479.252742717072</v>
      </c>
      <c r="R26" s="31">
        <f t="shared" si="2"/>
        <v>-8.1552844857001805</v>
      </c>
      <c r="S26" s="39">
        <f t="shared" si="13"/>
        <v>3.4204649689381701E-2</v>
      </c>
      <c r="T26" s="27">
        <f>'Benefit-Cost'!Y22</f>
        <v>-575700.45389919542</v>
      </c>
      <c r="U26" s="38">
        <f t="shared" si="14"/>
        <v>0.31836733056897304</v>
      </c>
      <c r="V26" s="40"/>
      <c r="W26" s="30">
        <v>42826.755309396664</v>
      </c>
      <c r="X26" s="31">
        <f t="shared" si="3"/>
        <v>-13.442541928290336</v>
      </c>
      <c r="Y26" s="39">
        <f t="shared" si="15"/>
        <v>2.8246449356254585E-2</v>
      </c>
      <c r="Z26" s="27">
        <f>'Benefit-Cost'!AE22</f>
        <v>-836447.13489965117</v>
      </c>
      <c r="AA26" s="38">
        <f t="shared" si="16"/>
        <v>0.32770139682926253</v>
      </c>
      <c r="AB26" s="40"/>
      <c r="AC26" s="30">
        <v>42953.840066736666</v>
      </c>
      <c r="AD26" s="36">
        <f t="shared" si="17"/>
        <v>-19.473163135125453</v>
      </c>
      <c r="AE26" s="39">
        <f t="shared" si="18"/>
        <v>2.4749952582903439E-2</v>
      </c>
      <c r="AF26" s="11">
        <v>-60430.948042596923</v>
      </c>
      <c r="AG26" s="38">
        <f t="shared" si="19"/>
        <v>0.3386944813861254</v>
      </c>
      <c r="AI26" s="30">
        <v>41668.28174504514</v>
      </c>
      <c r="AJ26" s="36">
        <f t="shared" si="4"/>
        <v>-1.4502865371880349</v>
      </c>
      <c r="AK26" s="38">
        <f t="shared" si="20"/>
        <v>8.6579344042703371E-2</v>
      </c>
      <c r="AL26" s="11">
        <v>-123484.8635155526</v>
      </c>
      <c r="AM26" s="38">
        <f t="shared" si="21"/>
        <v>0.33314564780755512</v>
      </c>
      <c r="AO26" s="30">
        <v>42051.705924423324</v>
      </c>
      <c r="AP26" s="36">
        <f t="shared" si="5"/>
        <v>-2.9365006912557496</v>
      </c>
      <c r="AQ26" s="38">
        <f t="shared" si="22"/>
        <v>7.2085035144073537E-2</v>
      </c>
      <c r="AR26" s="11">
        <v>-205290.82362892968</v>
      </c>
      <c r="AS26" s="38">
        <f t="shared" si="23"/>
        <v>0.3296030172115425</v>
      </c>
      <c r="AU26" s="30">
        <v>42327.872078488064</v>
      </c>
      <c r="AV26" s="36">
        <f t="shared" si="6"/>
        <v>-4.8500152157014025</v>
      </c>
      <c r="AW26" s="38">
        <f t="shared" si="24"/>
        <v>5.9477085209601203E-2</v>
      </c>
      <c r="AX26" s="11">
        <v>-297469.24660240021</v>
      </c>
      <c r="AY26" s="38">
        <f t="shared" si="25"/>
        <v>0.32955687468085904</v>
      </c>
      <c r="BA26" s="30">
        <v>42540.000854028884</v>
      </c>
      <c r="BB26" s="36">
        <f t="shared" si="7"/>
        <v>-6.9926948902312365</v>
      </c>
      <c r="BC26" s="38">
        <f t="shared" si="26"/>
        <v>5.1770448400325714E-2</v>
      </c>
    </row>
    <row r="27" spans="1:55" x14ac:dyDescent="0.35">
      <c r="A27" s="26">
        <v>46477</v>
      </c>
      <c r="B27" s="27">
        <f>'Benefit-Cost'!G23</f>
        <v>-37881.668762553483</v>
      </c>
      <c r="C27" s="38">
        <f t="shared" si="8"/>
        <v>0.28632127017155512</v>
      </c>
      <c r="D27" s="40"/>
      <c r="E27" s="30">
        <v>41626.527946434268</v>
      </c>
      <c r="F27" s="31">
        <f t="shared" si="0"/>
        <v>-0.91003671532010233</v>
      </c>
      <c r="G27" s="39">
        <f t="shared" si="9"/>
        <v>0.30349819165773301</v>
      </c>
      <c r="H27" s="27">
        <f>'Benefit-Cost'!M23</f>
        <v>-98225.112514337525</v>
      </c>
      <c r="I27" s="38">
        <f t="shared" si="10"/>
        <v>0.14583640187636632</v>
      </c>
      <c r="J27" s="40"/>
      <c r="K27" s="30">
        <v>43357.956675439549</v>
      </c>
      <c r="L27" s="31">
        <f t="shared" si="1"/>
        <v>-2.265446069094347</v>
      </c>
      <c r="M27" s="39">
        <f t="shared" si="11"/>
        <v>0.17360735241902381</v>
      </c>
      <c r="N27" s="27">
        <f>'Benefit-Cost'!S23</f>
        <v>-340231.9485344789</v>
      </c>
      <c r="O27" s="38">
        <f t="shared" si="12"/>
        <v>1.7892316857675269E-2</v>
      </c>
      <c r="P27" s="40"/>
      <c r="Q27" s="30">
        <v>44269.329166722935</v>
      </c>
      <c r="R27" s="31">
        <f t="shared" si="2"/>
        <v>-7.685500434242627</v>
      </c>
      <c r="S27" s="39">
        <f t="shared" si="13"/>
        <v>5.760486372747544E-2</v>
      </c>
      <c r="T27" s="27">
        <f>'Benefit-Cost'!Y23</f>
        <v>-584076.65501057589</v>
      </c>
      <c r="U27" s="38">
        <f t="shared" si="14"/>
        <v>-1.4549582260442583E-2</v>
      </c>
      <c r="V27" s="40"/>
      <c r="W27" s="30">
        <v>45027.725547473092</v>
      </c>
      <c r="X27" s="31">
        <f t="shared" si="3"/>
        <v>-12.971489186030043</v>
      </c>
      <c r="Y27" s="39">
        <f t="shared" si="15"/>
        <v>3.5041939595437999E-2</v>
      </c>
      <c r="Z27" s="27">
        <f>'Benefit-Cost'!AE23</f>
        <v>-868121.94957308145</v>
      </c>
      <c r="AA27" s="38">
        <f t="shared" si="16"/>
        <v>-3.7868280434997632E-2</v>
      </c>
      <c r="AB27" s="40"/>
      <c r="AC27" s="30">
        <v>45673.144230496335</v>
      </c>
      <c r="AD27" s="36">
        <f t="shared" si="17"/>
        <v>-19.007273622152539</v>
      </c>
      <c r="AE27" s="39">
        <f t="shared" si="18"/>
        <v>2.3924696246833611E-2</v>
      </c>
      <c r="AF27" s="11">
        <v>-41893.633072407451</v>
      </c>
      <c r="AG27" s="38">
        <f t="shared" si="19"/>
        <v>0.30675201317581152</v>
      </c>
      <c r="AI27" s="30">
        <v>42947.176070890942</v>
      </c>
      <c r="AJ27" s="36">
        <f t="shared" si="4"/>
        <v>-0.97546886443140157</v>
      </c>
      <c r="AK27" s="38">
        <f t="shared" si="20"/>
        <v>0.3273957666857053</v>
      </c>
      <c r="AL27" s="11">
        <v>-107816.78205783572</v>
      </c>
      <c r="AM27" s="38">
        <f t="shared" si="21"/>
        <v>0.12688260740348573</v>
      </c>
      <c r="AO27" s="30">
        <v>43519.815702152802</v>
      </c>
      <c r="AP27" s="36">
        <f t="shared" si="5"/>
        <v>-2.4774181672948199</v>
      </c>
      <c r="AQ27" s="38">
        <f t="shared" si="22"/>
        <v>0.15633659659198312</v>
      </c>
      <c r="AR27" s="11">
        <v>-193505.16788847744</v>
      </c>
      <c r="AS27" s="38">
        <f t="shared" si="23"/>
        <v>5.7409559434352581E-2</v>
      </c>
      <c r="AU27" s="30">
        <v>44021.688267910868</v>
      </c>
      <c r="AV27" s="36">
        <f t="shared" si="6"/>
        <v>-4.3956780283124886</v>
      </c>
      <c r="AW27" s="38">
        <f t="shared" si="24"/>
        <v>9.367747670523717E-2</v>
      </c>
      <c r="AX27" s="11">
        <v>-290770.55317702843</v>
      </c>
      <c r="AY27" s="38">
        <f t="shared" si="25"/>
        <v>2.2518944401420108E-2</v>
      </c>
      <c r="BA27" s="30">
        <v>44454.758619244647</v>
      </c>
      <c r="BB27" s="36">
        <f t="shared" si="7"/>
        <v>-6.5408195254748875</v>
      </c>
      <c r="BC27" s="38">
        <f t="shared" si="26"/>
        <v>6.4621061243157737E-2</v>
      </c>
    </row>
    <row r="28" spans="1:55" x14ac:dyDescent="0.35">
      <c r="A28" s="26">
        <v>46568</v>
      </c>
      <c r="B28" s="27">
        <f>'Benefit-Cost'!G24</f>
        <v>-91071.75612100726</v>
      </c>
      <c r="C28" s="38">
        <f t="shared" si="8"/>
        <v>-1.4041115160964837</v>
      </c>
      <c r="D28" s="40"/>
      <c r="E28" s="30">
        <v>59014.12839043884</v>
      </c>
      <c r="F28" s="31">
        <f t="shared" si="0"/>
        <v>-1.5432195408949263</v>
      </c>
      <c r="G28" s="39">
        <f t="shared" si="9"/>
        <v>-0.69577723064953934</v>
      </c>
      <c r="H28" s="27">
        <f>'Benefit-Cost'!M24</f>
        <v>-186186.89227046631</v>
      </c>
      <c r="I28" s="38">
        <f t="shared" si="10"/>
        <v>-0.89551213029447396</v>
      </c>
      <c r="J28" s="40"/>
      <c r="K28" s="30">
        <v>61881.367959515024</v>
      </c>
      <c r="L28" s="31">
        <f t="shared" si="1"/>
        <v>-3.0087714349216772</v>
      </c>
      <c r="M28" s="39">
        <f t="shared" si="11"/>
        <v>-0.32811435062079758</v>
      </c>
      <c r="N28" s="27">
        <f>'Benefit-Cost'!S24</f>
        <v>-543080.18261250434</v>
      </c>
      <c r="O28" s="38">
        <f t="shared" si="12"/>
        <v>-0.59620572069077438</v>
      </c>
      <c r="P28" s="40"/>
      <c r="Q28" s="30">
        <v>63607.503522744002</v>
      </c>
      <c r="R28" s="31">
        <f t="shared" si="2"/>
        <v>-8.5379892706890512</v>
      </c>
      <c r="S28" s="39">
        <f t="shared" si="13"/>
        <v>-0.11092170818808018</v>
      </c>
      <c r="T28" s="27">
        <f>'Benefit-Cost'!Y24</f>
        <v>-908603.42692657793</v>
      </c>
      <c r="U28" s="38">
        <f t="shared" si="14"/>
        <v>-0.55562359688922303</v>
      </c>
      <c r="V28" s="40"/>
      <c r="W28" s="30">
        <v>65240.667022501133</v>
      </c>
      <c r="X28" s="31">
        <f t="shared" si="3"/>
        <v>-13.926948763617114</v>
      </c>
      <c r="Y28" s="39">
        <f t="shared" si="15"/>
        <v>-7.3658433806973844E-2</v>
      </c>
      <c r="Z28" s="27">
        <f>'Benefit-Cost'!AE24</f>
        <v>-1340264.9919502391</v>
      </c>
      <c r="AA28" s="38">
        <f t="shared" si="16"/>
        <v>-0.54386718664278055</v>
      </c>
      <c r="AB28" s="40"/>
      <c r="AC28" s="30">
        <v>66809.934059420179</v>
      </c>
      <c r="AD28" s="36">
        <f t="shared" si="17"/>
        <v>-20.060863864320222</v>
      </c>
      <c r="AE28" s="39">
        <f t="shared" si="18"/>
        <v>-5.5430897829541838E-2</v>
      </c>
      <c r="AF28" s="11">
        <v>-102910.17141579697</v>
      </c>
      <c r="AG28" s="38">
        <f t="shared" si="19"/>
        <v>-1.4564632825692325</v>
      </c>
      <c r="AI28" s="30">
        <v>61175.720998454781</v>
      </c>
      <c r="AJ28" s="36">
        <f t="shared" si="4"/>
        <v>-1.6822061062164899</v>
      </c>
      <c r="AK28" s="38">
        <f t="shared" si="20"/>
        <v>-0.72451030222993718</v>
      </c>
      <c r="AL28" s="11">
        <v>-202720.69447829993</v>
      </c>
      <c r="AM28" s="38">
        <f t="shared" si="21"/>
        <v>-0.88023321239132601</v>
      </c>
      <c r="AO28" s="30">
        <v>62199.303091929556</v>
      </c>
      <c r="AP28" s="36">
        <f t="shared" si="5"/>
        <v>-3.2592116696015396</v>
      </c>
      <c r="AQ28" s="38">
        <f t="shared" si="22"/>
        <v>-0.31556784099972413</v>
      </c>
      <c r="AR28" s="11">
        <v>-331596.52554910583</v>
      </c>
      <c r="AS28" s="38">
        <f t="shared" si="23"/>
        <v>-0.71363136792405657</v>
      </c>
      <c r="AU28" s="30">
        <v>63144.285854778223</v>
      </c>
      <c r="AV28" s="36">
        <f t="shared" si="6"/>
        <v>-5.2514098633045734</v>
      </c>
      <c r="AW28" s="38">
        <f t="shared" si="24"/>
        <v>-0.19467573136165353</v>
      </c>
      <c r="AX28" s="11">
        <v>-478519.16355191451</v>
      </c>
      <c r="AY28" s="38">
        <f t="shared" si="25"/>
        <v>-0.6456933424774276</v>
      </c>
      <c r="BA28" s="30">
        <v>64064.702908850064</v>
      </c>
      <c r="BB28" s="36">
        <f t="shared" si="7"/>
        <v>-7.4693105848432904</v>
      </c>
      <c r="BC28" s="38">
        <f t="shared" si="26"/>
        <v>-0.14195332186619092</v>
      </c>
    </row>
    <row r="29" spans="1:55" x14ac:dyDescent="0.35">
      <c r="A29" s="26">
        <v>46660</v>
      </c>
      <c r="B29" s="27">
        <f>'Benefit-Cost'!G25</f>
        <v>-80334.912887891289</v>
      </c>
      <c r="C29" s="38">
        <f t="shared" si="8"/>
        <v>0.1178943252049505</v>
      </c>
      <c r="D29" s="40"/>
      <c r="E29" s="30">
        <v>55511.460878417136</v>
      </c>
      <c r="F29" s="31">
        <f t="shared" si="0"/>
        <v>-1.4471770624780209</v>
      </c>
      <c r="G29" s="39">
        <f t="shared" si="9"/>
        <v>6.2235136266619279E-2</v>
      </c>
      <c r="H29" s="27">
        <f>'Benefit-Cost'!M25</f>
        <v>-168953.85471422458</v>
      </c>
      <c r="I29" s="38">
        <f t="shared" si="10"/>
        <v>9.2557737798254783E-2</v>
      </c>
      <c r="J29" s="40"/>
      <c r="K29" s="30">
        <v>58002.862651188596</v>
      </c>
      <c r="L29" s="31">
        <f t="shared" si="1"/>
        <v>-2.9128537281040967</v>
      </c>
      <c r="M29" s="39">
        <f t="shared" si="11"/>
        <v>3.1879359696220119E-2</v>
      </c>
      <c r="N29" s="27">
        <f>'Benefit-Cost'!S25</f>
        <v>-502278.26453091856</v>
      </c>
      <c r="O29" s="38">
        <f t="shared" si="12"/>
        <v>7.5130559699871327E-2</v>
      </c>
      <c r="P29" s="40"/>
      <c r="Q29" s="30">
        <v>59495.662991568257</v>
      </c>
      <c r="R29" s="31">
        <f t="shared" si="2"/>
        <v>-8.4422668691346718</v>
      </c>
      <c r="S29" s="39">
        <f t="shared" si="13"/>
        <v>1.1211351820620663E-2</v>
      </c>
      <c r="T29" s="27">
        <f>'Benefit-Cost'!Y25</f>
        <v>-841816.01439554896</v>
      </c>
      <c r="U29" s="38">
        <f t="shared" si="14"/>
        <v>7.3505569703762402E-2</v>
      </c>
      <c r="V29" s="40"/>
      <c r="W29" s="30">
        <v>60862.493919091183</v>
      </c>
      <c r="X29" s="31">
        <f t="shared" si="3"/>
        <v>-13.831441339137935</v>
      </c>
      <c r="Y29" s="39">
        <f t="shared" si="15"/>
        <v>6.857742216204811E-3</v>
      </c>
      <c r="Z29" s="27">
        <f>'Benefit-Cost'!AE25</f>
        <v>-1239660.8707339293</v>
      </c>
      <c r="AA29" s="38">
        <f t="shared" si="16"/>
        <v>7.5062858330664298E-2</v>
      </c>
      <c r="AB29" s="40"/>
      <c r="AC29" s="30">
        <v>62090.128043089149</v>
      </c>
      <c r="AD29" s="36">
        <f t="shared" si="17"/>
        <v>-19.965506752919445</v>
      </c>
      <c r="AE29" s="39">
        <f t="shared" si="18"/>
        <v>4.7533900855773427E-3</v>
      </c>
      <c r="AF29" s="11">
        <v>-91073.956428447273</v>
      </c>
      <c r="AG29" s="38">
        <f t="shared" si="19"/>
        <v>0.1150150157609475</v>
      </c>
      <c r="AI29" s="30">
        <v>57425.377092286013</v>
      </c>
      <c r="AJ29" s="36">
        <f t="shared" si="4"/>
        <v>-1.5859531280410397</v>
      </c>
      <c r="AK29" s="38">
        <f t="shared" si="20"/>
        <v>5.7218302691776711E-2</v>
      </c>
      <c r="AL29" s="11">
        <v>-184602.23932659347</v>
      </c>
      <c r="AM29" s="38">
        <f t="shared" si="21"/>
        <v>8.9376445746371214E-2</v>
      </c>
      <c r="AO29" s="30">
        <v>58366.100655017814</v>
      </c>
      <c r="AP29" s="36">
        <f t="shared" si="5"/>
        <v>-3.1628331729356836</v>
      </c>
      <c r="AQ29" s="38">
        <f t="shared" si="22"/>
        <v>2.9571106892127379E-2</v>
      </c>
      <c r="AR29" s="11">
        <v>-305243.51711846236</v>
      </c>
      <c r="AS29" s="38">
        <f t="shared" si="23"/>
        <v>7.9473113860298511E-2</v>
      </c>
      <c r="AU29" s="30">
        <v>59214.075058769537</v>
      </c>
      <c r="AV29" s="36">
        <f t="shared" si="6"/>
        <v>-5.1549148883185358</v>
      </c>
      <c r="AW29" s="38">
        <f t="shared" si="24"/>
        <v>1.8375060697569664E-2</v>
      </c>
      <c r="AX29" s="11">
        <v>-442195.32591168396</v>
      </c>
      <c r="AY29" s="38">
        <f t="shared" si="25"/>
        <v>7.5908846305357575E-2</v>
      </c>
      <c r="BA29" s="30">
        <v>59977.833110232415</v>
      </c>
      <c r="BB29" s="36">
        <f t="shared" si="7"/>
        <v>-7.372645909014075</v>
      </c>
      <c r="BC29" s="38">
        <f t="shared" si="26"/>
        <v>1.2941579377535472E-2</v>
      </c>
    </row>
    <row r="30" spans="1:55" x14ac:dyDescent="0.35">
      <c r="A30" s="26">
        <v>46752</v>
      </c>
      <c r="B30" s="27">
        <f>'Benefit-Cost'!G26</f>
        <v>-38129.384583919309</v>
      </c>
      <c r="C30" s="38">
        <f t="shared" si="8"/>
        <v>0.52536969029729952</v>
      </c>
      <c r="D30" s="40"/>
      <c r="E30" s="30">
        <v>40421.531459522965</v>
      </c>
      <c r="F30" s="31">
        <f t="shared" si="0"/>
        <v>-0.94329391309928601</v>
      </c>
      <c r="G30" s="39">
        <f t="shared" si="9"/>
        <v>0.34818348247997311</v>
      </c>
      <c r="H30" s="27">
        <f>'Benefit-Cost'!M26</f>
        <v>-98811.089604797307</v>
      </c>
      <c r="I30" s="38">
        <f t="shared" si="10"/>
        <v>0.41515930623820096</v>
      </c>
      <c r="J30" s="40"/>
      <c r="K30" s="30">
        <v>41798.097828220765</v>
      </c>
      <c r="L30" s="31">
        <f t="shared" si="1"/>
        <v>-2.3640092429776352</v>
      </c>
      <c r="M30" s="39">
        <f t="shared" si="11"/>
        <v>0.18842157429020326</v>
      </c>
      <c r="N30" s="27">
        <f>'Benefit-Cost'!S26</f>
        <v>-328391.92073347024</v>
      </c>
      <c r="O30" s="38">
        <f t="shared" si="12"/>
        <v>0.34619523892765314</v>
      </c>
      <c r="P30" s="40"/>
      <c r="Q30" s="30">
        <v>42296.767207299374</v>
      </c>
      <c r="R30" s="31">
        <f t="shared" si="2"/>
        <v>-7.763995747570938</v>
      </c>
      <c r="S30" s="39">
        <f t="shared" si="13"/>
        <v>8.0342298114683533E-2</v>
      </c>
      <c r="T30" s="27">
        <f>'Benefit-Cost'!Y26</f>
        <v>-555489.98149411054</v>
      </c>
      <c r="U30" s="38">
        <f t="shared" si="14"/>
        <v>0.34012899256499624</v>
      </c>
      <c r="V30" s="40"/>
      <c r="W30" s="30">
        <v>42615.884293402887</v>
      </c>
      <c r="X30" s="31">
        <f t="shared" si="3"/>
        <v>-13.034810627644365</v>
      </c>
      <c r="Y30" s="39">
        <f t="shared" si="15"/>
        <v>5.7595639670566787E-2</v>
      </c>
      <c r="Z30" s="27">
        <f>'Benefit-Cost'!AE26</f>
        <v>-815628.36298291665</v>
      </c>
      <c r="AA30" s="38">
        <f t="shared" si="16"/>
        <v>0.34205524894882605</v>
      </c>
      <c r="AB30" s="40"/>
      <c r="AC30" s="30">
        <v>42723.908106770163</v>
      </c>
      <c r="AD30" s="36">
        <f t="shared" si="17"/>
        <v>-19.090677775652029</v>
      </c>
      <c r="AE30" s="39">
        <f t="shared" si="18"/>
        <v>4.3817018425515039E-2</v>
      </c>
      <c r="AF30" s="11">
        <v>-44575.680531357648</v>
      </c>
      <c r="AG30" s="38">
        <f t="shared" si="19"/>
        <v>0.51055513256000074</v>
      </c>
      <c r="AI30" s="30">
        <v>41539.444946356612</v>
      </c>
      <c r="AJ30" s="36">
        <f t="shared" si="4"/>
        <v>-1.0730928299336204</v>
      </c>
      <c r="AK30" s="38">
        <f t="shared" si="20"/>
        <v>0.32337670580523487</v>
      </c>
      <c r="AL30" s="11">
        <v>-107225.37876562774</v>
      </c>
      <c r="AM30" s="38">
        <f t="shared" si="21"/>
        <v>0.41915450670169069</v>
      </c>
      <c r="AO30" s="30">
        <v>41895.596625025624</v>
      </c>
      <c r="AP30" s="36">
        <f t="shared" si="5"/>
        <v>-2.559347220313327</v>
      </c>
      <c r="AQ30" s="38">
        <f t="shared" si="22"/>
        <v>0.19080549609330549</v>
      </c>
      <c r="AR30" s="11">
        <v>-188355.80948277703</v>
      </c>
      <c r="AS30" s="38">
        <f t="shared" si="23"/>
        <v>0.38293264584001707</v>
      </c>
      <c r="AU30" s="30">
        <v>42152.208009813919</v>
      </c>
      <c r="AV30" s="36">
        <f t="shared" si="6"/>
        <v>-4.4684684000165271</v>
      </c>
      <c r="AW30" s="38">
        <f t="shared" si="24"/>
        <v>0.13316349603706423</v>
      </c>
      <c r="AX30" s="11">
        <v>-279762.31795767485</v>
      </c>
      <c r="AY30" s="38">
        <f t="shared" si="25"/>
        <v>0.36733316350442502</v>
      </c>
      <c r="BA30" s="30">
        <v>42348.726788541717</v>
      </c>
      <c r="BB30" s="36">
        <f t="shared" si="7"/>
        <v>-6.6061565287334698</v>
      </c>
      <c r="BC30" s="38">
        <f t="shared" si="26"/>
        <v>0.10396394859319995</v>
      </c>
    </row>
    <row r="31" spans="1:55" x14ac:dyDescent="0.35">
      <c r="A31" s="26">
        <v>46843</v>
      </c>
      <c r="B31" s="27">
        <f>'Benefit-Cost'!G27</f>
        <v>-38233.701878035441</v>
      </c>
      <c r="C31" s="38">
        <f t="shared" si="8"/>
        <v>-2.7358766802684444E-3</v>
      </c>
      <c r="D31" s="40"/>
      <c r="E31" s="30">
        <v>41946.881149687026</v>
      </c>
      <c r="F31" s="31">
        <f t="shared" si="0"/>
        <v>-0.91147901417506727</v>
      </c>
      <c r="G31" s="39">
        <f t="shared" si="9"/>
        <v>3.3727450673022706E-2</v>
      </c>
      <c r="H31" s="27">
        <f>'Benefit-Cost'!M27</f>
        <v>-99300.282349218614</v>
      </c>
      <c r="I31" s="38">
        <f t="shared" si="10"/>
        <v>-4.950787875914249E-3</v>
      </c>
      <c r="J31" s="40"/>
      <c r="K31" s="30">
        <v>43794.850698323418</v>
      </c>
      <c r="L31" s="31">
        <f t="shared" si="1"/>
        <v>-2.267396298099952</v>
      </c>
      <c r="M31" s="39">
        <f t="shared" si="11"/>
        <v>4.0868260208658219E-2</v>
      </c>
      <c r="N31" s="27">
        <f>'Benefit-Cost'!S27</f>
        <v>-343581.22740297066</v>
      </c>
      <c r="O31" s="38">
        <f t="shared" si="12"/>
        <v>-4.6253594289332053E-2</v>
      </c>
      <c r="P31" s="40"/>
      <c r="Q31" s="30">
        <v>44694.222724146006</v>
      </c>
      <c r="R31" s="31">
        <f t="shared" si="2"/>
        <v>-7.6873744851446153</v>
      </c>
      <c r="S31" s="39">
        <f t="shared" si="13"/>
        <v>9.8687924256391606E-3</v>
      </c>
      <c r="T31" s="27">
        <f>'Benefit-Cost'!Y27</f>
        <v>-589492.00913177803</v>
      </c>
      <c r="U31" s="38">
        <f t="shared" si="14"/>
        <v>-6.121087466998356E-2</v>
      </c>
      <c r="V31" s="40"/>
      <c r="W31" s="30">
        <v>45439.838448085982</v>
      </c>
      <c r="X31" s="31">
        <f t="shared" si="3"/>
        <v>-12.973021675797984</v>
      </c>
      <c r="Y31" s="39">
        <f t="shared" si="15"/>
        <v>4.7403029941484962E-3</v>
      </c>
      <c r="Z31" s="27">
        <f>'Benefit-Cost'!AE27</f>
        <v>-875651.53648420051</v>
      </c>
      <c r="AA31" s="38">
        <f t="shared" si="16"/>
        <v>-7.3591326914830515E-2</v>
      </c>
      <c r="AB31" s="40"/>
      <c r="AC31" s="30">
        <v>46067.090664394505</v>
      </c>
      <c r="AD31" s="36">
        <f t="shared" si="17"/>
        <v>-19.00817967567021</v>
      </c>
      <c r="AE31" s="39">
        <f t="shared" si="18"/>
        <v>4.3213814067427359E-3</v>
      </c>
      <c r="AF31" s="11">
        <v>-42446.620513779111</v>
      </c>
      <c r="AG31" s="38">
        <f t="shared" si="19"/>
        <v>4.7762815782045262E-2</v>
      </c>
      <c r="AI31" s="30">
        <v>43397.797368766405</v>
      </c>
      <c r="AJ31" s="36">
        <f t="shared" si="4"/>
        <v>-0.97808237024324507</v>
      </c>
      <c r="AK31" s="38">
        <f t="shared" si="20"/>
        <v>8.8538900866808073E-2</v>
      </c>
      <c r="AL31" s="11">
        <v>-109085.02061104914</v>
      </c>
      <c r="AM31" s="38">
        <f t="shared" si="21"/>
        <v>-1.7343299383312864E-2</v>
      </c>
      <c r="AO31" s="30">
        <v>43972.665728133776</v>
      </c>
      <c r="AP31" s="36">
        <f t="shared" si="5"/>
        <v>-2.4807461363720869</v>
      </c>
      <c r="AQ31" s="38">
        <f t="shared" si="22"/>
        <v>3.0711379572646417E-2</v>
      </c>
      <c r="AR31" s="11">
        <v>-195635.42626215471</v>
      </c>
      <c r="AS31" s="38">
        <f t="shared" si="23"/>
        <v>-3.8648220086056444E-2</v>
      </c>
      <c r="AU31" s="30">
        <v>44467.134020567733</v>
      </c>
      <c r="AV31" s="36">
        <f t="shared" si="6"/>
        <v>-4.3995510520571424</v>
      </c>
      <c r="AW31" s="38">
        <f t="shared" si="24"/>
        <v>1.5423035767496948E-2</v>
      </c>
      <c r="AX31" s="11">
        <v>-293769.39419785654</v>
      </c>
      <c r="AY31" s="38">
        <f t="shared" si="25"/>
        <v>-5.0067773038328975E-2</v>
      </c>
      <c r="BA31" s="30">
        <v>44884.081876174503</v>
      </c>
      <c r="BB31" s="36">
        <f t="shared" si="7"/>
        <v>-6.5450685837420695</v>
      </c>
      <c r="BC31" s="38">
        <f t="shared" si="26"/>
        <v>9.2471234560819772E-3</v>
      </c>
    </row>
    <row r="32" spans="1:55" x14ac:dyDescent="0.35">
      <c r="A32" s="26">
        <v>46934</v>
      </c>
      <c r="B32" s="27">
        <f>'Benefit-Cost'!G28</f>
        <v>-90538.6732997871</v>
      </c>
      <c r="C32" s="38">
        <f t="shared" si="8"/>
        <v>-1.3680331449097767</v>
      </c>
      <c r="D32" s="40"/>
      <c r="E32" s="30">
        <v>58719.057748486746</v>
      </c>
      <c r="F32" s="31">
        <f t="shared" si="0"/>
        <v>-1.5418958813609434</v>
      </c>
      <c r="G32" s="39">
        <f t="shared" si="9"/>
        <v>-0.69164166961807005</v>
      </c>
      <c r="H32" s="27">
        <f>'Benefit-Cost'!M28</f>
        <v>-185803.44536000909</v>
      </c>
      <c r="I32" s="38">
        <f t="shared" si="10"/>
        <v>-0.87112705990680561</v>
      </c>
      <c r="J32" s="40"/>
      <c r="K32" s="30">
        <v>61776.429591477718</v>
      </c>
      <c r="L32" s="31">
        <f t="shared" si="1"/>
        <v>-3.0076753640298008</v>
      </c>
      <c r="M32" s="39">
        <f t="shared" si="11"/>
        <v>-0.32648861010763441</v>
      </c>
      <c r="N32" s="27">
        <f>'Benefit-Cost'!S28</f>
        <v>-541890.08694698988</v>
      </c>
      <c r="O32" s="38">
        <f t="shared" si="12"/>
        <v>-0.57718188226690237</v>
      </c>
      <c r="P32" s="40"/>
      <c r="Q32" s="30">
        <v>63474.806605504287</v>
      </c>
      <c r="R32" s="31">
        <f t="shared" si="2"/>
        <v>-8.5370892158023413</v>
      </c>
      <c r="S32" s="39">
        <f t="shared" si="13"/>
        <v>-0.11053380218431509</v>
      </c>
      <c r="T32" s="27">
        <f>'Benefit-Cost'!Y28</f>
        <v>-906390.71364466567</v>
      </c>
      <c r="U32" s="38">
        <f t="shared" si="14"/>
        <v>-0.53757930489952832</v>
      </c>
      <c r="V32" s="40"/>
      <c r="W32" s="30">
        <v>65085.082976117206</v>
      </c>
      <c r="X32" s="31">
        <f t="shared" si="3"/>
        <v>-13.926243498487407</v>
      </c>
      <c r="Y32" s="39">
        <f t="shared" si="15"/>
        <v>-7.3477239652479778E-2</v>
      </c>
      <c r="Z32" s="27">
        <f>'Benefit-Cost'!AE28</f>
        <v>-1336647.5379123706</v>
      </c>
      <c r="AA32" s="38">
        <f t="shared" si="16"/>
        <v>-0.52646056361540794</v>
      </c>
      <c r="AB32" s="40"/>
      <c r="AC32" s="30">
        <v>66631.368152510593</v>
      </c>
      <c r="AD32" s="36">
        <f t="shared" si="17"/>
        <v>-20.060334568741816</v>
      </c>
      <c r="AE32" s="39">
        <f t="shared" si="18"/>
        <v>-5.5352743451721809E-2</v>
      </c>
      <c r="AF32" s="11">
        <v>-102660.85428939946</v>
      </c>
      <c r="AG32" s="38">
        <f t="shared" si="19"/>
        <v>-1.4185872290132846</v>
      </c>
      <c r="AI32" s="30">
        <v>61071.673108624571</v>
      </c>
      <c r="AJ32" s="36">
        <f t="shared" si="4"/>
        <v>-1.6809897136239034</v>
      </c>
      <c r="AK32" s="38">
        <f t="shared" si="20"/>
        <v>-0.71865863731481849</v>
      </c>
      <c r="AL32" s="11">
        <v>-202248.75270677404</v>
      </c>
      <c r="AM32" s="38">
        <f t="shared" si="21"/>
        <v>-0.85404697706303057</v>
      </c>
      <c r="AO32" s="30">
        <v>62075.996572242395</v>
      </c>
      <c r="AP32" s="36">
        <f t="shared" si="5"/>
        <v>-3.2580830574568758</v>
      </c>
      <c r="AQ32" s="38">
        <f t="shared" si="22"/>
        <v>-0.31334803254862198</v>
      </c>
      <c r="AR32" s="11">
        <v>-330785.88580570929</v>
      </c>
      <c r="AS32" s="38">
        <f t="shared" si="23"/>
        <v>-0.69082814971584305</v>
      </c>
      <c r="AU32" s="30">
        <v>63002.7494467945</v>
      </c>
      <c r="AV32" s="36">
        <f t="shared" si="6"/>
        <v>-5.250340480538175</v>
      </c>
      <c r="AW32" s="38">
        <f t="shared" si="24"/>
        <v>-0.19338096510625113</v>
      </c>
      <c r="AX32" s="11">
        <v>-477264.10123794805</v>
      </c>
      <c r="AY32" s="38">
        <f t="shared" si="25"/>
        <v>-0.62462159320962496</v>
      </c>
      <c r="BA32" s="30">
        <v>63905.582048068565</v>
      </c>
      <c r="BB32" s="36">
        <f t="shared" si="7"/>
        <v>-7.4682693740111636</v>
      </c>
      <c r="BC32" s="38">
        <f t="shared" si="26"/>
        <v>-0.14105288255684931</v>
      </c>
    </row>
    <row r="33" spans="1:55" x14ac:dyDescent="0.35">
      <c r="A33" s="26">
        <v>47026</v>
      </c>
      <c r="B33" s="27">
        <f>'Benefit-Cost'!G29</f>
        <v>-79895.165623521898</v>
      </c>
      <c r="C33" s="38">
        <f t="shared" si="8"/>
        <v>0.11755758382965206</v>
      </c>
      <c r="D33" s="40"/>
      <c r="E33" s="30">
        <v>55233.903574025229</v>
      </c>
      <c r="F33" s="31">
        <f t="shared" si="0"/>
        <v>-1.4464877630176058</v>
      </c>
      <c r="G33" s="39">
        <f t="shared" si="9"/>
        <v>6.1877147151548406E-2</v>
      </c>
      <c r="H33" s="27">
        <f>'Benefit-Cost'!M29</f>
        <v>-168591.39840430114</v>
      </c>
      <c r="I33" s="38">
        <f t="shared" si="10"/>
        <v>9.263577929008919E-2</v>
      </c>
      <c r="J33" s="40"/>
      <c r="K33" s="30">
        <v>57887.01362728353</v>
      </c>
      <c r="L33" s="31">
        <f t="shared" si="1"/>
        <v>-2.9124217650924042</v>
      </c>
      <c r="M33" s="39">
        <f t="shared" si="11"/>
        <v>3.1670172943722263E-2</v>
      </c>
      <c r="N33" s="27">
        <f>'Benefit-Cost'!S29</f>
        <v>-501208.73663809104</v>
      </c>
      <c r="O33" s="38">
        <f t="shared" si="12"/>
        <v>7.5073066086330659E-2</v>
      </c>
      <c r="P33" s="40"/>
      <c r="Q33" s="30">
        <v>59369.81717578126</v>
      </c>
      <c r="R33" s="31">
        <f t="shared" si="2"/>
        <v>-8.4421472135263578</v>
      </c>
      <c r="S33" s="39">
        <f t="shared" si="13"/>
        <v>1.1121121013968524E-2</v>
      </c>
      <c r="T33" s="27">
        <f>'Benefit-Cost'!Y29</f>
        <v>-840029.49898973387</v>
      </c>
      <c r="U33" s="38">
        <f t="shared" si="14"/>
        <v>7.3214799816393006E-2</v>
      </c>
      <c r="V33" s="40"/>
      <c r="W33" s="30">
        <v>60732.524388603604</v>
      </c>
      <c r="X33" s="31">
        <f t="shared" si="3"/>
        <v>-13.83162493978868</v>
      </c>
      <c r="Y33" s="39">
        <f t="shared" si="15"/>
        <v>6.7942628397244294E-3</v>
      </c>
      <c r="Z33" s="27">
        <f>'Benefit-Cost'!AE29</f>
        <v>-1236926.3129127943</v>
      </c>
      <c r="AA33" s="38">
        <f t="shared" si="16"/>
        <v>7.4605475393554332E-2</v>
      </c>
      <c r="AB33" s="40"/>
      <c r="AC33" s="30">
        <v>61951.793551886738</v>
      </c>
      <c r="AD33" s="36">
        <f t="shared" si="17"/>
        <v>-19.965948393032825</v>
      </c>
      <c r="AE33" s="39">
        <f t="shared" si="18"/>
        <v>4.7051147320376152E-3</v>
      </c>
      <c r="AF33" s="11">
        <v>-90854.874169642106</v>
      </c>
      <c r="AG33" s="38">
        <f t="shared" si="19"/>
        <v>0.11499982346217837</v>
      </c>
      <c r="AI33" s="30">
        <v>57307.268429278636</v>
      </c>
      <c r="AJ33" s="36">
        <f t="shared" si="4"/>
        <v>-1.585398792506812</v>
      </c>
      <c r="AK33" s="38">
        <f t="shared" si="20"/>
        <v>5.6865857263941826E-2</v>
      </c>
      <c r="AL33" s="11">
        <v>-184182.73429859523</v>
      </c>
      <c r="AM33" s="38">
        <f t="shared" si="21"/>
        <v>8.9325734603522833E-2</v>
      </c>
      <c r="AO33" s="30">
        <v>58240.398364400709</v>
      </c>
      <c r="AP33" s="36">
        <f t="shared" si="5"/>
        <v>-3.1624566361341451</v>
      </c>
      <c r="AQ33" s="38">
        <f t="shared" si="22"/>
        <v>2.9350516741391088E-2</v>
      </c>
      <c r="AR33" s="11">
        <v>-304505.98453019885</v>
      </c>
      <c r="AS33" s="38">
        <f t="shared" si="23"/>
        <v>7.9446863978187454E-2</v>
      </c>
      <c r="AU33" s="30">
        <v>59073.397870026936</v>
      </c>
      <c r="AV33" s="36">
        <f t="shared" si="6"/>
        <v>-5.1547057645164029</v>
      </c>
      <c r="AW33" s="38">
        <f t="shared" si="24"/>
        <v>1.8214955082678612E-2</v>
      </c>
      <c r="AX33" s="11">
        <v>-441089.66673283698</v>
      </c>
      <c r="AY33" s="38">
        <f t="shared" si="25"/>
        <v>7.5795423144712284E-2</v>
      </c>
      <c r="BA33" s="30">
        <v>59828.195182813724</v>
      </c>
      <c r="BB33" s="36">
        <f t="shared" si="7"/>
        <v>-7.3726052638730541</v>
      </c>
      <c r="BC33" s="38">
        <f t="shared" si="26"/>
        <v>1.2809408090047087E-2</v>
      </c>
    </row>
    <row r="34" spans="1:55" x14ac:dyDescent="0.35">
      <c r="A34" s="26">
        <v>47118</v>
      </c>
      <c r="B34" s="27">
        <f>'Benefit-Cost'!G30</f>
        <v>-40218.916350431042</v>
      </c>
      <c r="C34" s="38">
        <f t="shared" si="8"/>
        <v>0.49660388039060266</v>
      </c>
      <c r="D34" s="40"/>
      <c r="E34" s="30">
        <v>40219.423802225516</v>
      </c>
      <c r="F34" s="31">
        <f t="shared" si="0"/>
        <v>-0.99998738291734435</v>
      </c>
      <c r="G34" s="39">
        <f t="shared" si="9"/>
        <v>0.30867898886941841</v>
      </c>
      <c r="H34" s="27">
        <f>'Benefit-Cost'!M30</f>
        <v>-101181.92441541608</v>
      </c>
      <c r="I34" s="38">
        <f t="shared" si="10"/>
        <v>0.39983934309168939</v>
      </c>
      <c r="J34" s="40"/>
      <c r="K34" s="30">
        <v>41645.275459896533</v>
      </c>
      <c r="L34" s="31">
        <f t="shared" si="1"/>
        <v>-2.4296135227356586</v>
      </c>
      <c r="M34" s="39">
        <f t="shared" si="11"/>
        <v>0.16577552336120085</v>
      </c>
      <c r="N34" s="27">
        <f>'Benefit-Cost'!S30</f>
        <v>-329270.31994920317</v>
      </c>
      <c r="O34" s="38">
        <f t="shared" si="12"/>
        <v>0.34304752515325732</v>
      </c>
      <c r="P34" s="40"/>
      <c r="Q34" s="30">
        <v>42120.118110015537</v>
      </c>
      <c r="R34" s="31">
        <f t="shared" si="2"/>
        <v>-7.8174120758438139</v>
      </c>
      <c r="S34" s="39">
        <f t="shared" si="13"/>
        <v>7.4001924141001402E-2</v>
      </c>
      <c r="T34" s="27">
        <f>'Benefit-Cost'!Y30</f>
        <v>-554156.91205263138</v>
      </c>
      <c r="U34" s="38">
        <f t="shared" si="14"/>
        <v>0.34031255721484632</v>
      </c>
      <c r="V34" s="40"/>
      <c r="W34" s="30">
        <v>42419.485815040513</v>
      </c>
      <c r="X34" s="31">
        <f t="shared" si="3"/>
        <v>-13.063734776722496</v>
      </c>
      <c r="Y34" s="39">
        <f t="shared" si="15"/>
        <v>5.5516988525132455E-2</v>
      </c>
      <c r="Z34" s="27">
        <f>'Benefit-Cost'!AE30</f>
        <v>-809475.38662836817</v>
      </c>
      <c r="AA34" s="38">
        <f t="shared" si="16"/>
        <v>0.34557509353797883</v>
      </c>
      <c r="AB34" s="40"/>
      <c r="AC34" s="30">
        <v>42517.632084733938</v>
      </c>
      <c r="AD34" s="36">
        <f t="shared" si="17"/>
        <v>-19.038581100075241</v>
      </c>
      <c r="AE34" s="39">
        <f t="shared" si="18"/>
        <v>4.6447445155231956E-2</v>
      </c>
      <c r="AF34" s="11">
        <v>-47270.79621961806</v>
      </c>
      <c r="AG34" s="38">
        <f t="shared" si="19"/>
        <v>0.47971094944939191</v>
      </c>
      <c r="AI34" s="30">
        <v>41399.05239342303</v>
      </c>
      <c r="AJ34" s="36">
        <f t="shared" si="4"/>
        <v>-1.141832807437106</v>
      </c>
      <c r="AK34" s="38">
        <f t="shared" si="20"/>
        <v>0.27978196222058754</v>
      </c>
      <c r="AL34" s="11">
        <v>-109820.88026958797</v>
      </c>
      <c r="AM34" s="38">
        <f t="shared" si="21"/>
        <v>0.40373954872693202</v>
      </c>
      <c r="AO34" s="30">
        <v>41734.568038365738</v>
      </c>
      <c r="AP34" s="36">
        <f t="shared" si="5"/>
        <v>-2.6314128893973905</v>
      </c>
      <c r="AQ34" s="38">
        <f t="shared" si="22"/>
        <v>0.16792127381892386</v>
      </c>
      <c r="AR34" s="11">
        <v>-190656.81039486662</v>
      </c>
      <c r="AS34" s="38">
        <f t="shared" si="23"/>
        <v>0.37388156528674538</v>
      </c>
      <c r="AU34" s="30">
        <v>41981.522071408333</v>
      </c>
      <c r="AV34" s="36">
        <f t="shared" si="6"/>
        <v>-4.5414458787504071</v>
      </c>
      <c r="AW34" s="38">
        <f t="shared" si="24"/>
        <v>0.11897088093514681</v>
      </c>
      <c r="AX34" s="11">
        <v>-281879.22829715884</v>
      </c>
      <c r="AY34" s="38">
        <f t="shared" si="25"/>
        <v>0.36094801226007883</v>
      </c>
      <c r="BA34" s="30">
        <v>42167.421693561482</v>
      </c>
      <c r="BB34" s="36">
        <f t="shared" si="7"/>
        <v>-6.6847631886442516</v>
      </c>
      <c r="BC34" s="38">
        <f t="shared" si="26"/>
        <v>9.3297016537605623E-2</v>
      </c>
    </row>
    <row r="35" spans="1:55" x14ac:dyDescent="0.35">
      <c r="A35" s="26">
        <v>47208</v>
      </c>
      <c r="B35" s="27">
        <f>'Benefit-Cost'!G31</f>
        <v>-25027.452205833048</v>
      </c>
      <c r="C35" s="38">
        <f t="shared" si="8"/>
        <v>0.37771937991151722</v>
      </c>
      <c r="D35" s="40"/>
      <c r="E35" s="30">
        <v>41211.303330168594</v>
      </c>
      <c r="F35" s="31">
        <f t="shared" si="0"/>
        <v>-0.6072958189485792</v>
      </c>
      <c r="G35" s="39">
        <f t="shared" si="9"/>
        <v>0.3926965186531996</v>
      </c>
      <c r="H35" s="27">
        <f>'Benefit-Cost'!M31</f>
        <v>-83646.974586057011</v>
      </c>
      <c r="I35" s="38">
        <f t="shared" si="10"/>
        <v>0.17330120899229948</v>
      </c>
      <c r="J35" s="40"/>
      <c r="K35" s="30">
        <v>43139.069386511168</v>
      </c>
      <c r="L35" s="31">
        <f t="shared" si="1"/>
        <v>-1.9390073957462781</v>
      </c>
      <c r="M35" s="39">
        <f t="shared" si="11"/>
        <v>0.20192764091836934</v>
      </c>
      <c r="N35" s="27">
        <f>'Benefit-Cost'!S31</f>
        <v>-321802.22635111352</v>
      </c>
      <c r="O35" s="38">
        <f t="shared" si="12"/>
        <v>2.2680737210817412E-2</v>
      </c>
      <c r="P35" s="40"/>
      <c r="Q35" s="30">
        <v>44003.613582697726</v>
      </c>
      <c r="R35" s="31">
        <f t="shared" si="2"/>
        <v>-7.3130863615629638</v>
      </c>
      <c r="S35" s="39">
        <f t="shared" si="13"/>
        <v>6.4513129074932785E-2</v>
      </c>
      <c r="T35" s="27">
        <f>'Benefit-Cost'!Y31</f>
        <v>-561407.8407018967</v>
      </c>
      <c r="U35" s="38">
        <f t="shared" si="14"/>
        <v>-1.3084612844415189E-2</v>
      </c>
      <c r="V35" s="40"/>
      <c r="W35" s="30">
        <v>44718.382425849471</v>
      </c>
      <c r="X35" s="31">
        <f t="shared" si="3"/>
        <v>-12.554296695163435</v>
      </c>
      <c r="Y35" s="39">
        <f t="shared" si="15"/>
        <v>3.8996358259415907E-2</v>
      </c>
      <c r="Z35" s="27">
        <f>'Benefit-Cost'!AE31</f>
        <v>-840583.59734505089</v>
      </c>
      <c r="AA35" s="38">
        <f t="shared" si="16"/>
        <v>-3.8430088462917726E-2</v>
      </c>
      <c r="AB35" s="40"/>
      <c r="AC35" s="30">
        <v>45329.172004268163</v>
      </c>
      <c r="AD35" s="36">
        <f t="shared" si="17"/>
        <v>-18.543987462773469</v>
      </c>
      <c r="AE35" s="39">
        <f t="shared" si="18"/>
        <v>2.5978492551622854E-2</v>
      </c>
      <c r="AF35" s="11">
        <v>-28330.892922284547</v>
      </c>
      <c r="AG35" s="38">
        <f t="shared" si="19"/>
        <v>0.40066816749477935</v>
      </c>
      <c r="AI35" s="30">
        <v>42747.100879939266</v>
      </c>
      <c r="AJ35" s="36">
        <f t="shared" si="4"/>
        <v>-0.66275589078790409</v>
      </c>
      <c r="AK35" s="38">
        <f t="shared" si="20"/>
        <v>0.41956835845740947</v>
      </c>
      <c r="AL35" s="11">
        <v>-92908.639390434138</v>
      </c>
      <c r="AM35" s="38">
        <f t="shared" si="21"/>
        <v>0.15399840938843062</v>
      </c>
      <c r="AO35" s="30">
        <v>43295.902326012685</v>
      </c>
      <c r="AP35" s="36">
        <f t="shared" si="5"/>
        <v>-2.1458991359238526</v>
      </c>
      <c r="AQ35" s="38">
        <f t="shared" si="22"/>
        <v>0.18450686907774608</v>
      </c>
      <c r="AR35" s="11">
        <v>-176928.8504720442</v>
      </c>
      <c r="AS35" s="38">
        <f t="shared" si="23"/>
        <v>7.2003511935349387E-2</v>
      </c>
      <c r="AU35" s="30">
        <v>43761.548018752408</v>
      </c>
      <c r="AV35" s="36">
        <f t="shared" si="6"/>
        <v>-4.0430208363796414</v>
      </c>
      <c r="AW35" s="38">
        <f t="shared" si="24"/>
        <v>0.10975029884269123</v>
      </c>
      <c r="AX35" s="11">
        <v>-272318.24367691763</v>
      </c>
      <c r="AY35" s="38">
        <f t="shared" si="25"/>
        <v>3.3918727101671944E-2</v>
      </c>
      <c r="BA35" s="30">
        <v>44165.067281064024</v>
      </c>
      <c r="BB35" s="36">
        <f t="shared" si="7"/>
        <v>-6.1659193666319929</v>
      </c>
      <c r="BC35" s="38">
        <f t="shared" si="26"/>
        <v>7.7615886662020447E-2</v>
      </c>
    </row>
    <row r="36" spans="1:55" x14ac:dyDescent="0.35">
      <c r="A36" s="26">
        <v>47299</v>
      </c>
      <c r="B36" s="27">
        <f>'Benefit-Cost'!G32</f>
        <v>-78882.322875721846</v>
      </c>
      <c r="C36" s="38">
        <f t="shared" si="8"/>
        <v>-2.1518319254780982</v>
      </c>
      <c r="D36" s="40"/>
      <c r="E36" s="30">
        <v>58425.462459744245</v>
      </c>
      <c r="F36" s="31">
        <f t="shared" si="0"/>
        <v>-1.3501360460787553</v>
      </c>
      <c r="G36" s="39">
        <f t="shared" si="9"/>
        <v>-1.2231933827838088</v>
      </c>
      <c r="H36" s="27">
        <f>'Benefit-Cost'!M32</f>
        <v>-173158.42487947224</v>
      </c>
      <c r="I36" s="38">
        <f t="shared" si="10"/>
        <v>-1.0701098364451278</v>
      </c>
      <c r="J36" s="40"/>
      <c r="K36" s="30">
        <v>61666.826330466574</v>
      </c>
      <c r="L36" s="31">
        <f t="shared" si="1"/>
        <v>-2.8079671872772072</v>
      </c>
      <c r="M36" s="39">
        <f t="shared" si="11"/>
        <v>-0.44814671333240941</v>
      </c>
      <c r="N36" s="27">
        <f>'Benefit-Cost'!S32</f>
        <v>-526245.03193050157</v>
      </c>
      <c r="O36" s="38">
        <f t="shared" si="12"/>
        <v>-0.63530575253486166</v>
      </c>
      <c r="P36" s="40"/>
      <c r="Q36" s="30">
        <v>63338.698952629391</v>
      </c>
      <c r="R36" s="31">
        <f t="shared" si="2"/>
        <v>-8.3084281905455128</v>
      </c>
      <c r="S36" s="39">
        <f t="shared" si="13"/>
        <v>-0.13610420823333791</v>
      </c>
      <c r="T36" s="27">
        <f>'Benefit-Cost'!Y32</f>
        <v>-887462.74330853112</v>
      </c>
      <c r="U36" s="38">
        <f t="shared" si="14"/>
        <v>-0.58078081381796576</v>
      </c>
      <c r="V36" s="40"/>
      <c r="W36" s="30">
        <v>64923.471593569746</v>
      </c>
      <c r="X36" s="31">
        <f t="shared" si="3"/>
        <v>-13.669366740955804</v>
      </c>
      <c r="Y36" s="39">
        <f t="shared" si="15"/>
        <v>-8.8819793961214172E-2</v>
      </c>
      <c r="Z36" s="27">
        <f>'Benefit-Cost'!AE32</f>
        <v>-1313677.6241404554</v>
      </c>
      <c r="AA36" s="38">
        <f t="shared" si="16"/>
        <v>-0.5628161533125946</v>
      </c>
      <c r="AB36" s="40"/>
      <c r="AC36" s="30">
        <v>66443.255408282654</v>
      </c>
      <c r="AD36" s="36">
        <f t="shared" si="17"/>
        <v>-19.771421735255547</v>
      </c>
      <c r="AE36" s="39">
        <f t="shared" si="18"/>
        <v>-6.6190417511126878E-2</v>
      </c>
      <c r="AF36" s="11">
        <v>-90747.056992439087</v>
      </c>
      <c r="AG36" s="38">
        <f t="shared" si="19"/>
        <v>-2.203113196656755</v>
      </c>
      <c r="AI36" s="30">
        <v>60971.08832732954</v>
      </c>
      <c r="AJ36" s="36">
        <f t="shared" si="4"/>
        <v>-1.4883620988566615</v>
      </c>
      <c r="AK36" s="38">
        <f t="shared" si="20"/>
        <v>-1.2457168914594663</v>
      </c>
      <c r="AL36" s="11">
        <v>-189419.60597044183</v>
      </c>
      <c r="AM36" s="38">
        <f t="shared" si="21"/>
        <v>-1.0387727902723376</v>
      </c>
      <c r="AO36" s="30">
        <v>61960.318003021806</v>
      </c>
      <c r="AP36" s="36">
        <f t="shared" si="5"/>
        <v>-3.0571115848889581</v>
      </c>
      <c r="AQ36" s="38">
        <f t="shared" si="22"/>
        <v>-0.42462967327344125</v>
      </c>
      <c r="AR36" s="11">
        <v>-316810.2299512485</v>
      </c>
      <c r="AS36" s="38">
        <f t="shared" si="23"/>
        <v>-0.79060808401796734</v>
      </c>
      <c r="AU36" s="30">
        <v>62872.75995156799</v>
      </c>
      <c r="AV36" s="36">
        <f t="shared" si="6"/>
        <v>-5.038910812811352</v>
      </c>
      <c r="AW36" s="38">
        <f t="shared" si="24"/>
        <v>-0.24632323619768653</v>
      </c>
      <c r="AX36" s="11">
        <v>-461948.00364702474</v>
      </c>
      <c r="AY36" s="38">
        <f t="shared" si="25"/>
        <v>-0.69635349218499898</v>
      </c>
      <c r="BA36" s="30">
        <v>63758.721044393096</v>
      </c>
      <c r="BB36" s="36">
        <f t="shared" si="7"/>
        <v>-7.2452520389388857</v>
      </c>
      <c r="BC36" s="38">
        <f t="shared" si="26"/>
        <v>-0.17504813282961501</v>
      </c>
    </row>
    <row r="37" spans="1:55" x14ac:dyDescent="0.35">
      <c r="A37" s="26">
        <v>47391</v>
      </c>
      <c r="B37" s="27">
        <f>'Benefit-Cost'!G33</f>
        <v>-67999.185067095794</v>
      </c>
      <c r="C37" s="38">
        <f t="shared" si="8"/>
        <v>0.13796675112841575</v>
      </c>
      <c r="D37" s="40"/>
      <c r="E37" s="30">
        <v>54957.734056155008</v>
      </c>
      <c r="F37" s="31">
        <f t="shared" si="0"/>
        <v>-1.2372996491743131</v>
      </c>
      <c r="G37" s="39">
        <f t="shared" si="9"/>
        <v>8.3574094056785328E-2</v>
      </c>
      <c r="H37" s="27">
        <f>'Benefit-Cost'!M33</f>
        <v>-155669.02613550983</v>
      </c>
      <c r="I37" s="38">
        <f t="shared" si="10"/>
        <v>0.10100229749800499</v>
      </c>
      <c r="J37" s="40"/>
      <c r="K37" s="30">
        <v>57753.98659071602</v>
      </c>
      <c r="L37" s="31">
        <f t="shared" si="1"/>
        <v>-2.6953814848953423</v>
      </c>
      <c r="M37" s="39">
        <f t="shared" si="11"/>
        <v>4.0095091884259325E-2</v>
      </c>
      <c r="N37" s="27">
        <f>'Benefit-Cost'!S33</f>
        <v>-485369.71044285269</v>
      </c>
      <c r="O37" s="38">
        <f t="shared" si="12"/>
        <v>7.7673553207143753E-2</v>
      </c>
      <c r="P37" s="40"/>
      <c r="Q37" s="30">
        <v>59218.335512503014</v>
      </c>
      <c r="R37" s="31">
        <f t="shared" si="2"/>
        <v>-8.1962741141276183</v>
      </c>
      <c r="S37" s="39">
        <f t="shared" si="13"/>
        <v>1.3498832010791051E-2</v>
      </c>
      <c r="T37" s="27">
        <f>'Benefit-Cost'!Y33</f>
        <v>-820962.08584862482</v>
      </c>
      <c r="U37" s="38">
        <f t="shared" si="14"/>
        <v>7.4933463924340762E-2</v>
      </c>
      <c r="V37" s="40"/>
      <c r="W37" s="30">
        <v>60553.455436334669</v>
      </c>
      <c r="X37" s="31">
        <f t="shared" si="3"/>
        <v>-13.557642250685044</v>
      </c>
      <c r="Y37" s="39">
        <f t="shared" si="15"/>
        <v>8.1733479237200996E-3</v>
      </c>
      <c r="Z37" s="27">
        <f>'Benefit-Cost'!AE33</f>
        <v>-1214029.4134362177</v>
      </c>
      <c r="AA37" s="38">
        <f t="shared" si="16"/>
        <v>7.5854386854946942E-2</v>
      </c>
      <c r="AB37" s="40"/>
      <c r="AC37" s="30">
        <v>61751.135565202116</v>
      </c>
      <c r="AD37" s="36">
        <f t="shared" si="17"/>
        <v>-19.660033816776405</v>
      </c>
      <c r="AE37" s="39">
        <f t="shared" si="18"/>
        <v>5.6337839519411022E-3</v>
      </c>
      <c r="AF37" s="11">
        <v>-78643.07104194304</v>
      </c>
      <c r="AG37" s="38">
        <f t="shared" si="19"/>
        <v>0.13338158119557017</v>
      </c>
      <c r="AI37" s="30">
        <v>57181.410983878639</v>
      </c>
      <c r="AJ37" s="36">
        <f t="shared" si="4"/>
        <v>-1.3753258216051221</v>
      </c>
      <c r="AK37" s="38">
        <f t="shared" si="20"/>
        <v>7.5946758748003773E-2</v>
      </c>
      <c r="AL37" s="11">
        <v>-171045.84134865925</v>
      </c>
      <c r="AM37" s="38">
        <f t="shared" si="21"/>
        <v>9.7000331764230022E-2</v>
      </c>
      <c r="AO37" s="30">
        <v>58098.592370110688</v>
      </c>
      <c r="AP37" s="36">
        <f t="shared" si="5"/>
        <v>-2.9440617125287742</v>
      </c>
      <c r="AQ37" s="38">
        <f t="shared" si="22"/>
        <v>3.6979308481567927E-2</v>
      </c>
      <c r="AR37" s="11">
        <v>-290245.19787135348</v>
      </c>
      <c r="AS37" s="38">
        <f t="shared" si="23"/>
        <v>8.3851560235232672E-2</v>
      </c>
      <c r="AU37" s="30">
        <v>58922.827591791698</v>
      </c>
      <c r="AV37" s="36">
        <f t="shared" si="6"/>
        <v>-4.9258531834576518</v>
      </c>
      <c r="AW37" s="38">
        <f t="shared" si="24"/>
        <v>2.24369181264834E-2</v>
      </c>
      <c r="AX37" s="11">
        <v>-425534.83174169203</v>
      </c>
      <c r="AY37" s="38">
        <f t="shared" si="25"/>
        <v>7.8825260890522386E-2</v>
      </c>
      <c r="BA37" s="30">
        <v>59664.510603405419</v>
      </c>
      <c r="BB37" s="36">
        <f t="shared" si="7"/>
        <v>-7.1321264087835186</v>
      </c>
      <c r="BC37" s="38">
        <f t="shared" si="26"/>
        <v>1.5613760507900167E-2</v>
      </c>
    </row>
    <row r="38" spans="1:55" x14ac:dyDescent="0.35">
      <c r="A38" s="26">
        <v>47483</v>
      </c>
      <c r="B38" s="27">
        <f>'Benefit-Cost'!G34</f>
        <v>-38516.884579538833</v>
      </c>
      <c r="C38" s="38">
        <f t="shared" si="8"/>
        <v>0.43356843848152504</v>
      </c>
      <c r="D38" s="40"/>
      <c r="E38" s="30">
        <v>40018.326683214254</v>
      </c>
      <c r="F38" s="31">
        <f t="shared" si="0"/>
        <v>-0.96248113731588869</v>
      </c>
      <c r="G38" s="39">
        <f t="shared" si="9"/>
        <v>0.2221115249178475</v>
      </c>
      <c r="H38" s="27">
        <f>'Benefit-Cost'!M34</f>
        <v>-99335.645924211014</v>
      </c>
      <c r="I38" s="38">
        <f t="shared" si="10"/>
        <v>0.36187918438097399</v>
      </c>
      <c r="J38" s="28"/>
      <c r="K38" s="30">
        <v>41498.099664704147</v>
      </c>
      <c r="L38" s="31">
        <f t="shared" si="1"/>
        <v>-2.3937396345090978</v>
      </c>
      <c r="M38" s="39">
        <f t="shared" si="11"/>
        <v>0.11191063382924324</v>
      </c>
      <c r="N38" s="27">
        <f>'Benefit-Cost'!S34</f>
        <v>-326598.23271524557</v>
      </c>
      <c r="O38" s="38">
        <f t="shared" si="12"/>
        <v>0.32711451561891569</v>
      </c>
      <c r="P38" s="28"/>
      <c r="Q38" s="30">
        <v>41953.062693004271</v>
      </c>
      <c r="R38" s="31">
        <f t="shared" si="2"/>
        <v>-7.7848483936717754</v>
      </c>
      <c r="S38" s="39">
        <f t="shared" si="13"/>
        <v>5.0196676529727507E-2</v>
      </c>
      <c r="T38" s="27">
        <f>'Benefit-Cost'!Y34</f>
        <v>-550500.03158360231</v>
      </c>
      <c r="U38" s="38">
        <f t="shared" si="14"/>
        <v>0.32944524348581472</v>
      </c>
      <c r="V38" s="28"/>
      <c r="W38" s="30">
        <v>42235.396435586954</v>
      </c>
      <c r="X38" s="31">
        <f t="shared" si="3"/>
        <v>-13.034091734480766</v>
      </c>
      <c r="Y38" s="39">
        <f t="shared" si="15"/>
        <v>3.8616634553683082E-2</v>
      </c>
      <c r="Z38" s="27">
        <f>'Benefit-Cost'!AE34</f>
        <v>-805379.50050238194</v>
      </c>
      <c r="AA38" s="38">
        <f t="shared" si="16"/>
        <v>0.33660627033506818</v>
      </c>
      <c r="AB38" s="28"/>
      <c r="AC38" s="30">
        <v>42324.591796147317</v>
      </c>
      <c r="AD38" s="36">
        <f t="shared" si="17"/>
        <v>-19.028641891726249</v>
      </c>
      <c r="AE38" s="39">
        <f t="shared" si="18"/>
        <v>3.2115505544622898E-2</v>
      </c>
      <c r="AF38" s="11">
        <v>-45849.715836293995</v>
      </c>
      <c r="AG38" s="38">
        <f t="shared" si="19"/>
        <v>0.41698975855303549</v>
      </c>
      <c r="AI38" s="30">
        <v>41261.424308183385</v>
      </c>
      <c r="AJ38" s="36">
        <f t="shared" si="4"/>
        <v>-1.1112005124651165</v>
      </c>
      <c r="AK38" s="38">
        <f t="shared" si="20"/>
        <v>0.19204562656414673</v>
      </c>
      <c r="AL38" s="11">
        <v>-108236.24941201624</v>
      </c>
      <c r="AM38" s="38">
        <f t="shared" si="21"/>
        <v>0.36720911447716609</v>
      </c>
      <c r="AO38" s="30">
        <v>41578.755734891281</v>
      </c>
      <c r="AP38" s="36">
        <f t="shared" si="5"/>
        <v>-2.6031623000490267</v>
      </c>
      <c r="AQ38" s="38">
        <f t="shared" si="22"/>
        <v>0.11579221013914656</v>
      </c>
      <c r="AR38" s="11">
        <v>-188837.24356952123</v>
      </c>
      <c r="AS38" s="38">
        <f t="shared" si="23"/>
        <v>0.34938719071169505</v>
      </c>
      <c r="AU38" s="30">
        <v>41817.976149774513</v>
      </c>
      <c r="AV38" s="36">
        <f t="shared" si="6"/>
        <v>-4.5156954246945178</v>
      </c>
      <c r="AW38" s="38">
        <f t="shared" si="24"/>
        <v>8.326633853817543E-2</v>
      </c>
      <c r="AX38" s="11">
        <v>-279437.86313100625</v>
      </c>
      <c r="AY38" s="38">
        <f t="shared" si="25"/>
        <v>0.34332552287839391</v>
      </c>
      <c r="BA38" s="30">
        <v>41994.440957535073</v>
      </c>
      <c r="BB38" s="36">
        <f t="shared" si="7"/>
        <v>-6.6541631882556747</v>
      </c>
      <c r="BC38" s="38">
        <f t="shared" si="26"/>
        <v>6.7015528487999285E-2</v>
      </c>
    </row>
    <row r="39" spans="1:55" x14ac:dyDescent="0.35">
      <c r="A39" s="26">
        <v>47573</v>
      </c>
      <c r="B39" s="27">
        <f>'Benefit-Cost'!G35</f>
        <v>-24897.94874668913</v>
      </c>
      <c r="C39" s="38">
        <f t="shared" si="8"/>
        <v>0.35358352529073533</v>
      </c>
      <c r="D39" s="40"/>
      <c r="E39" s="30">
        <v>41005.246813517901</v>
      </c>
      <c r="F39" s="31">
        <f t="shared" si="0"/>
        <v>-0.60718933993786384</v>
      </c>
      <c r="G39" s="39">
        <f t="shared" si="9"/>
        <v>0.36914156922476621</v>
      </c>
      <c r="H39" s="27">
        <f>'Benefit-Cost'!M35</f>
        <v>-83452.344761670567</v>
      </c>
      <c r="I39" s="38">
        <f t="shared" si="10"/>
        <v>0.15989528245136442</v>
      </c>
      <c r="J39" s="41"/>
      <c r="K39" s="30">
        <v>43021.312386602469</v>
      </c>
      <c r="L39" s="31">
        <f t="shared" si="1"/>
        <v>-1.9397907718793574</v>
      </c>
      <c r="M39" s="39">
        <f t="shared" si="11"/>
        <v>0.18964003272763416</v>
      </c>
      <c r="N39" s="27">
        <f>'Benefit-Cost'!S35</f>
        <v>-320770.32363040559</v>
      </c>
      <c r="O39" s="38">
        <f t="shared" si="12"/>
        <v>1.784427624236784E-2</v>
      </c>
      <c r="P39" s="41"/>
      <c r="Q39" s="30">
        <v>43856.156253651177</v>
      </c>
      <c r="R39" s="31">
        <f t="shared" si="2"/>
        <v>-7.3141458584551708</v>
      </c>
      <c r="S39" s="39">
        <f t="shared" si="13"/>
        <v>6.0463930883899279E-2</v>
      </c>
      <c r="T39" s="27">
        <f>'Benefit-Cost'!Y35</f>
        <v>-559244.7845737352</v>
      </c>
      <c r="U39" s="38">
        <f t="shared" si="14"/>
        <v>-1.5885108970797333E-2</v>
      </c>
      <c r="V39" s="41"/>
      <c r="W39" s="30">
        <v>44542.275953780423</v>
      </c>
      <c r="X39" s="31">
        <f t="shared" si="3"/>
        <v>-12.555370658518642</v>
      </c>
      <c r="Y39" s="39">
        <f t="shared" si="15"/>
        <v>3.6728380136814689E-2</v>
      </c>
      <c r="Z39" s="27">
        <f>'Benefit-Cost'!AE35</f>
        <v>-836868.92541817296</v>
      </c>
      <c r="AA39" s="38">
        <f t="shared" si="16"/>
        <v>-3.9098865685243366E-2</v>
      </c>
      <c r="AB39" s="41"/>
      <c r="AC39" s="30">
        <v>45126.364807385493</v>
      </c>
      <c r="AD39" s="36">
        <f t="shared" si="17"/>
        <v>-18.545010859842382</v>
      </c>
      <c r="AE39" s="39">
        <f t="shared" si="18"/>
        <v>2.5415951103381282E-2</v>
      </c>
      <c r="AF39" s="11">
        <v>-28323.159711080603</v>
      </c>
      <c r="AG39" s="38">
        <f t="shared" si="19"/>
        <v>0.38226095419635325</v>
      </c>
      <c r="AI39" s="30">
        <v>42651.131925811897</v>
      </c>
      <c r="AJ39" s="36">
        <f t="shared" si="4"/>
        <v>-0.66406583910472505</v>
      </c>
      <c r="AK39" s="38">
        <f t="shared" si="20"/>
        <v>0.40238882932879155</v>
      </c>
      <c r="AL39" s="11">
        <v>-92756.038214968517</v>
      </c>
      <c r="AM39" s="38">
        <f t="shared" si="21"/>
        <v>0.14302242807878685</v>
      </c>
      <c r="AO39" s="30">
        <v>43185.186587222342</v>
      </c>
      <c r="AP39" s="36">
        <f t="shared" si="5"/>
        <v>-2.147867024439654</v>
      </c>
      <c r="AQ39" s="38">
        <f t="shared" si="22"/>
        <v>0.17490084102739112</v>
      </c>
      <c r="AR39" s="11">
        <v>-176485.25504338974</v>
      </c>
      <c r="AS39" s="38">
        <f t="shared" si="23"/>
        <v>6.5410764808076935E-2</v>
      </c>
      <c r="AU39" s="30">
        <v>43625.018267862761</v>
      </c>
      <c r="AV39" s="36">
        <f t="shared" si="6"/>
        <v>-4.0455055848859347</v>
      </c>
      <c r="AW39" s="38">
        <f t="shared" si="24"/>
        <v>0.10412346174573786</v>
      </c>
      <c r="AX39" s="11">
        <v>-271598.56697254535</v>
      </c>
      <c r="AY39" s="38">
        <f t="shared" si="25"/>
        <v>2.8053807993749496E-2</v>
      </c>
      <c r="BA39" s="30">
        <v>44025.898186608283</v>
      </c>
      <c r="BB39" s="36">
        <f t="shared" si="7"/>
        <v>-6.1690636229917892</v>
      </c>
      <c r="BC39" s="38">
        <f t="shared" si="26"/>
        <v>7.2901663445835874E-2</v>
      </c>
    </row>
    <row r="40" spans="1:55" x14ac:dyDescent="0.35">
      <c r="A40" s="26">
        <v>47664</v>
      </c>
      <c r="B40" s="27">
        <f>'Benefit-Cost'!G36</f>
        <v>-78537.964901925763</v>
      </c>
      <c r="C40" s="38">
        <f t="shared" si="8"/>
        <v>-2.1543949945824172</v>
      </c>
      <c r="D40" s="40"/>
      <c r="E40" s="30">
        <v>58133.335147445599</v>
      </c>
      <c r="F40" s="31">
        <f t="shared" si="0"/>
        <v>-1.3509970605114465</v>
      </c>
      <c r="G40" s="39">
        <f t="shared" si="9"/>
        <v>-1.2250012832071451</v>
      </c>
      <c r="H40" s="27">
        <f>'Benefit-Cost'!M36</f>
        <v>-172869.35676834732</v>
      </c>
      <c r="I40" s="38">
        <f t="shared" si="10"/>
        <v>-1.0714739323627218</v>
      </c>
      <c r="J40" s="1"/>
      <c r="K40" s="30">
        <v>61542.001779065897</v>
      </c>
      <c r="L40" s="31">
        <f t="shared" si="1"/>
        <v>-2.8089654507655371</v>
      </c>
      <c r="M40" s="39">
        <f t="shared" si="11"/>
        <v>-0.44807650984135966</v>
      </c>
      <c r="N40" s="27">
        <f>'Benefit-Cost'!S36</f>
        <v>-524932.51269002771</v>
      </c>
      <c r="O40" s="38">
        <f t="shared" si="12"/>
        <v>-0.63647467991727191</v>
      </c>
      <c r="P40" s="1"/>
      <c r="Q40" s="30">
        <v>63172.360170997265</v>
      </c>
      <c r="R40" s="31">
        <f t="shared" si="2"/>
        <v>-8.3095282694697659</v>
      </c>
      <c r="S40" s="39">
        <f t="shared" si="13"/>
        <v>-0.13609004117192036</v>
      </c>
      <c r="T40" s="27">
        <f>'Benefit-Cost'!Y36</f>
        <v>-884734.07358575473</v>
      </c>
      <c r="U40" s="38">
        <f t="shared" si="14"/>
        <v>-0.58201577911917834</v>
      </c>
      <c r="V40" s="1"/>
      <c r="W40" s="30">
        <v>64718.139350080033</v>
      </c>
      <c r="X40" s="31">
        <f t="shared" si="3"/>
        <v>-13.670573389014786</v>
      </c>
      <c r="Y40" s="39">
        <f t="shared" si="15"/>
        <v>-8.882276444299908E-2</v>
      </c>
      <c r="Z40" s="27">
        <f>'Benefit-Cost'!AE36</f>
        <v>-1308884.4038775871</v>
      </c>
      <c r="AA40" s="38">
        <f t="shared" si="16"/>
        <v>-0.56402557691284072</v>
      </c>
      <c r="AB40" s="1"/>
      <c r="AC40" s="30">
        <v>66196.511325111671</v>
      </c>
      <c r="AD40" s="36">
        <f t="shared" si="17"/>
        <v>-19.772709734645204</v>
      </c>
      <c r="AE40" s="39">
        <f t="shared" si="18"/>
        <v>-6.6201032939878085E-2</v>
      </c>
      <c r="AF40" s="11">
        <v>-90636.512782502454</v>
      </c>
      <c r="AG40" s="38">
        <f t="shared" si="19"/>
        <v>-2.2000847965788077</v>
      </c>
      <c r="AI40" s="30">
        <v>60858.985390973481</v>
      </c>
      <c r="AJ40" s="36">
        <f t="shared" si="4"/>
        <v>-1.4892872794416572</v>
      </c>
      <c r="AK40" s="38">
        <f t="shared" si="20"/>
        <v>-1.2426801557048508</v>
      </c>
      <c r="AL40" s="11">
        <v>-189034.0862900205</v>
      </c>
      <c r="AM40" s="38">
        <f t="shared" si="21"/>
        <v>-1.0379706801612307</v>
      </c>
      <c r="AO40" s="30">
        <v>61814.839066391498</v>
      </c>
      <c r="AP40" s="36">
        <f t="shared" si="5"/>
        <v>-3.0580696988791098</v>
      </c>
      <c r="AQ40" s="38">
        <f t="shared" si="22"/>
        <v>-0.42377049607012512</v>
      </c>
      <c r="AR40" s="11">
        <v>-316025.61597151821</v>
      </c>
      <c r="AS40" s="38">
        <f t="shared" si="23"/>
        <v>-0.7906629984120872</v>
      </c>
      <c r="AU40" s="30">
        <v>62705.255388081976</v>
      </c>
      <c r="AV40" s="36">
        <f t="shared" si="6"/>
        <v>-5.0398585256632789</v>
      </c>
      <c r="AW40" s="38">
        <f t="shared" si="24"/>
        <v>-0.24579200792411723</v>
      </c>
      <c r="AX40" s="11">
        <v>-460580.08827783773</v>
      </c>
      <c r="AY40" s="38">
        <f t="shared" si="25"/>
        <v>-0.69581192350103838</v>
      </c>
      <c r="BA40" s="30">
        <v>63561.585377288546</v>
      </c>
      <c r="BB40" s="36">
        <f t="shared" si="7"/>
        <v>-7.2462020187811351</v>
      </c>
      <c r="BC40" s="38">
        <f t="shared" si="26"/>
        <v>-0.17460322370074211</v>
      </c>
    </row>
    <row r="41" spans="1:55" x14ac:dyDescent="0.35">
      <c r="A41" s="26">
        <v>47756</v>
      </c>
      <c r="B41" s="27">
        <f>'Benefit-Cost'!G37</f>
        <v>-67691.966238129884</v>
      </c>
      <c r="C41" s="38">
        <f t="shared" si="8"/>
        <v>0.13809879944482664</v>
      </c>
      <c r="D41" s="2"/>
      <c r="E41" s="30">
        <v>54682.945385874329</v>
      </c>
      <c r="F41" s="31">
        <f t="shared" si="0"/>
        <v>-1.2378990517145048</v>
      </c>
      <c r="G41" s="39">
        <f t="shared" si="9"/>
        <v>8.3714474370600242E-2</v>
      </c>
      <c r="H41" s="27">
        <f>'Benefit-Cost'!M37</f>
        <v>-155395.24923091941</v>
      </c>
      <c r="I41" s="38">
        <f t="shared" si="10"/>
        <v>0.10108273591162836</v>
      </c>
      <c r="J41" s="2"/>
      <c r="K41" s="30">
        <v>57641.8755038862</v>
      </c>
      <c r="L41" s="31">
        <f t="shared" si="1"/>
        <v>-2.6958742732172674</v>
      </c>
      <c r="M41" s="39">
        <f t="shared" si="11"/>
        <v>4.0260793352744358E-2</v>
      </c>
      <c r="N41" s="27">
        <f>'Benefit-Cost'!S37</f>
        <v>-484436.0144868861</v>
      </c>
      <c r="O41" s="38">
        <f t="shared" si="12"/>
        <v>7.7146103973664074E-2</v>
      </c>
      <c r="P41" s="2"/>
      <c r="Q41" s="30">
        <v>59101.644074363379</v>
      </c>
      <c r="R41" s="31">
        <f t="shared" si="2"/>
        <v>-8.1966588590556775</v>
      </c>
      <c r="S41" s="39">
        <f t="shared" si="13"/>
        <v>1.3583130925588705E-2</v>
      </c>
      <c r="T41" s="27">
        <f>'Benefit-Cost'!Y37</f>
        <v>-819324.88295742683</v>
      </c>
      <c r="U41" s="38">
        <f t="shared" si="14"/>
        <v>7.3930904868657096E-2</v>
      </c>
      <c r="V41" s="2"/>
      <c r="W41" s="30">
        <v>60431.497419653315</v>
      </c>
      <c r="X41" s="31">
        <f t="shared" si="3"/>
        <v>-13.557911320115144</v>
      </c>
      <c r="Y41" s="39">
        <f t="shared" si="15"/>
        <v>8.2412102033827834E-3</v>
      </c>
      <c r="Z41" s="27">
        <f>'Benefit-Cost'!AE37</f>
        <v>-1211528.1386730061</v>
      </c>
      <c r="AA41" s="38">
        <f t="shared" si="16"/>
        <v>7.4381102652122499E-2</v>
      </c>
      <c r="AB41" s="2"/>
      <c r="AC41" s="30">
        <v>61623.53962153582</v>
      </c>
      <c r="AD41" s="36">
        <f t="shared" si="17"/>
        <v>-19.660151723086166</v>
      </c>
      <c r="AE41" s="39">
        <f t="shared" si="18"/>
        <v>5.6925941395790085E-3</v>
      </c>
      <c r="AF41" s="11">
        <v>-78515.875127546489</v>
      </c>
      <c r="AG41" s="38">
        <f t="shared" si="19"/>
        <v>0.13372797874562398</v>
      </c>
      <c r="AI41" s="30">
        <v>57066.62424199887</v>
      </c>
      <c r="AJ41" s="36">
        <f t="shared" si="4"/>
        <v>-1.3758633206441144</v>
      </c>
      <c r="AK41" s="38">
        <f t="shared" si="20"/>
        <v>7.6159892294296691E-2</v>
      </c>
      <c r="AL41" s="11">
        <v>-170723.56861861004</v>
      </c>
      <c r="AM41" s="38">
        <f t="shared" si="21"/>
        <v>9.6863576462702272E-2</v>
      </c>
      <c r="AO41" s="30">
        <v>57979.425190320442</v>
      </c>
      <c r="AP41" s="36">
        <f t="shared" si="5"/>
        <v>-2.9445543493782691</v>
      </c>
      <c r="AQ41" s="38">
        <f t="shared" si="22"/>
        <v>3.7119935344327865E-2</v>
      </c>
      <c r="AR41" s="11">
        <v>-289653.38002407551</v>
      </c>
      <c r="AS41" s="38">
        <f t="shared" si="23"/>
        <v>8.3449678173618383E-2</v>
      </c>
      <c r="AU41" s="30">
        <v>58797.22424938003</v>
      </c>
      <c r="AV41" s="36">
        <f t="shared" si="6"/>
        <v>-4.9263104461454175</v>
      </c>
      <c r="AW41" s="38">
        <f t="shared" si="24"/>
        <v>2.2530013281060843E-2</v>
      </c>
      <c r="AX41" s="11">
        <v>-424611.35440180311</v>
      </c>
      <c r="AY41" s="38">
        <f t="shared" si="25"/>
        <v>7.8094417868835531E-2</v>
      </c>
      <c r="BA41" s="30">
        <v>59531.592615150614</v>
      </c>
      <c r="BB41" s="36">
        <f t="shared" si="7"/>
        <v>-7.1325381322612351</v>
      </c>
      <c r="BC41" s="38">
        <f t="shared" si="26"/>
        <v>1.5685994708027628E-2</v>
      </c>
    </row>
    <row r="42" spans="1:55" x14ac:dyDescent="0.35">
      <c r="A42" s="26">
        <v>47848</v>
      </c>
      <c r="B42" s="27">
        <f>'Benefit-Cost'!G38</f>
        <v>-38175.519959227415</v>
      </c>
      <c r="C42" s="38">
        <f t="shared" si="8"/>
        <v>0.43604061041849734</v>
      </c>
      <c r="D42" s="40"/>
      <c r="E42" s="30">
        <v>39818.235049798321</v>
      </c>
      <c r="F42" s="31">
        <f t="shared" si="0"/>
        <v>-0.95874465333492409</v>
      </c>
      <c r="G42" s="39">
        <f t="shared" si="9"/>
        <v>0.22550659360547093</v>
      </c>
      <c r="H42" s="27">
        <f>'Benefit-Cost'!M38</f>
        <v>-99040.693629903253</v>
      </c>
      <c r="I42" s="38">
        <f t="shared" si="10"/>
        <v>0.36265301468304567</v>
      </c>
      <c r="K42" s="30">
        <v>41347.391732941134</v>
      </c>
      <c r="L42" s="31">
        <f t="shared" si="1"/>
        <v>-2.3953311074516539</v>
      </c>
      <c r="M42" s="39">
        <f t="shared" si="11"/>
        <v>0.11148263431697207</v>
      </c>
      <c r="N42" s="27">
        <f>'Benefit-Cost'!S38</f>
        <v>-325566.82929150038</v>
      </c>
      <c r="O42" s="38">
        <f t="shared" si="12"/>
        <v>0.32794668530922438</v>
      </c>
      <c r="Q42" s="30">
        <v>41779.375077468489</v>
      </c>
      <c r="R42" s="31">
        <f t="shared" si="2"/>
        <v>-7.7925251080904214</v>
      </c>
      <c r="S42" s="39">
        <f t="shared" si="13"/>
        <v>4.9304693279843978E-2</v>
      </c>
      <c r="T42" s="27">
        <f>'Benefit-Cost'!Y38</f>
        <v>-548680.77827491798</v>
      </c>
      <c r="U42" s="38">
        <f t="shared" si="14"/>
        <v>0.3303257478347229</v>
      </c>
      <c r="W42" s="30">
        <v>42037.094248074332</v>
      </c>
      <c r="X42" s="31">
        <f t="shared" si="3"/>
        <v>-13.052300309744943</v>
      </c>
      <c r="Y42" s="39">
        <f t="shared" si="15"/>
        <v>3.7292691951750181E-2</v>
      </c>
      <c r="Z42" s="27">
        <f>'Benefit-Cost'!AE38</f>
        <v>-802776.91133941058</v>
      </c>
      <c r="AA42" s="38">
        <f t="shared" si="16"/>
        <v>0.33738484009236724</v>
      </c>
      <c r="AC42" s="30">
        <v>42110.530056539414</v>
      </c>
      <c r="AD42" s="36">
        <f t="shared" si="17"/>
        <v>-19.063567004774523</v>
      </c>
      <c r="AE42" s="39">
        <f t="shared" si="18"/>
        <v>3.0344868478868164E-2</v>
      </c>
      <c r="AF42" s="11">
        <v>-45321.075326713501</v>
      </c>
      <c r="AG42" s="38">
        <f t="shared" si="19"/>
        <v>0.42277819290569091</v>
      </c>
      <c r="AI42" s="30">
        <v>41127.430252687627</v>
      </c>
      <c r="AJ42" s="36">
        <f t="shared" si="4"/>
        <v>-1.1019671068253001</v>
      </c>
      <c r="AK42" s="38">
        <f t="shared" si="20"/>
        <v>0.19907225500465339</v>
      </c>
      <c r="AL42" s="11">
        <v>-107759.74419339071</v>
      </c>
      <c r="AM42" s="38">
        <f t="shared" si="21"/>
        <v>0.36880569528087898</v>
      </c>
      <c r="AO42" s="30">
        <v>41423.808785348476</v>
      </c>
      <c r="AP42" s="36">
        <f t="shared" si="5"/>
        <v>-2.6013963310757928</v>
      </c>
      <c r="AQ42" s="38">
        <f t="shared" si="22"/>
        <v>0.11653988263960308</v>
      </c>
      <c r="AR42" s="11">
        <v>-188138.77390594245</v>
      </c>
      <c r="AS42" s="38">
        <f t="shared" si="23"/>
        <v>0.3504692612587339</v>
      </c>
      <c r="AU42" s="30">
        <v>41654.159862120105</v>
      </c>
      <c r="AV42" s="36">
        <f t="shared" si="6"/>
        <v>-4.5166863172538516</v>
      </c>
      <c r="AW42" s="38">
        <f t="shared" si="24"/>
        <v>8.3150287293013672E-2</v>
      </c>
      <c r="AX42" s="11">
        <v>-278413.21638718015</v>
      </c>
      <c r="AY42" s="38">
        <f t="shared" si="25"/>
        <v>0.34431047709637541</v>
      </c>
      <c r="BA42" s="30">
        <v>41816.949240865455</v>
      </c>
      <c r="BB42" s="36">
        <f t="shared" si="7"/>
        <v>-6.6579035879332364</v>
      </c>
      <c r="BC42" s="38">
        <f t="shared" si="26"/>
        <v>6.6544971162674299E-2</v>
      </c>
    </row>
    <row r="43" spans="1:55" x14ac:dyDescent="0.35">
      <c r="A43" s="26">
        <v>47938</v>
      </c>
      <c r="B43" s="27">
        <f>'Benefit-Cost'!G39</f>
        <v>-24852.446507658809</v>
      </c>
      <c r="C43" s="38">
        <f t="shared" si="8"/>
        <v>0.34899520598011613</v>
      </c>
      <c r="D43" s="40"/>
      <c r="E43" s="30">
        <v>40800.220579450142</v>
      </c>
      <c r="F43" s="31">
        <f t="shared" si="0"/>
        <v>-0.609125297723911</v>
      </c>
      <c r="G43" s="39">
        <f t="shared" si="9"/>
        <v>0.3646636822379008</v>
      </c>
      <c r="H43" s="27">
        <f>'Benefit-Cost'!M39</f>
        <v>-83389.644253947772</v>
      </c>
      <c r="I43" s="38">
        <f t="shared" si="10"/>
        <v>0.15802645157596085</v>
      </c>
      <c r="J43" s="42"/>
      <c r="K43" s="30">
        <v>42919.221564318424</v>
      </c>
      <c r="L43" s="31">
        <f t="shared" si="1"/>
        <v>-1.9429440053795168</v>
      </c>
      <c r="M43" s="39">
        <f t="shared" si="11"/>
        <v>0.18886203275396982</v>
      </c>
      <c r="N43" s="27">
        <f>'Benefit-Cost'!S39</f>
        <v>-320090.61915617017</v>
      </c>
      <c r="O43" s="38">
        <f t="shared" si="12"/>
        <v>1.6820540800325266E-2</v>
      </c>
      <c r="P43" s="42"/>
      <c r="Q43" s="30">
        <v>43741.151240059888</v>
      </c>
      <c r="R43" s="31">
        <f t="shared" si="2"/>
        <v>-7.3178370957694057</v>
      </c>
      <c r="S43" s="39">
        <f t="shared" si="13"/>
        <v>6.0915814288256979E-2</v>
      </c>
      <c r="T43" s="27">
        <f>'Benefit-Cost'!Y39</f>
        <v>-557828.46624502027</v>
      </c>
      <c r="U43" s="38">
        <f t="shared" si="14"/>
        <v>-1.6672149512623941E-2</v>
      </c>
      <c r="V43" s="42"/>
      <c r="W43" s="30">
        <v>44415.709955298866</v>
      </c>
      <c r="X43" s="31">
        <f t="shared" si="3"/>
        <v>-12.559260378961261</v>
      </c>
      <c r="Y43" s="39">
        <f t="shared" si="15"/>
        <v>3.777417919319366E-2</v>
      </c>
      <c r="Z43" s="27">
        <f>'Benefit-Cost'!AE39</f>
        <v>-834533.20776053891</v>
      </c>
      <c r="AA43" s="38">
        <f t="shared" si="16"/>
        <v>-3.9558058998164065E-2</v>
      </c>
      <c r="AB43" s="42"/>
      <c r="AC43" s="30">
        <v>44989.847864406132</v>
      </c>
      <c r="AD43" s="36">
        <f t="shared" si="17"/>
        <v>-18.549367187809111</v>
      </c>
      <c r="AE43" s="39">
        <f t="shared" si="18"/>
        <v>2.6972906845640666E-2</v>
      </c>
      <c r="AF43" s="11">
        <v>-28396.863631247077</v>
      </c>
      <c r="AG43" s="38">
        <f t="shared" si="19"/>
        <v>0.37342917336938874</v>
      </c>
      <c r="AI43" s="30">
        <v>42550.837257182138</v>
      </c>
      <c r="AJ43" s="36">
        <f t="shared" si="4"/>
        <v>-0.66736321684137911</v>
      </c>
      <c r="AK43" s="38">
        <f t="shared" si="20"/>
        <v>0.39438916760046333</v>
      </c>
      <c r="AL43" s="11">
        <v>-92664.643517016899</v>
      </c>
      <c r="AM43" s="38">
        <f t="shared" si="21"/>
        <v>0.14008107377541129</v>
      </c>
      <c r="AO43" s="30">
        <v>43064.87533340574</v>
      </c>
      <c r="AP43" s="36">
        <f t="shared" si="5"/>
        <v>-2.1517453098287795</v>
      </c>
      <c r="AQ43" s="38">
        <f t="shared" si="22"/>
        <v>0.17284987138467386</v>
      </c>
      <c r="AR43" s="11">
        <v>-176146.38589824131</v>
      </c>
      <c r="AS43" s="38">
        <f t="shared" si="23"/>
        <v>6.3742245996014524E-2</v>
      </c>
      <c r="AU43" s="30">
        <v>43491.79088599133</v>
      </c>
      <c r="AV43" s="36">
        <f t="shared" si="6"/>
        <v>-4.0501065214809975</v>
      </c>
      <c r="AW43" s="38">
        <f t="shared" si="24"/>
        <v>0.10330135037062635</v>
      </c>
      <c r="AX43" s="11">
        <v>-270958.57759672357</v>
      </c>
      <c r="AY43" s="38">
        <f t="shared" si="25"/>
        <v>2.6775448691665756E-2</v>
      </c>
      <c r="BA43" s="30">
        <v>43885.480813689355</v>
      </c>
      <c r="BB43" s="36">
        <f t="shared" si="7"/>
        <v>-6.1742191853165815</v>
      </c>
      <c r="BC43" s="38">
        <f t="shared" si="26"/>
        <v>7.2648153615994526E-2</v>
      </c>
    </row>
    <row r="44" spans="1:55" x14ac:dyDescent="0.35">
      <c r="A44" s="26">
        <v>48029</v>
      </c>
      <c r="B44" s="27">
        <f>'Benefit-Cost'!G40</f>
        <v>-78171.664679087466</v>
      </c>
      <c r="C44" s="38">
        <f t="shared" si="8"/>
        <v>-2.1454313624615269</v>
      </c>
      <c r="D44" s="40"/>
      <c r="E44" s="30">
        <v>57842.668471708123</v>
      </c>
      <c r="F44" s="31">
        <f t="shared" si="0"/>
        <v>-1.3514532912208679</v>
      </c>
      <c r="G44" s="39">
        <f t="shared" si="9"/>
        <v>-1.2186786466935093</v>
      </c>
      <c r="H44" s="27">
        <f>'Benefit-Cost'!M40</f>
        <v>-172630.88299126318</v>
      </c>
      <c r="I44" s="38">
        <f t="shared" si="10"/>
        <v>-1.0701717165928624</v>
      </c>
      <c r="K44" s="30">
        <v>61447.198887902312</v>
      </c>
      <c r="L44" s="31">
        <f t="shared" si="1"/>
        <v>-2.8094182666681435</v>
      </c>
      <c r="M44" s="39">
        <f t="shared" si="11"/>
        <v>-0.44595946094667693</v>
      </c>
      <c r="N44" s="27">
        <f>'Benefit-Cost'!S40</f>
        <v>-524132.0141882631</v>
      </c>
      <c r="O44" s="38">
        <f t="shared" si="12"/>
        <v>-0.63744884361182241</v>
      </c>
      <c r="Q44" s="30">
        <v>63073.083147365338</v>
      </c>
      <c r="R44" s="31">
        <f t="shared" si="2"/>
        <v>-8.309915863216478</v>
      </c>
      <c r="S44" s="39">
        <f t="shared" si="13"/>
        <v>-0.13556994429687616</v>
      </c>
      <c r="T44" s="27">
        <f>'Benefit-Cost'!Y40</f>
        <v>-883272.94789505145</v>
      </c>
      <c r="U44" s="38">
        <f t="shared" si="14"/>
        <v>-0.58341318405770115</v>
      </c>
      <c r="W44" s="30">
        <v>64609.728684103226</v>
      </c>
      <c r="X44" s="31">
        <f t="shared" si="3"/>
        <v>-13.670897028737633</v>
      </c>
      <c r="Y44" s="39">
        <f t="shared" si="15"/>
        <v>-8.8511314857245782E-2</v>
      </c>
      <c r="Z44" s="27">
        <f>'Benefit-Cost'!AE40</f>
        <v>-1306532.6055424963</v>
      </c>
      <c r="AA44" s="38">
        <f t="shared" si="16"/>
        <v>-0.56558492027964091</v>
      </c>
      <c r="AC44" s="30">
        <v>66076.719566715299</v>
      </c>
      <c r="AD44" s="36">
        <f t="shared" si="17"/>
        <v>-19.772964125789223</v>
      </c>
      <c r="AE44" s="39">
        <f t="shared" si="18"/>
        <v>-6.5964349381378143E-2</v>
      </c>
      <c r="AF44" s="11">
        <v>-90532.58983545145</v>
      </c>
      <c r="AG44" s="38">
        <f t="shared" si="19"/>
        <v>-2.1881193293414292</v>
      </c>
      <c r="AI44" s="30">
        <v>60768.188991006362</v>
      </c>
      <c r="AJ44" s="36">
        <f t="shared" si="4"/>
        <v>-1.4898023347190781</v>
      </c>
      <c r="AK44" s="38">
        <f t="shared" si="20"/>
        <v>-1.2323710643962249</v>
      </c>
      <c r="AL44" s="11">
        <v>-188773.30166262947</v>
      </c>
      <c r="AM44" s="38">
        <f t="shared" si="21"/>
        <v>-1.0371664369265416</v>
      </c>
      <c r="AO44" s="30">
        <v>61719.053084140054</v>
      </c>
      <c r="AP44" s="36">
        <f t="shared" si="5"/>
        <v>-3.0585903741147731</v>
      </c>
      <c r="AQ44" s="38">
        <f t="shared" si="22"/>
        <v>-0.42144628369523612</v>
      </c>
      <c r="AR44" s="11">
        <v>-315562.80567292916</v>
      </c>
      <c r="AS44" s="38">
        <f t="shared" si="23"/>
        <v>-0.79148044431197051</v>
      </c>
      <c r="AU44" s="30">
        <v>62606.803256689935</v>
      </c>
      <c r="AV44" s="36">
        <f t="shared" si="6"/>
        <v>-5.0403916069490302</v>
      </c>
      <c r="AW44" s="38">
        <f t="shared" si="24"/>
        <v>-0.24450840495570877</v>
      </c>
      <c r="AX44" s="11">
        <v>-459871.32292042021</v>
      </c>
      <c r="AY44" s="38">
        <f t="shared" si="25"/>
        <v>-0.69720156859127602</v>
      </c>
      <c r="BA44" s="30">
        <v>63458.972277975656</v>
      </c>
      <c r="BB44" s="36">
        <f t="shared" si="7"/>
        <v>-7.2467502452765871</v>
      </c>
      <c r="BC44" s="38">
        <f t="shared" si="26"/>
        <v>-0.17371120586562264</v>
      </c>
    </row>
    <row r="45" spans="1:55" x14ac:dyDescent="0.35">
      <c r="A45" s="26">
        <v>48121</v>
      </c>
      <c r="B45" s="27">
        <f>'Benefit-Cost'!G41</f>
        <v>-67379.709231992252</v>
      </c>
      <c r="C45" s="38">
        <f t="shared" si="8"/>
        <v>0.13805456863939963</v>
      </c>
      <c r="D45" s="40"/>
      <c r="E45" s="43">
        <v>54409.530658944735</v>
      </c>
      <c r="F45" s="31">
        <f t="shared" si="0"/>
        <v>-1.2383806369209189</v>
      </c>
      <c r="G45" s="39">
        <f t="shared" si="9"/>
        <v>8.3667452685547164E-2</v>
      </c>
      <c r="H45" s="27">
        <f>'Benefit-Cost'!M41</f>
        <v>-154987.44975620881</v>
      </c>
      <c r="I45" s="38">
        <f t="shared" si="10"/>
        <v>0.10220322649886059</v>
      </c>
      <c r="J45" s="2"/>
      <c r="K45" s="30">
        <v>57480.612644496592</v>
      </c>
      <c r="L45" s="31">
        <f t="shared" si="1"/>
        <v>-2.696343038560983</v>
      </c>
      <c r="M45" s="39">
        <f t="shared" si="11"/>
        <v>4.024862707298589E-2</v>
      </c>
      <c r="N45" s="27">
        <f>'Benefit-Cost'!S41</f>
        <v>-482695.69610285107</v>
      </c>
      <c r="O45" s="38">
        <f t="shared" si="12"/>
        <v>7.9057025641880579E-2</v>
      </c>
      <c r="P45" s="2"/>
      <c r="Q45" s="30">
        <v>58886.392426975042</v>
      </c>
      <c r="R45" s="31">
        <f t="shared" si="2"/>
        <v>-8.1970668639863025</v>
      </c>
      <c r="S45" s="39">
        <f t="shared" si="13"/>
        <v>1.3580041132509811E-2</v>
      </c>
      <c r="T45" s="27">
        <f>'Benefit-Cost'!Y41</f>
        <v>-815686.90971823595</v>
      </c>
      <c r="U45" s="38">
        <f t="shared" si="14"/>
        <v>7.6517726867874045E-2</v>
      </c>
      <c r="V45" s="2"/>
      <c r="W45" s="30">
        <v>60161.717400227848</v>
      </c>
      <c r="X45" s="31">
        <f t="shared" si="3"/>
        <v>-13.558238444089808</v>
      </c>
      <c r="Y45" s="39">
        <f t="shared" si="15"/>
        <v>8.2407602376789926E-3</v>
      </c>
      <c r="Z45" s="27">
        <f>'Benefit-Cost'!AE41</f>
        <v>-1205304.1989317173</v>
      </c>
      <c r="AA45" s="38">
        <f t="shared" si="16"/>
        <v>7.7478668485848542E-2</v>
      </c>
      <c r="AB45" s="2"/>
      <c r="AC45" s="30">
        <v>61306.028337422249</v>
      </c>
      <c r="AD45" s="36">
        <f t="shared" si="17"/>
        <v>-19.660451535008001</v>
      </c>
      <c r="AE45" s="39">
        <f t="shared" si="18"/>
        <v>5.6902237856425097E-3</v>
      </c>
      <c r="AF45" s="11">
        <v>-78353.178836783394</v>
      </c>
      <c r="AG45" s="38">
        <f t="shared" si="19"/>
        <v>0.13453068139114197</v>
      </c>
      <c r="AI45" s="30">
        <v>56927.338953173989</v>
      </c>
      <c r="AJ45" s="36">
        <f t="shared" si="4"/>
        <v>-1.3763717095793533</v>
      </c>
      <c r="AK45" s="38">
        <f t="shared" si="20"/>
        <v>7.6138036903475273E-2</v>
      </c>
      <c r="AL45" s="11">
        <v>-170257.23921590066</v>
      </c>
      <c r="AM45" s="38">
        <f t="shared" si="21"/>
        <v>9.8086235096000063E-2</v>
      </c>
      <c r="AO45" s="30">
        <v>57811.343080767459</v>
      </c>
      <c r="AP45" s="36">
        <f t="shared" si="5"/>
        <v>-2.9450490188065088</v>
      </c>
      <c r="AQ45" s="38">
        <f t="shared" si="22"/>
        <v>3.7122118826103272E-2</v>
      </c>
      <c r="AR45" s="11">
        <v>-288690.39732091594</v>
      </c>
      <c r="AS45" s="38">
        <f t="shared" si="23"/>
        <v>8.5157084006489692E-2</v>
      </c>
      <c r="AU45" s="30">
        <v>58596.049100037671</v>
      </c>
      <c r="AV45" s="36">
        <f t="shared" si="6"/>
        <v>-4.9267894637068688</v>
      </c>
      <c r="AW45" s="38">
        <f t="shared" si="24"/>
        <v>2.2538356560538219E-2</v>
      </c>
      <c r="AX45" s="11">
        <v>-423022.18830241449</v>
      </c>
      <c r="AY45" s="38">
        <f t="shared" si="25"/>
        <v>8.0129229159136728E-2</v>
      </c>
      <c r="BA45" s="30">
        <v>59304.824943327651</v>
      </c>
      <c r="BB45" s="36">
        <f t="shared" si="7"/>
        <v>-7.1330147033847444</v>
      </c>
      <c r="BC45" s="38">
        <f t="shared" si="26"/>
        <v>1.5694695972994954E-2</v>
      </c>
    </row>
    <row r="46" spans="1:55" x14ac:dyDescent="0.35">
      <c r="A46" s="26">
        <v>48213</v>
      </c>
      <c r="B46" s="27">
        <f>'Benefit-Cost'!G42</f>
        <v>-37551.605468470603</v>
      </c>
      <c r="C46" s="38">
        <f t="shared" si="8"/>
        <v>0.4426867391312384</v>
      </c>
      <c r="D46" s="40"/>
      <c r="E46" s="30">
        <v>39619.143874549169</v>
      </c>
      <c r="F46" s="31">
        <f t="shared" si="0"/>
        <v>-0.94781466220912647</v>
      </c>
      <c r="G46" s="39">
        <f t="shared" si="9"/>
        <v>0.23463381617000165</v>
      </c>
      <c r="H46" s="27">
        <f>'Benefit-Cost'!M42</f>
        <v>-96977.476790589746</v>
      </c>
      <c r="I46" s="38">
        <f t="shared" si="10"/>
        <v>0.37428819595952595</v>
      </c>
      <c r="K46" s="30">
        <v>41202.906562033844</v>
      </c>
      <c r="L46" s="31">
        <f t="shared" si="1"/>
        <v>-2.3536562073499208</v>
      </c>
      <c r="M46" s="39">
        <f t="shared" si="11"/>
        <v>0.12709318744322365</v>
      </c>
      <c r="N46" s="27">
        <f>'Benefit-Cost'!S42</f>
        <v>-320823.57087168889</v>
      </c>
      <c r="O46" s="38">
        <f t="shared" si="12"/>
        <v>0.33535025594400791</v>
      </c>
      <c r="Q46" s="30">
        <v>41618.223794452628</v>
      </c>
      <c r="R46" s="31">
        <f t="shared" si="2"/>
        <v>-7.7087280912370915</v>
      </c>
      <c r="S46" s="39">
        <f t="shared" si="13"/>
        <v>5.9574818755562496E-2</v>
      </c>
      <c r="T46" s="27">
        <f>'Benefit-Cost'!Y42</f>
        <v>-541727.92837210489</v>
      </c>
      <c r="U46" s="38">
        <f t="shared" si="14"/>
        <v>0.3358629126962025</v>
      </c>
      <c r="W46" s="30">
        <v>41858.126986260999</v>
      </c>
      <c r="X46" s="31">
        <f t="shared" si="3"/>
        <v>-12.942001168612132</v>
      </c>
      <c r="Y46" s="39">
        <f t="shared" si="15"/>
        <v>4.5451131282198465E-2</v>
      </c>
      <c r="Z46" s="27">
        <f>'Benefit-Cost'!AE42</f>
        <v>-791324.39628444472</v>
      </c>
      <c r="AA46" s="38">
        <f t="shared" si="16"/>
        <v>0.3434649966491366</v>
      </c>
      <c r="AC46" s="30">
        <v>41920.239287578981</v>
      </c>
      <c r="AD46" s="36">
        <f t="shared" si="17"/>
        <v>-18.876905517066433</v>
      </c>
      <c r="AE46" s="39">
        <f t="shared" si="18"/>
        <v>3.9853917726475493E-2</v>
      </c>
      <c r="AF46" s="11">
        <v>-44139.460844232235</v>
      </c>
      <c r="AG46" s="38">
        <f t="shared" si="19"/>
        <v>0.43666024149219729</v>
      </c>
      <c r="AI46" s="30">
        <v>40988.258325506227</v>
      </c>
      <c r="AJ46" s="36">
        <f t="shared" si="4"/>
        <v>-1.0768806152654959</v>
      </c>
      <c r="AK46" s="38">
        <f t="shared" si="20"/>
        <v>0.21759463103567264</v>
      </c>
      <c r="AL46" s="11">
        <v>-105478.80767415836</v>
      </c>
      <c r="AM46" s="38">
        <f t="shared" si="21"/>
        <v>0.38047387494400597</v>
      </c>
      <c r="AO46" s="30">
        <v>41274.238158124834</v>
      </c>
      <c r="AP46" s="36">
        <f t="shared" si="5"/>
        <v>-2.5555603781240204</v>
      </c>
      <c r="AQ46" s="38">
        <f t="shared" si="22"/>
        <v>0.13225200606009949</v>
      </c>
      <c r="AR46" s="11">
        <v>-184678.38985164184</v>
      </c>
      <c r="AS46" s="38">
        <f t="shared" si="23"/>
        <v>0.36028911399381108</v>
      </c>
      <c r="AU46" s="30">
        <v>41498.379576097985</v>
      </c>
      <c r="AV46" s="36">
        <f t="shared" si="6"/>
        <v>-4.4502554494443904</v>
      </c>
      <c r="AW46" s="38">
        <f t="shared" si="24"/>
        <v>9.6723031859359931E-2</v>
      </c>
      <c r="AX46" s="11">
        <v>-273741.94611901673</v>
      </c>
      <c r="AY46" s="38">
        <f t="shared" si="25"/>
        <v>0.35288986325388383</v>
      </c>
      <c r="BA46" s="30">
        <v>41653.259634593473</v>
      </c>
      <c r="BB46" s="36">
        <f t="shared" si="7"/>
        <v>-6.5719213459028101</v>
      </c>
      <c r="BC46" s="38">
        <f t="shared" si="26"/>
        <v>7.8661460941007927E-2</v>
      </c>
    </row>
    <row r="47" spans="1:55" x14ac:dyDescent="0.35">
      <c r="A47" s="26">
        <v>48304</v>
      </c>
      <c r="B47" s="27">
        <f>'Benefit-Cost'!G43</f>
        <v>-12798.130933877546</v>
      </c>
      <c r="C47" s="38">
        <f t="shared" si="8"/>
        <v>0.65918551885555943</v>
      </c>
      <c r="D47" s="40"/>
      <c r="E47" s="30">
        <v>41114.214611641815</v>
      </c>
      <c r="F47" s="31">
        <f t="shared" si="0"/>
        <v>-0.31128238870100305</v>
      </c>
      <c r="G47" s="39">
        <f t="shared" si="9"/>
        <v>0.67157884224382092</v>
      </c>
      <c r="H47" s="27">
        <f>'Benefit-Cost'!M43</f>
        <v>-70265.912626697216</v>
      </c>
      <c r="I47" s="38">
        <f t="shared" si="10"/>
        <v>0.27544090698062479</v>
      </c>
      <c r="J47" s="36"/>
      <c r="K47" s="30">
        <v>43348.502187808044</v>
      </c>
      <c r="L47" s="31">
        <f t="shared" si="1"/>
        <v>-1.6209536450018291</v>
      </c>
      <c r="M47" s="39">
        <f t="shared" si="11"/>
        <v>0.31130398741329851</v>
      </c>
      <c r="N47" s="27">
        <f>'Benefit-Cost'!S43</f>
        <v>-306908.7901764866</v>
      </c>
      <c r="O47" s="38">
        <f t="shared" si="12"/>
        <v>4.3372064768792851E-2</v>
      </c>
      <c r="P47" s="36"/>
      <c r="Q47" s="30">
        <v>44161.867197589789</v>
      </c>
      <c r="R47" s="31">
        <f t="shared" si="2"/>
        <v>-6.9496334655260386</v>
      </c>
      <c r="S47" s="39">
        <f t="shared" si="13"/>
        <v>9.8472097695851399E-2</v>
      </c>
      <c r="T47" s="27">
        <f>'Benefit-Cost'!Y43</f>
        <v>-544405.40998621425</v>
      </c>
      <c r="U47" s="38">
        <f t="shared" si="14"/>
        <v>-4.9424839922047352E-3</v>
      </c>
      <c r="V47" s="36"/>
      <c r="W47" s="30">
        <v>44823.455530815059</v>
      </c>
      <c r="X47" s="31">
        <f t="shared" si="3"/>
        <v>-12.145547538429929</v>
      </c>
      <c r="Y47" s="39">
        <f t="shared" si="15"/>
        <v>6.1540222397276502E-2</v>
      </c>
      <c r="Z47" s="27">
        <f>'Benefit-Cost'!AE43</f>
        <v>-820709.00181613304</v>
      </c>
      <c r="AA47" s="38">
        <f t="shared" si="16"/>
        <v>-3.7133450794212465E-2</v>
      </c>
      <c r="AB47" s="36"/>
      <c r="AC47" s="30">
        <v>45375.378415284664</v>
      </c>
      <c r="AD47" s="36">
        <f t="shared" si="17"/>
        <v>-18.087099887186348</v>
      </c>
      <c r="AE47" s="39">
        <f t="shared" si="18"/>
        <v>4.1839782964746497E-2</v>
      </c>
      <c r="AF47" s="11">
        <v>-15445.315630510449</v>
      </c>
      <c r="AG47" s="38">
        <f t="shared" si="19"/>
        <v>0.65007919591458463</v>
      </c>
      <c r="AI47" s="30">
        <v>42991.234723505484</v>
      </c>
      <c r="AJ47" s="36">
        <f t="shared" si="4"/>
        <v>-0.3592666209715934</v>
      </c>
      <c r="AK47" s="38">
        <f t="shared" si="20"/>
        <v>0.66638212641331729</v>
      </c>
      <c r="AL47" s="11">
        <v>-79367.865291993599</v>
      </c>
      <c r="AM47" s="38">
        <f t="shared" si="21"/>
        <v>0.24754681018793673</v>
      </c>
      <c r="AO47" s="30">
        <v>43500.906593339285</v>
      </c>
      <c r="AP47" s="36">
        <f t="shared" si="5"/>
        <v>-1.824510602364001</v>
      </c>
      <c r="AQ47" s="38">
        <f t="shared" si="22"/>
        <v>0.28606241590608267</v>
      </c>
      <c r="AR47" s="11">
        <v>-162623.20661277603</v>
      </c>
      <c r="AS47" s="38">
        <f t="shared" si="23"/>
        <v>0.11942481877053104</v>
      </c>
      <c r="AU47" s="30">
        <v>43932.358587138675</v>
      </c>
      <c r="AV47" s="36">
        <f t="shared" si="6"/>
        <v>-3.7016725676181759</v>
      </c>
      <c r="AW47" s="38">
        <f t="shared" si="24"/>
        <v>0.16821121626168095</v>
      </c>
      <c r="AX47" s="11">
        <v>-257109.28869797383</v>
      </c>
      <c r="AY47" s="38">
        <f t="shared" si="25"/>
        <v>6.0760353525840027E-2</v>
      </c>
      <c r="BA47" s="30">
        <v>44306.30888118541</v>
      </c>
      <c r="BB47" s="36">
        <f t="shared" si="7"/>
        <v>-5.8029949953053928</v>
      </c>
      <c r="BC47" s="38">
        <f t="shared" si="26"/>
        <v>0.11700175795268697</v>
      </c>
    </row>
    <row r="48" spans="1:55" x14ac:dyDescent="0.35">
      <c r="A48" s="44">
        <v>48395</v>
      </c>
      <c r="B48" s="27">
        <f>'Benefit-Cost'!G44</f>
        <v>-66646.127652433235</v>
      </c>
      <c r="C48" s="38">
        <f t="shared" si="8"/>
        <v>-4.2074891245264796</v>
      </c>
      <c r="D48" s="40"/>
      <c r="E48" s="30">
        <v>57553.455129349619</v>
      </c>
      <c r="F48" s="31">
        <f t="shared" si="0"/>
        <v>-1.1579865622775924</v>
      </c>
      <c r="G48" s="39">
        <f t="shared" si="9"/>
        <v>-2.7200516454205079</v>
      </c>
      <c r="H48" s="27">
        <f>'Benefit-Cost'!M44</f>
        <v>-159950.56474547787</v>
      </c>
      <c r="I48" s="38">
        <f t="shared" si="10"/>
        <v>-1.276360738317734</v>
      </c>
      <c r="K48" s="30">
        <v>61330.771956938435</v>
      </c>
      <c r="L48" s="31">
        <f t="shared" si="1"/>
        <v>-2.6079985567079178</v>
      </c>
      <c r="M48" s="39">
        <f t="shared" si="11"/>
        <v>-0.60892852472963521</v>
      </c>
      <c r="N48" s="27">
        <f>'Benefit-Cost'!S44</f>
        <v>-508405.2715396476</v>
      </c>
      <c r="O48" s="38">
        <f t="shared" si="12"/>
        <v>-0.65653538710081027</v>
      </c>
      <c r="Q48" s="30">
        <v>62924.85900353764</v>
      </c>
      <c r="R48" s="31">
        <f t="shared" si="2"/>
        <v>-8.0795615531067781</v>
      </c>
      <c r="S48" s="39">
        <f t="shared" si="13"/>
        <v>-0.16258815564673984</v>
      </c>
      <c r="T48" s="27">
        <f>'Benefit-Cost'!Y44</f>
        <v>-864222.37213086151</v>
      </c>
      <c r="U48" s="38">
        <f t="shared" si="14"/>
        <v>-0.58746102863442495</v>
      </c>
      <c r="W48" s="30">
        <v>64434.851133872362</v>
      </c>
      <c r="X48" s="31">
        <f t="shared" si="3"/>
        <v>-13.412343738256171</v>
      </c>
      <c r="Y48" s="39">
        <f t="shared" si="15"/>
        <v>-0.10430128372705727</v>
      </c>
      <c r="Z48" s="27">
        <f>'Benefit-Cost'!AE44</f>
        <v>-1283361.9482521461</v>
      </c>
      <c r="AA48" s="38">
        <f t="shared" si="16"/>
        <v>-0.56372349445688574</v>
      </c>
      <c r="AC48" s="30">
        <v>65872.930505714816</v>
      </c>
      <c r="AD48" s="36">
        <f t="shared" si="17"/>
        <v>-19.482387353949704</v>
      </c>
      <c r="AE48" s="39">
        <f t="shared" si="18"/>
        <v>-7.7142685973213221E-2</v>
      </c>
      <c r="AF48" s="11">
        <v>-78586.33583702147</v>
      </c>
      <c r="AG48" s="38">
        <f t="shared" si="19"/>
        <v>-4.0880368985003566</v>
      </c>
      <c r="AI48" s="30">
        <v>60664.436782334538</v>
      </c>
      <c r="AJ48" s="36">
        <f t="shared" si="4"/>
        <v>-1.2954267772894874</v>
      </c>
      <c r="AK48" s="38">
        <f t="shared" si="20"/>
        <v>-2.6057532252402447</v>
      </c>
      <c r="AL48" s="11">
        <v>-175903.54163257452</v>
      </c>
      <c r="AM48" s="38">
        <f t="shared" si="21"/>
        <v>-1.2163068262630865</v>
      </c>
      <c r="AO48" s="30">
        <v>61593.95060146894</v>
      </c>
      <c r="AP48" s="36">
        <f t="shared" si="5"/>
        <v>-2.8558574326677371</v>
      </c>
      <c r="AQ48" s="38">
        <f t="shared" si="22"/>
        <v>-0.56527313624126374</v>
      </c>
      <c r="AR48" s="11">
        <v>-301541.12158945622</v>
      </c>
      <c r="AS48" s="38">
        <f t="shared" si="23"/>
        <v>-0.85423180289058753</v>
      </c>
      <c r="AU48" s="30">
        <v>62467.568089407097</v>
      </c>
      <c r="AV48" s="36">
        <f t="shared" si="6"/>
        <v>-4.8271628112346807</v>
      </c>
      <c r="AW48" s="38">
        <f t="shared" si="24"/>
        <v>-0.30404910835771093</v>
      </c>
      <c r="AX48" s="11">
        <v>-444495.49477973906</v>
      </c>
      <c r="AY48" s="38">
        <f t="shared" si="25"/>
        <v>-0.72881927771146271</v>
      </c>
      <c r="BA48" s="30">
        <v>63301.378509199858</v>
      </c>
      <c r="BB48" s="36">
        <f t="shared" si="7"/>
        <v>-7.0218928125734044</v>
      </c>
      <c r="BC48" s="38">
        <f t="shared" si="26"/>
        <v>-0.21004633267030157</v>
      </c>
    </row>
    <row r="49" spans="1:55" x14ac:dyDescent="0.35">
      <c r="A49" s="44">
        <v>48487</v>
      </c>
      <c r="B49" s="27">
        <f>'Benefit-Cost'!G45</f>
        <v>-55757.813778586686</v>
      </c>
      <c r="C49" s="38">
        <f t="shared" si="8"/>
        <v>0.1633750415422526</v>
      </c>
      <c r="D49" s="40"/>
      <c r="E49" s="45">
        <v>54137.483005650036</v>
      </c>
      <c r="F49" s="31">
        <f t="shared" si="0"/>
        <v>-1.0299299243883862</v>
      </c>
      <c r="G49" s="39">
        <f t="shared" si="9"/>
        <v>0.11058559922952592</v>
      </c>
      <c r="H49" s="27">
        <f>'Benefit-Cost'!M45</f>
        <v>-142211.45940129412</v>
      </c>
      <c r="I49" s="38">
        <f t="shared" si="10"/>
        <v>0.11090367434720336</v>
      </c>
      <c r="J49" s="46"/>
      <c r="K49" s="45">
        <v>57346.283300250063</v>
      </c>
      <c r="L49" s="31">
        <f t="shared" si="1"/>
        <v>-2.4798722989023072</v>
      </c>
      <c r="M49" s="39">
        <f t="shared" si="11"/>
        <v>4.9128193524518145E-2</v>
      </c>
      <c r="N49" s="27">
        <f>'Benefit-Cost'!S45</f>
        <v>-466928.66868541716</v>
      </c>
      <c r="O49" s="38">
        <f t="shared" si="12"/>
        <v>8.1581771818815457E-2</v>
      </c>
      <c r="P49" s="46"/>
      <c r="Q49" s="45">
        <v>58721.766814038026</v>
      </c>
      <c r="R49" s="31">
        <f t="shared" si="2"/>
        <v>-7.9515432525063803</v>
      </c>
      <c r="S49" s="39">
        <f t="shared" si="13"/>
        <v>1.5844708869279162E-2</v>
      </c>
      <c r="T49" s="27">
        <f>'Benefit-Cost'!Y45</f>
        <v>-796696.59590601269</v>
      </c>
      <c r="U49" s="38">
        <f t="shared" si="14"/>
        <v>7.8134723657239447E-2</v>
      </c>
      <c r="V49" s="46"/>
      <c r="W49" s="45">
        <v>59972.185192352466</v>
      </c>
      <c r="X49" s="31">
        <f t="shared" si="3"/>
        <v>-13.28443499850337</v>
      </c>
      <c r="Y49" s="39">
        <f t="shared" si="15"/>
        <v>9.5366434270518635E-3</v>
      </c>
      <c r="Z49" s="27">
        <f>'Benefit-Cost'!AE45</f>
        <v>-1182265.9226717292</v>
      </c>
      <c r="AA49" s="38">
        <f t="shared" si="16"/>
        <v>7.877436737009616E-2</v>
      </c>
      <c r="AB49" s="46"/>
      <c r="AC49" s="30">
        <v>61084.666916259332</v>
      </c>
      <c r="AD49" s="36">
        <f t="shared" si="17"/>
        <v>-19.354544804058467</v>
      </c>
      <c r="AE49" s="39">
        <f t="shared" si="18"/>
        <v>6.5619550401414166E-3</v>
      </c>
      <c r="AF49" s="11">
        <v>-66289.69520063512</v>
      </c>
      <c r="AG49" s="38">
        <f t="shared" si="19"/>
        <v>0.15647301156638849</v>
      </c>
      <c r="AI49" s="30">
        <v>56803.543044625476</v>
      </c>
      <c r="AJ49" s="36">
        <f t="shared" si="4"/>
        <v>-1.1669993040497002</v>
      </c>
      <c r="AK49" s="38">
        <f t="shared" si="20"/>
        <v>9.9139121941345887E-2</v>
      </c>
      <c r="AL49" s="11">
        <v>-157274.9521415825</v>
      </c>
      <c r="AM49" s="38">
        <f t="shared" si="21"/>
        <v>0.10590229916975305</v>
      </c>
      <c r="AO49" s="30">
        <v>57668.290210037929</v>
      </c>
      <c r="AP49" s="36">
        <f t="shared" si="5"/>
        <v>-2.7272345264400903</v>
      </c>
      <c r="AQ49" s="38">
        <f t="shared" si="22"/>
        <v>4.503827983720337E-2</v>
      </c>
      <c r="AR49" s="11">
        <v>-274513.13076819293</v>
      </c>
      <c r="AS49" s="38">
        <f t="shared" si="23"/>
        <v>8.9632852324736986E-2</v>
      </c>
      <c r="AU49" s="30">
        <v>58427.172207282099</v>
      </c>
      <c r="AV49" s="36">
        <f t="shared" si="6"/>
        <v>-4.698381256486325</v>
      </c>
      <c r="AW49" s="38">
        <f t="shared" si="24"/>
        <v>2.6678518994352352E-2</v>
      </c>
      <c r="AX49" s="11">
        <v>-407495.50037755631</v>
      </c>
      <c r="AY49" s="38">
        <f t="shared" si="25"/>
        <v>8.3240426138666196E-2</v>
      </c>
      <c r="BA49" s="30">
        <v>59118.556239998295</v>
      </c>
      <c r="BB49" s="36">
        <f t="shared" si="7"/>
        <v>-6.8928527064037795</v>
      </c>
      <c r="BC49" s="38">
        <f t="shared" si="26"/>
        <v>1.8376826535797534E-2</v>
      </c>
    </row>
    <row r="50" spans="1:55" x14ac:dyDescent="0.35">
      <c r="A50" s="44">
        <v>48579</v>
      </c>
      <c r="B50" s="27">
        <f>'Benefit-Cost'!G46</f>
        <v>-25365.302871648921</v>
      </c>
      <c r="C50" s="38">
        <f t="shared" si="8"/>
        <v>0.54508074917761129</v>
      </c>
      <c r="E50" s="30">
        <v>39421.048155176453</v>
      </c>
      <c r="F50" s="31">
        <f t="shared" si="0"/>
        <v>-0.64344567328096669</v>
      </c>
      <c r="G50" s="39">
        <f t="shared" si="9"/>
        <v>0.37525295843494338</v>
      </c>
      <c r="H50" s="27">
        <f>'Benefit-Cost'!M46</f>
        <v>-83652.567567248363</v>
      </c>
      <c r="I50" s="38">
        <f t="shared" si="10"/>
        <v>0.41177336960450933</v>
      </c>
      <c r="K50" s="30">
        <v>41050.6232079033</v>
      </c>
      <c r="L50" s="31">
        <f t="shared" si="1"/>
        <v>-2.0377904409291183</v>
      </c>
      <c r="M50" s="39">
        <f t="shared" si="11"/>
        <v>0.1782679931417728</v>
      </c>
      <c r="N50" s="27">
        <f>'Benefit-Cost'!S46</f>
        <v>-305747.09094768041</v>
      </c>
      <c r="O50" s="38">
        <f t="shared" si="12"/>
        <v>0.3451952911598351</v>
      </c>
      <c r="Q50" s="30">
        <v>41446.477666301318</v>
      </c>
      <c r="R50" s="31">
        <f t="shared" si="2"/>
        <v>-7.3769137490849479</v>
      </c>
      <c r="S50" s="39">
        <f t="shared" si="13"/>
        <v>7.2266412339554997E-2</v>
      </c>
      <c r="T50" s="27">
        <f>'Benefit-Cost'!Y46</f>
        <v>-524025.45067446912</v>
      </c>
      <c r="U50" s="38">
        <f t="shared" si="14"/>
        <v>0.34225217809730785</v>
      </c>
      <c r="W50" s="30">
        <v>41661.918148522112</v>
      </c>
      <c r="X50" s="31">
        <f t="shared" si="3"/>
        <v>-12.57804426590133</v>
      </c>
      <c r="Y50" s="39">
        <f t="shared" si="15"/>
        <v>5.3174315104979816E-2</v>
      </c>
      <c r="Z50" s="27">
        <f>'Benefit-Cost'!AE46</f>
        <v>-772680.35297618737</v>
      </c>
      <c r="AA50" s="38">
        <f t="shared" si="16"/>
        <v>0.3464411532474394</v>
      </c>
      <c r="AC50" s="30">
        <v>41703.615129322563</v>
      </c>
      <c r="AD50" s="36">
        <f t="shared" si="17"/>
        <v>-18.527898614547254</v>
      </c>
      <c r="AE50" s="39">
        <f t="shared" si="18"/>
        <v>4.2710701692032164E-2</v>
      </c>
      <c r="AF50" s="11">
        <v>-31208.253866614541</v>
      </c>
      <c r="AG50" s="38">
        <f t="shared" si="19"/>
        <v>0.52921409923279394</v>
      </c>
      <c r="AI50" s="30">
        <v>40844.944493150688</v>
      </c>
      <c r="AJ50" s="36">
        <f t="shared" si="4"/>
        <v>-0.76406650208198645</v>
      </c>
      <c r="AK50" s="38">
        <f t="shared" si="20"/>
        <v>0.34527252978597633</v>
      </c>
      <c r="AL50" s="11">
        <v>-92067.330940849613</v>
      </c>
      <c r="AM50" s="38">
        <f t="shared" si="21"/>
        <v>0.41460906719610063</v>
      </c>
      <c r="AO50" s="30">
        <v>41115.788287222756</v>
      </c>
      <c r="AP50" s="36">
        <f t="shared" si="5"/>
        <v>-2.2392208632288506</v>
      </c>
      <c r="AQ50" s="38">
        <f t="shared" si="22"/>
        <v>0.17894084959691861</v>
      </c>
      <c r="AR50" s="11">
        <v>-170630.44541153964</v>
      </c>
      <c r="AS50" s="38">
        <f t="shared" si="23"/>
        <v>0.37842519614981524</v>
      </c>
      <c r="AU50" s="30">
        <v>41332.557069177681</v>
      </c>
      <c r="AV50" s="36">
        <f t="shared" si="6"/>
        <v>-4.1282334680130734</v>
      </c>
      <c r="AW50" s="38">
        <f t="shared" si="24"/>
        <v>0.12134983462360298</v>
      </c>
      <c r="AX50" s="11">
        <v>-258743.10994882323</v>
      </c>
      <c r="AY50" s="38">
        <f t="shared" si="25"/>
        <v>0.36504057171406729</v>
      </c>
      <c r="BA50" s="30">
        <v>41475.418539076287</v>
      </c>
      <c r="BB50" s="36">
        <f t="shared" si="7"/>
        <v>-6.2384689308209635</v>
      </c>
      <c r="BC50" s="38">
        <f t="shared" si="26"/>
        <v>9.4936567406244302E-2</v>
      </c>
    </row>
    <row r="51" spans="1:55" x14ac:dyDescent="0.35">
      <c r="A51" s="44">
        <v>48669</v>
      </c>
      <c r="B51" s="27">
        <f>'Benefit-Cost'!G47</f>
        <v>-12735.893793292809</v>
      </c>
      <c r="C51" s="38">
        <f t="shared" si="8"/>
        <v>0.4979009768683717</v>
      </c>
      <c r="D51" s="28"/>
      <c r="E51" s="30">
        <v>40393.238379170158</v>
      </c>
      <c r="F51" s="31">
        <f t="shared" si="0"/>
        <v>-0.31529766625149841</v>
      </c>
      <c r="G51" s="39">
        <f t="shared" si="9"/>
        <v>0.50998556778884319</v>
      </c>
      <c r="H51" s="27">
        <f>'Benefit-Cost'!M47</f>
        <v>-69433.49396929983</v>
      </c>
      <c r="I51" s="38">
        <f t="shared" si="10"/>
        <v>0.16997773064787053</v>
      </c>
      <c r="K51" s="30">
        <v>42694.919504265781</v>
      </c>
      <c r="L51" s="31">
        <f t="shared" si="1"/>
        <v>-1.62627063771282</v>
      </c>
      <c r="M51" s="39">
        <f t="shared" si="11"/>
        <v>0.20194412288472036</v>
      </c>
      <c r="N51" s="27">
        <f>'Benefit-Cost'!S47</f>
        <v>-302405.97929130262</v>
      </c>
      <c r="O51" s="38">
        <f t="shared" si="12"/>
        <v>1.0927697287394709E-2</v>
      </c>
      <c r="Q51" s="30">
        <v>43477.661844833332</v>
      </c>
      <c r="R51" s="31">
        <f t="shared" si="2"/>
        <v>-6.9554333526617427</v>
      </c>
      <c r="S51" s="39">
        <f t="shared" si="13"/>
        <v>5.713505820445397E-2</v>
      </c>
      <c r="T51" s="27">
        <f>'Benefit-Cost'!Y47</f>
        <v>-536097.35875640996</v>
      </c>
      <c r="U51" s="38">
        <f t="shared" si="14"/>
        <v>-2.3036873622079197E-2</v>
      </c>
      <c r="W51" s="30">
        <v>44117.022590477864</v>
      </c>
      <c r="X51" s="31">
        <f t="shared" si="3"/>
        <v>-12.151712134628964</v>
      </c>
      <c r="Y51" s="39">
        <f t="shared" si="15"/>
        <v>3.3894946007475772E-2</v>
      </c>
      <c r="Z51" s="27">
        <f>'Benefit-Cost'!AE47</f>
        <v>-807907.59587801062</v>
      </c>
      <c r="AA51" s="38">
        <f t="shared" si="16"/>
        <v>-4.5590964965183854E-2</v>
      </c>
      <c r="AC51" s="30">
        <v>44652.960288014401</v>
      </c>
      <c r="AD51" s="36">
        <f t="shared" si="17"/>
        <v>-18.093035504632969</v>
      </c>
      <c r="AE51" s="39">
        <f t="shared" si="18"/>
        <v>2.3470719424859718E-2</v>
      </c>
      <c r="AF51" s="11">
        <v>-15458.314647633117</v>
      </c>
      <c r="AG51" s="38">
        <f t="shared" si="19"/>
        <v>0.50467223466898736</v>
      </c>
      <c r="AI51" s="30">
        <v>42351.990042030164</v>
      </c>
      <c r="AJ51" s="36">
        <f t="shared" si="4"/>
        <v>-0.36499618157947872</v>
      </c>
      <c r="AK51" s="38">
        <f t="shared" si="20"/>
        <v>0.52229788822712497</v>
      </c>
      <c r="AL51" s="11">
        <v>-78426.369999692775</v>
      </c>
      <c r="AM51" s="38">
        <f t="shared" si="21"/>
        <v>0.14816288038067194</v>
      </c>
      <c r="AO51" s="30">
        <v>42835.540889462194</v>
      </c>
      <c r="AP51" s="36">
        <f t="shared" si="5"/>
        <v>-1.8308714766103524</v>
      </c>
      <c r="AQ51" s="38">
        <f t="shared" si="22"/>
        <v>0.18236226418044252</v>
      </c>
      <c r="AR51" s="11">
        <v>-160385.61113005318</v>
      </c>
      <c r="AS51" s="38">
        <f t="shared" si="23"/>
        <v>6.0041068619244235E-2</v>
      </c>
      <c r="AU51" s="30">
        <v>43246.541587571039</v>
      </c>
      <c r="AV51" s="36">
        <f t="shared" si="6"/>
        <v>-3.7086343842150757</v>
      </c>
      <c r="AW51" s="38">
        <f t="shared" si="24"/>
        <v>0.10164131632796232</v>
      </c>
      <c r="AX51" s="11">
        <v>-253406.84835969051</v>
      </c>
      <c r="AY51" s="38">
        <f t="shared" si="25"/>
        <v>2.062378236927033E-2</v>
      </c>
      <c r="BA51" s="30">
        <v>43609.845868866592</v>
      </c>
      <c r="BB51" s="36">
        <f t="shared" si="7"/>
        <v>-5.8107714739849525</v>
      </c>
      <c r="BC51" s="38">
        <f t="shared" si="26"/>
        <v>6.8558080769303004E-2</v>
      </c>
    </row>
    <row r="52" spans="1:55" x14ac:dyDescent="0.35">
      <c r="A52" s="44">
        <v>48760</v>
      </c>
      <c r="B52" s="27">
        <f>'Benefit-Cost'!G48</f>
        <v>-66247.633343890542</v>
      </c>
      <c r="C52" s="38">
        <f t="shared" si="8"/>
        <v>-4.2016477539078556</v>
      </c>
      <c r="E52" s="30">
        <v>57265.687853703159</v>
      </c>
      <c r="F52" s="31">
        <f t="shared" si="0"/>
        <v>-1.1568468977991426</v>
      </c>
      <c r="G52" s="39">
        <f t="shared" si="9"/>
        <v>-2.6690626719589456</v>
      </c>
      <c r="H52" s="27">
        <f>'Benefit-Cost'!M48</f>
        <v>-159628.08403825341</v>
      </c>
      <c r="I52" s="38">
        <f t="shared" si="10"/>
        <v>-1.2990069332940859</v>
      </c>
      <c r="K52" s="30">
        <v>61227.886360638062</v>
      </c>
      <c r="L52" s="31">
        <f t="shared" si="1"/>
        <v>-2.6071140705074947</v>
      </c>
      <c r="M52" s="39">
        <f t="shared" si="11"/>
        <v>-0.6031243570714212</v>
      </c>
      <c r="N52" s="27">
        <f>'Benefit-Cost'!S48</f>
        <v>-507422.37273595994</v>
      </c>
      <c r="O52" s="38">
        <f t="shared" si="12"/>
        <v>-0.67795085905748065</v>
      </c>
      <c r="Q52" s="30">
        <v>62808.169445809966</v>
      </c>
      <c r="R52" s="31">
        <f t="shared" si="2"/>
        <v>-8.0789231275679363</v>
      </c>
      <c r="S52" s="39">
        <f t="shared" si="13"/>
        <v>-0.16152692692774498</v>
      </c>
      <c r="T52" s="27">
        <f>'Benefit-Cost'!Y48</f>
        <v>-862443.65533303516</v>
      </c>
      <c r="U52" s="38">
        <f t="shared" si="14"/>
        <v>-0.60874445890510209</v>
      </c>
      <c r="W52" s="30">
        <v>64304.111714332677</v>
      </c>
      <c r="X52" s="31">
        <f t="shared" si="3"/>
        <v>-13.411951931851442</v>
      </c>
      <c r="Y52" s="39">
        <f t="shared" si="15"/>
        <v>-0.10370882582308294</v>
      </c>
      <c r="Z52" s="27">
        <f>'Benefit-Cost'!AE48</f>
        <v>-1280589.9693599516</v>
      </c>
      <c r="AA52" s="38">
        <f t="shared" si="16"/>
        <v>-0.58506984696466857</v>
      </c>
      <c r="AB52" s="47"/>
      <c r="AC52" s="30">
        <v>65731.193893624819</v>
      </c>
      <c r="AD52" s="36">
        <f t="shared" si="17"/>
        <v>-19.482225918981129</v>
      </c>
      <c r="AE52" s="39">
        <f t="shared" si="18"/>
        <v>-7.678039508585717E-2</v>
      </c>
      <c r="AF52" s="11">
        <v>-78396.757041504141</v>
      </c>
      <c r="AG52" s="38">
        <f t="shared" si="19"/>
        <v>-4.0714944564482503</v>
      </c>
      <c r="AI52" s="30">
        <v>60563.812259366168</v>
      </c>
      <c r="AJ52" s="36">
        <f t="shared" si="4"/>
        <v>-1.2944488485263759</v>
      </c>
      <c r="AK52" s="38">
        <f t="shared" si="20"/>
        <v>-2.5464723025999847</v>
      </c>
      <c r="AL52" s="11">
        <v>-175527.09246678697</v>
      </c>
      <c r="AM52" s="38">
        <f t="shared" si="21"/>
        <v>-1.2381131814142943</v>
      </c>
      <c r="AO52" s="30">
        <v>61479.954448689612</v>
      </c>
      <c r="AP52" s="36">
        <f t="shared" si="5"/>
        <v>-2.8550296440651994</v>
      </c>
      <c r="AQ52" s="38">
        <f t="shared" si="22"/>
        <v>-0.55938288434694383</v>
      </c>
      <c r="AR52" s="11">
        <v>-300889.9602095075</v>
      </c>
      <c r="AS52" s="38">
        <f t="shared" si="23"/>
        <v>-0.87604086232849421</v>
      </c>
      <c r="AU52" s="30">
        <v>62341.630769383672</v>
      </c>
      <c r="AV52" s="36">
        <f t="shared" si="6"/>
        <v>-4.8264691907494379</v>
      </c>
      <c r="AW52" s="38">
        <f t="shared" si="24"/>
        <v>-0.30141413003453815</v>
      </c>
      <c r="AX52" s="11">
        <v>-443494.16756383888</v>
      </c>
      <c r="AY52" s="38">
        <f t="shared" si="25"/>
        <v>-0.75012700104432384</v>
      </c>
      <c r="BA52" s="30">
        <v>63164.022864123137</v>
      </c>
      <c r="BB52" s="36">
        <f t="shared" si="7"/>
        <v>-7.0213097179999506</v>
      </c>
      <c r="BC52" s="38">
        <f t="shared" si="26"/>
        <v>-0.20832659646565424</v>
      </c>
    </row>
    <row r="53" spans="1:55" x14ac:dyDescent="0.35">
      <c r="A53" s="44">
        <v>48852</v>
      </c>
      <c r="B53" s="27">
        <f>'Benefit-Cost'!G49</f>
        <v>-55546.029105250724</v>
      </c>
      <c r="C53" s="38">
        <f t="shared" si="8"/>
        <v>0.16153941957575962</v>
      </c>
      <c r="E53" s="30">
        <v>53866.795590621979</v>
      </c>
      <c r="F53" s="31">
        <f t="shared" si="0"/>
        <v>-1.0311738148931415</v>
      </c>
      <c r="G53" s="39">
        <f t="shared" si="9"/>
        <v>0.10863415301116282</v>
      </c>
      <c r="H53" s="27">
        <f>'Benefit-Cost'!M49</f>
        <v>-141969.13215569267</v>
      </c>
      <c r="I53" s="38">
        <f t="shared" si="10"/>
        <v>0.11062559567105329</v>
      </c>
      <c r="K53" s="30">
        <v>57218.419275511442</v>
      </c>
      <c r="L53" s="31">
        <f t="shared" si="1"/>
        <v>-2.4811788573203937</v>
      </c>
      <c r="M53" s="39">
        <f t="shared" si="11"/>
        <v>4.8304450737971252E-2</v>
      </c>
      <c r="N53" s="27">
        <f>'Benefit-Cost'!S49</f>
        <v>-465818.82114446536</v>
      </c>
      <c r="O53" s="38">
        <f t="shared" si="12"/>
        <v>8.1989982757703958E-2</v>
      </c>
      <c r="Q53" s="30">
        <v>58571.466474443194</v>
      </c>
      <c r="R53" s="31">
        <f t="shared" si="2"/>
        <v>-7.9529991168604015</v>
      </c>
      <c r="S53" s="39">
        <f t="shared" si="13"/>
        <v>1.5586732132385411E-2</v>
      </c>
      <c r="T53" s="27">
        <f>'Benefit-Cost'!Y49</f>
        <v>-794558.24064611457</v>
      </c>
      <c r="U53" s="38">
        <f t="shared" si="14"/>
        <v>7.8712869260666576E-2</v>
      </c>
      <c r="W53" s="30">
        <v>59803.951694741292</v>
      </c>
      <c r="X53" s="31">
        <f t="shared" si="3"/>
        <v>-13.286049134374878</v>
      </c>
      <c r="Y53" s="39">
        <f t="shared" si="15"/>
        <v>9.3873582395985061E-3</v>
      </c>
      <c r="Z53" s="27">
        <f>'Benefit-Cost'!AE49</f>
        <v>-1178826.0235649231</v>
      </c>
      <c r="AA53" s="38">
        <f t="shared" si="16"/>
        <v>7.9466455485272036E-2</v>
      </c>
      <c r="AC53" s="30">
        <v>60901.344886576677</v>
      </c>
      <c r="AD53" s="36">
        <f t="shared" si="17"/>
        <v>-19.356321699633749</v>
      </c>
      <c r="AE53" s="39">
        <f t="shared" si="18"/>
        <v>6.4625171615895153E-3</v>
      </c>
      <c r="AF53" s="11">
        <v>-66219.320071802475</v>
      </c>
      <c r="AG53" s="38">
        <f t="shared" si="19"/>
        <v>0.15533087629192099</v>
      </c>
      <c r="AI53" s="30">
        <v>56682.55578146629</v>
      </c>
      <c r="AJ53" s="36">
        <f t="shared" si="4"/>
        <v>-1.1682486641411194</v>
      </c>
      <c r="AK53" s="38">
        <f t="shared" si="20"/>
        <v>9.7493372974084738E-2</v>
      </c>
      <c r="AL53" s="11">
        <v>-156992.41330455896</v>
      </c>
      <c r="AM53" s="38">
        <f t="shared" si="21"/>
        <v>0.10559440654857953</v>
      </c>
      <c r="AO53" s="30">
        <v>57535.982821957106</v>
      </c>
      <c r="AP53" s="36">
        <f t="shared" si="5"/>
        <v>-2.7285953173054498</v>
      </c>
      <c r="AQ53" s="38">
        <f t="shared" si="22"/>
        <v>4.4284768469066829E-2</v>
      </c>
      <c r="AR53" s="11">
        <v>-273912.23586134566</v>
      </c>
      <c r="AS53" s="38">
        <f t="shared" si="23"/>
        <v>8.9659769070983428E-2</v>
      </c>
      <c r="AU53" s="30">
        <v>58281.264865019293</v>
      </c>
      <c r="AV53" s="36">
        <f t="shared" si="6"/>
        <v>-4.6998334112297062</v>
      </c>
      <c r="AW53" s="38">
        <f t="shared" si="24"/>
        <v>2.623776813129685E-2</v>
      </c>
      <c r="AX53" s="11">
        <v>-406517.10430098604</v>
      </c>
      <c r="AY53" s="38">
        <f t="shared" si="25"/>
        <v>8.337666189833301E-2</v>
      </c>
      <c r="BA53" s="30">
        <v>58963.397226169531</v>
      </c>
      <c r="BB53" s="36">
        <f t="shared" si="7"/>
        <v>-6.8943975996105413</v>
      </c>
      <c r="BC53" s="38">
        <f t="shared" si="26"/>
        <v>1.8075277047536475E-2</v>
      </c>
    </row>
    <row r="54" spans="1:55" x14ac:dyDescent="0.35">
      <c r="A54" s="44">
        <v>48944</v>
      </c>
      <c r="B54" s="27">
        <f>'Benefit-Cost'!G50</f>
        <v>-23900.336240887176</v>
      </c>
      <c r="C54" s="38">
        <f t="shared" si="8"/>
        <v>0.56972016495364752</v>
      </c>
      <c r="E54" s="30">
        <v>39223.942914400599</v>
      </c>
      <c r="F54" s="31">
        <f t="shared" si="0"/>
        <v>-0.60933028311420612</v>
      </c>
      <c r="G54" s="39">
        <f t="shared" si="9"/>
        <v>0.40909061662184487</v>
      </c>
      <c r="H54" s="27">
        <f>'Benefit-Cost'!M50</f>
        <v>-99109.858014266938</v>
      </c>
      <c r="I54" s="38">
        <f t="shared" si="10"/>
        <v>0.30189149916351843</v>
      </c>
      <c r="K54" s="30">
        <v>40895.503991247169</v>
      </c>
      <c r="L54" s="31">
        <f t="shared" si="1"/>
        <v>-2.4234903190208716</v>
      </c>
      <c r="M54" s="39">
        <f t="shared" si="11"/>
        <v>2.3250455375000291E-2</v>
      </c>
      <c r="N54" s="27">
        <f>'Benefit-Cost'!S50</f>
        <v>-332026.29892293829</v>
      </c>
      <c r="O54" s="38">
        <f t="shared" si="12"/>
        <v>0.28722008675564809</v>
      </c>
      <c r="Q54" s="30">
        <v>41273.57006205558</v>
      </c>
      <c r="R54" s="31">
        <f t="shared" si="2"/>
        <v>-8.0445257927465583</v>
      </c>
      <c r="S54" s="39">
        <f t="shared" si="13"/>
        <v>-1.1508447887554741E-2</v>
      </c>
      <c r="T54" s="27">
        <f>'Benefit-Cost'!Y50</f>
        <v>-555322.94042322366</v>
      </c>
      <c r="U54" s="38">
        <f t="shared" si="14"/>
        <v>0.30109221449688928</v>
      </c>
      <c r="W54" s="30">
        <v>41467.904829168874</v>
      </c>
      <c r="X54" s="31">
        <f t="shared" si="3"/>
        <v>-13.391632461561088</v>
      </c>
      <c r="Y54" s="39">
        <f t="shared" si="15"/>
        <v>-7.946931862011189E-3</v>
      </c>
      <c r="Z54" s="27">
        <f>'Benefit-Cost'!AE50</f>
        <v>-810846.97512663947</v>
      </c>
      <c r="AA54" s="38">
        <f t="shared" si="16"/>
        <v>0.31215721495990323</v>
      </c>
      <c r="AC54" s="30">
        <v>41502.387157874815</v>
      </c>
      <c r="AD54" s="36">
        <f t="shared" si="17"/>
        <v>-19.537357502887311</v>
      </c>
      <c r="AE54" s="39">
        <f t="shared" si="18"/>
        <v>-9.352799879172629E-3</v>
      </c>
      <c r="AF54" s="11">
        <v>-47573.370779066812</v>
      </c>
      <c r="AG54" s="38">
        <f t="shared" si="19"/>
        <v>0.28157868840268391</v>
      </c>
      <c r="AI54" s="30">
        <v>40697.416076724476</v>
      </c>
      <c r="AJ54" s="36">
        <f t="shared" si="4"/>
        <v>-1.1689531023143951</v>
      </c>
      <c r="AK54" s="38">
        <f t="shared" si="20"/>
        <v>-6.0298650013316678E-4</v>
      </c>
      <c r="AL54" s="11">
        <v>-125401.44767123833</v>
      </c>
      <c r="AM54" s="38">
        <f t="shared" si="21"/>
        <v>0.2012260654407256</v>
      </c>
      <c r="AO54" s="30">
        <v>40956.673310260419</v>
      </c>
      <c r="AP54" s="36">
        <f t="shared" si="5"/>
        <v>-3.0618074549483221</v>
      </c>
      <c r="AQ54" s="38">
        <f t="shared" si="22"/>
        <v>-0.12211856244476989</v>
      </c>
      <c r="AR54" s="11">
        <v>-216865.73179183272</v>
      </c>
      <c r="AS54" s="38">
        <f t="shared" si="23"/>
        <v>0.20826562891622658</v>
      </c>
      <c r="AU54" s="30">
        <v>41167.891210021786</v>
      </c>
      <c r="AV54" s="36">
        <f t="shared" si="6"/>
        <v>-5.2678367877886245</v>
      </c>
      <c r="AW54" s="38">
        <f t="shared" si="24"/>
        <v>-0.12085606591964307</v>
      </c>
      <c r="AX54" s="11">
        <v>-312796.26610316522</v>
      </c>
      <c r="AY54" s="38">
        <f t="shared" si="25"/>
        <v>0.2305458668435996</v>
      </c>
      <c r="BA54" s="30">
        <v>41300.969729860808</v>
      </c>
      <c r="BB54" s="36">
        <f t="shared" si="7"/>
        <v>-7.5735816410386114</v>
      </c>
      <c r="BC54" s="38">
        <f t="shared" si="26"/>
        <v>-9.8512456181296629E-2</v>
      </c>
    </row>
    <row r="55" spans="1:55" x14ac:dyDescent="0.35">
      <c r="A55" s="44">
        <v>49034</v>
      </c>
      <c r="B55" s="27">
        <f>'Benefit-Cost'!G51</f>
        <v>-12489.351325883064</v>
      </c>
      <c r="C55" s="38">
        <f t="shared" si="8"/>
        <v>0.47744035062916496</v>
      </c>
      <c r="E55" s="30">
        <v>40191.272187274277</v>
      </c>
      <c r="F55" s="31">
        <f t="shared" si="0"/>
        <v>-0.31074784763438157</v>
      </c>
      <c r="G55" s="39">
        <f t="shared" si="9"/>
        <v>0.49001739082096724</v>
      </c>
      <c r="H55" s="27">
        <f>'Benefit-Cost'!M51</f>
        <v>-68389.730333317071</v>
      </c>
      <c r="I55" s="38">
        <f t="shared" si="10"/>
        <v>0.30996036414992828</v>
      </c>
      <c r="K55" s="30">
        <v>42755.726858666952</v>
      </c>
      <c r="L55" s="31">
        <f t="shared" si="1"/>
        <v>-1.5995454961948306</v>
      </c>
      <c r="M55" s="39">
        <f t="shared" si="11"/>
        <v>0.33998271681106934</v>
      </c>
      <c r="N55" s="27">
        <f>'Benefit-Cost'!S51</f>
        <v>-301517.05546439067</v>
      </c>
      <c r="O55" s="38">
        <f t="shared" si="12"/>
        <v>9.1888032838111658E-2</v>
      </c>
      <c r="Q55" s="30">
        <v>43644.987833744031</v>
      </c>
      <c r="R55" s="31">
        <f t="shared" si="2"/>
        <v>-6.9084004929260949</v>
      </c>
      <c r="S55" s="39">
        <f t="shared" si="13"/>
        <v>0.14122961739334147</v>
      </c>
      <c r="T55" s="27">
        <f>'Benefit-Cost'!Y51</f>
        <v>-536240.96339130914</v>
      </c>
      <c r="U55" s="38">
        <f t="shared" si="14"/>
        <v>3.436194625306084E-2</v>
      </c>
      <c r="W55" s="30">
        <v>44363.169021819253</v>
      </c>
      <c r="X55" s="31">
        <f t="shared" si="3"/>
        <v>-12.087526099128949</v>
      </c>
      <c r="Y55" s="39">
        <f t="shared" si="15"/>
        <v>9.7382179967633042E-2</v>
      </c>
      <c r="Z55" s="27">
        <f>'Benefit-Cost'!AE51</f>
        <v>-809236.28577011451</v>
      </c>
      <c r="AA55" s="38">
        <f t="shared" si="16"/>
        <v>1.9864282730701469E-3</v>
      </c>
      <c r="AC55" s="30">
        <v>44920.897582339981</v>
      </c>
      <c r="AD55" s="36">
        <f t="shared" si="17"/>
        <v>-18.014695371720585</v>
      </c>
      <c r="AE55" s="39">
        <f t="shared" si="18"/>
        <v>7.7935930227089348E-2</v>
      </c>
      <c r="AF55" s="11">
        <v>-14207.743618731387</v>
      </c>
      <c r="AG55" s="38">
        <f t="shared" si="19"/>
        <v>0.7013509157315575</v>
      </c>
      <c r="AI55" s="30">
        <v>42371.970237510825</v>
      </c>
      <c r="AJ55" s="36">
        <f t="shared" si="4"/>
        <v>-0.33530995936916885</v>
      </c>
      <c r="AK55" s="38">
        <f t="shared" si="20"/>
        <v>0.71315362549165318</v>
      </c>
      <c r="AL55" s="11">
        <v>-76317.254599836655</v>
      </c>
      <c r="AM55" s="38">
        <f t="shared" si="21"/>
        <v>0.39141647870034491</v>
      </c>
      <c r="AO55" s="30">
        <v>42946.338484241496</v>
      </c>
      <c r="AP55" s="36">
        <f t="shared" si="5"/>
        <v>-1.7770375145680954</v>
      </c>
      <c r="AQ55" s="38">
        <f t="shared" si="22"/>
        <v>0.41961160500274219</v>
      </c>
      <c r="AR55" s="11">
        <v>-157779.31197744515</v>
      </c>
      <c r="AS55" s="38">
        <f t="shared" si="23"/>
        <v>0.27245623052656398</v>
      </c>
      <c r="AU55" s="30">
        <v>43433.082835437745</v>
      </c>
      <c r="AV55" s="36">
        <f t="shared" si="6"/>
        <v>-3.6326988939571772</v>
      </c>
      <c r="AW55" s="38">
        <f t="shared" si="24"/>
        <v>0.31040025720270253</v>
      </c>
      <c r="AX55" s="11">
        <v>-250590.42536922498</v>
      </c>
      <c r="AY55" s="38">
        <f t="shared" si="25"/>
        <v>0.19887015119746909</v>
      </c>
      <c r="BA55" s="30">
        <v>43839.886043742408</v>
      </c>
      <c r="BB55" s="36">
        <f t="shared" si="7"/>
        <v>-5.716037334567698</v>
      </c>
      <c r="BC55" s="38">
        <f t="shared" si="26"/>
        <v>0.24526629466902755</v>
      </c>
    </row>
    <row r="56" spans="1:55" x14ac:dyDescent="0.35">
      <c r="A56" s="44">
        <v>49125</v>
      </c>
      <c r="B56" s="27">
        <f>'Benefit-Cost'!G52</f>
        <v>-65901.129353979602</v>
      </c>
      <c r="C56" s="38">
        <f t="shared" si="8"/>
        <v>-4.2765854394219343</v>
      </c>
      <c r="E56" s="30">
        <v>56979.359414434271</v>
      </c>
      <c r="F56" s="31">
        <f t="shared" si="0"/>
        <v>-1.1565789793222074</v>
      </c>
      <c r="G56" s="39">
        <f t="shared" si="9"/>
        <v>-2.7219211271352406</v>
      </c>
      <c r="H56" s="27">
        <f>'Benefit-Cost'!M52</f>
        <v>-160119.73392120935</v>
      </c>
      <c r="I56" s="38">
        <f t="shared" si="10"/>
        <v>-1.3412833058533737</v>
      </c>
      <c r="K56" s="30">
        <v>61442.757652983768</v>
      </c>
      <c r="L56" s="31">
        <f t="shared" si="1"/>
        <v>-2.6059984941680701</v>
      </c>
      <c r="M56" s="39">
        <f t="shared" si="11"/>
        <v>-0.6292118607238727</v>
      </c>
      <c r="N56" s="27">
        <f>'Benefit-Cost'!S52</f>
        <v>-511384.91912281606</v>
      </c>
      <c r="O56" s="38">
        <f t="shared" si="12"/>
        <v>-0.69603977571083342</v>
      </c>
      <c r="Q56" s="30">
        <v>63313.519569687793</v>
      </c>
      <c r="R56" s="31">
        <f t="shared" si="2"/>
        <v>-8.0770256115669881</v>
      </c>
      <c r="S56" s="39">
        <f t="shared" si="13"/>
        <v>-0.16916001320964455</v>
      </c>
      <c r="T56" s="27">
        <f>'Benefit-Cost'!Y52</f>
        <v>-872644.46968392329</v>
      </c>
      <c r="U56" s="38">
        <f t="shared" si="14"/>
        <v>-0.62733645741109056</v>
      </c>
      <c r="W56" s="30">
        <v>65077.120823180681</v>
      </c>
      <c r="X56" s="31">
        <f t="shared" si="3"/>
        <v>-13.40938963871746</v>
      </c>
      <c r="Y56" s="39">
        <f t="shared" si="15"/>
        <v>-0.10935765753455269</v>
      </c>
      <c r="Z56" s="27">
        <f>'Benefit-Cost'!AE52</f>
        <v>-1300693.9295206591</v>
      </c>
      <c r="AA56" s="38">
        <f t="shared" si="16"/>
        <v>-0.60731043873402946</v>
      </c>
      <c r="AC56" s="30">
        <v>66773.363750906487</v>
      </c>
      <c r="AD56" s="36">
        <f t="shared" si="17"/>
        <v>-19.479233281893809</v>
      </c>
      <c r="AE56" s="39">
        <f t="shared" si="18"/>
        <v>-8.1296845711432406E-2</v>
      </c>
      <c r="AF56" s="11">
        <v>-78520.631515427027</v>
      </c>
      <c r="AG56" s="38">
        <f t="shared" si="19"/>
        <v>-4.5266081386706603</v>
      </c>
      <c r="AI56" s="30">
        <v>60695.034851389384</v>
      </c>
      <c r="AJ56" s="36">
        <f t="shared" si="4"/>
        <v>-1.2936911842572176</v>
      </c>
      <c r="AK56" s="38">
        <f t="shared" si="20"/>
        <v>-2.8581949271387201</v>
      </c>
      <c r="AL56" s="11">
        <v>-176478.92597621121</v>
      </c>
      <c r="AM56" s="38">
        <f t="shared" si="21"/>
        <v>-1.3124380836491585</v>
      </c>
      <c r="AO56" s="30">
        <v>61841.257803519708</v>
      </c>
      <c r="AP56" s="36">
        <f t="shared" si="5"/>
        <v>-2.8537408882742175</v>
      </c>
      <c r="AQ56" s="38">
        <f t="shared" si="22"/>
        <v>-0.60589794243472239</v>
      </c>
      <c r="AR56" s="11">
        <v>-303527.10873052943</v>
      </c>
      <c r="AS56" s="38">
        <f t="shared" si="23"/>
        <v>-0.92374465908381709</v>
      </c>
      <c r="AU56" s="30">
        <v>62910.894748148166</v>
      </c>
      <c r="AV56" s="36">
        <f t="shared" si="6"/>
        <v>-4.8247145418236803</v>
      </c>
      <c r="AW56" s="38">
        <f t="shared" si="24"/>
        <v>-0.32813499898088577</v>
      </c>
      <c r="AX56" s="11">
        <v>-448749.71352502285</v>
      </c>
      <c r="AY56" s="38">
        <f t="shared" si="25"/>
        <v>-0.79076959091244603</v>
      </c>
      <c r="BA56" s="30">
        <v>63933.076981103892</v>
      </c>
      <c r="BB56" s="36">
        <f t="shared" si="7"/>
        <v>-7.0190539031565091</v>
      </c>
      <c r="BC56" s="38">
        <f t="shared" si="26"/>
        <v>-0.22795802272123505</v>
      </c>
    </row>
    <row r="57" spans="1:55" x14ac:dyDescent="0.35">
      <c r="A57" s="44">
        <v>49217</v>
      </c>
      <c r="B57" s="27">
        <f>'Benefit-Cost'!G53</f>
        <v>-55152.369984318968</v>
      </c>
      <c r="C57" s="38">
        <f t="shared" si="8"/>
        <v>0.16310432727070623</v>
      </c>
      <c r="E57" s="30">
        <v>53597.461612668601</v>
      </c>
      <c r="F57" s="31">
        <f t="shared" si="0"/>
        <v>-1.029010858441155</v>
      </c>
      <c r="G57" s="39">
        <f t="shared" si="9"/>
        <v>0.11029780340276583</v>
      </c>
      <c r="H57" s="27">
        <f>'Benefit-Cost'!M53</f>
        <v>-142194.52166269626</v>
      </c>
      <c r="I57" s="38">
        <f t="shared" si="10"/>
        <v>0.11194880118482838</v>
      </c>
      <c r="K57" s="30">
        <v>57363.357446524482</v>
      </c>
      <c r="L57" s="31">
        <f t="shared" si="1"/>
        <v>-2.4788388963329675</v>
      </c>
      <c r="M57" s="39">
        <f t="shared" si="11"/>
        <v>4.8794962130512105E-2</v>
      </c>
      <c r="N57" s="27">
        <f>'Benefit-Cost'!S53</f>
        <v>-468598.69841436669</v>
      </c>
      <c r="O57" s="38">
        <f t="shared" si="12"/>
        <v>8.3667349404517102E-2</v>
      </c>
      <c r="Q57" s="30">
        <v>58938.89128762731</v>
      </c>
      <c r="R57" s="31">
        <f t="shared" si="2"/>
        <v>-7.9505855671353087</v>
      </c>
      <c r="S57" s="39">
        <f t="shared" si="13"/>
        <v>1.5654282964090944E-2</v>
      </c>
      <c r="T57" s="27">
        <f>'Benefit-Cost'!Y53</f>
        <v>-801813.13859980274</v>
      </c>
      <c r="U57" s="38">
        <f t="shared" si="14"/>
        <v>8.116860135465713E-2</v>
      </c>
      <c r="W57" s="30">
        <v>60361.101145499895</v>
      </c>
      <c r="X57" s="31">
        <f t="shared" si="3"/>
        <v>-13.283606882303875</v>
      </c>
      <c r="Y57" s="39">
        <f t="shared" si="15"/>
        <v>9.3801999794537738E-3</v>
      </c>
      <c r="Z57" s="27">
        <f>'Benefit-Cost'!AE53</f>
        <v>-1192338.7963886783</v>
      </c>
      <c r="AA57" s="38">
        <f t="shared" si="16"/>
        <v>8.3305634533031678E-2</v>
      </c>
      <c r="AC57" s="30">
        <v>61607.166969396232</v>
      </c>
      <c r="AD57" s="36">
        <f t="shared" si="17"/>
        <v>-19.353897525932016</v>
      </c>
      <c r="AE57" s="39">
        <f t="shared" si="18"/>
        <v>6.4343269649269836E-3</v>
      </c>
      <c r="AF57" s="11">
        <v>-66178.222745947074</v>
      </c>
      <c r="AG57" s="38">
        <f t="shared" si="19"/>
        <v>0.15718682505826545</v>
      </c>
      <c r="AI57" s="30">
        <v>56768.565134880722</v>
      </c>
      <c r="AJ57" s="36">
        <f t="shared" si="4"/>
        <v>-1.165754719864933</v>
      </c>
      <c r="AK57" s="38">
        <f t="shared" si="20"/>
        <v>9.8892584218806701E-2</v>
      </c>
      <c r="AL57" s="11">
        <v>-157572.43250798294</v>
      </c>
      <c r="AM57" s="38">
        <f t="shared" si="21"/>
        <v>0.10713173464562446</v>
      </c>
      <c r="AO57" s="30">
        <v>57807.488613921218</v>
      </c>
      <c r="AP57" s="36">
        <f t="shared" si="5"/>
        <v>-2.7258134938253709</v>
      </c>
      <c r="AQ57" s="38">
        <f t="shared" si="22"/>
        <v>4.4827964225655367E-2</v>
      </c>
      <c r="AR57" s="11">
        <v>-275770.67203451786</v>
      </c>
      <c r="AS57" s="38">
        <f t="shared" si="23"/>
        <v>9.144631862405958E-2</v>
      </c>
      <c r="AU57" s="30">
        <v>58714.886818150328</v>
      </c>
      <c r="AV57" s="36">
        <f t="shared" si="6"/>
        <v>-4.6967760133579928</v>
      </c>
      <c r="AW57" s="38">
        <f t="shared" si="24"/>
        <v>2.6517326021391601E-2</v>
      </c>
      <c r="AX57" s="11">
        <v>-410324.89005702315</v>
      </c>
      <c r="AY57" s="38">
        <f t="shared" si="25"/>
        <v>8.562640222355726E-2</v>
      </c>
      <c r="BA57" s="30">
        <v>59544.400155635383</v>
      </c>
      <c r="BB57" s="36">
        <f t="shared" si="7"/>
        <v>-6.8910743744924483</v>
      </c>
      <c r="BC57" s="38">
        <f t="shared" si="26"/>
        <v>1.8233159401512457E-2</v>
      </c>
    </row>
    <row r="58" spans="1:55" x14ac:dyDescent="0.35">
      <c r="A58" s="44">
        <v>49309</v>
      </c>
      <c r="B58" s="27">
        <f>'Benefit-Cost'!G54</f>
        <v>-30568.6897395954</v>
      </c>
      <c r="C58" s="38">
        <f t="shared" si="8"/>
        <v>0.44574113953241262</v>
      </c>
      <c r="E58" s="30">
        <v>39027.823199828526</v>
      </c>
      <c r="F58" s="31">
        <f t="shared" si="0"/>
        <v>-0.78325377213786562</v>
      </c>
      <c r="G58" s="39">
        <f t="shared" si="9"/>
        <v>0.23882846744259431</v>
      </c>
      <c r="H58" s="27">
        <f>'Benefit-Cost'!M54</f>
        <v>-85825.575675558532</v>
      </c>
      <c r="I58" s="38">
        <f t="shared" si="10"/>
        <v>0.39642136228603897</v>
      </c>
      <c r="K58" s="30">
        <v>40824.503504180684</v>
      </c>
      <c r="L58" s="31">
        <f t="shared" si="1"/>
        <v>-2.1023054368994214</v>
      </c>
      <c r="M58" s="39">
        <f t="shared" si="11"/>
        <v>0.15189912502606165</v>
      </c>
      <c r="N58" s="27">
        <f>'Benefit-Cost'!S54</f>
        <v>-304643.61261774064</v>
      </c>
      <c r="O58" s="38">
        <f t="shared" si="12"/>
        <v>0.34988378403826864</v>
      </c>
      <c r="Q58" s="30">
        <v>41201.609588695988</v>
      </c>
      <c r="R58" s="31">
        <f t="shared" si="2"/>
        <v>-7.3939735767342984</v>
      </c>
      <c r="S58" s="39">
        <f t="shared" si="13"/>
        <v>7.0008930248085396E-2</v>
      </c>
      <c r="T58" s="27">
        <f>'Benefit-Cost'!Y54</f>
        <v>-519876.77120443201</v>
      </c>
      <c r="U58" s="38">
        <f t="shared" si="14"/>
        <v>0.35162353149726761</v>
      </c>
      <c r="W58" s="30">
        <v>41318.434006627511</v>
      </c>
      <c r="X58" s="31">
        <f t="shared" si="3"/>
        <v>-12.582199294412836</v>
      </c>
      <c r="Y58" s="39">
        <f t="shared" si="15"/>
        <v>5.2802495143501889E-2</v>
      </c>
      <c r="Z58" s="27">
        <f>'Benefit-Cost'!AE54</f>
        <v>-764686.79971430218</v>
      </c>
      <c r="AA58" s="38">
        <f t="shared" si="16"/>
        <v>0.35866651153987128</v>
      </c>
      <c r="AC58" s="30">
        <v>41302.884973932683</v>
      </c>
      <c r="AD58" s="36">
        <f t="shared" si="17"/>
        <v>-18.514125591878528</v>
      </c>
      <c r="AE58" s="39">
        <f t="shared" si="18"/>
        <v>4.3390326570050763E-2</v>
      </c>
      <c r="AF58" s="11">
        <v>-33084.281263696728</v>
      </c>
      <c r="AG58" s="38">
        <f t="shared" si="19"/>
        <v>0.50007298638549647</v>
      </c>
      <c r="AI58" s="30">
        <v>40620.588700895911</v>
      </c>
      <c r="AJ58" s="36">
        <f t="shared" si="4"/>
        <v>-0.81447074800683616</v>
      </c>
      <c r="AK58" s="38">
        <f t="shared" si="20"/>
        <v>0.30133609229461011</v>
      </c>
      <c r="AL58" s="11">
        <v>-90189.554196925834</v>
      </c>
      <c r="AM58" s="38">
        <f t="shared" si="21"/>
        <v>0.42763113597071212</v>
      </c>
      <c r="AO58" s="30">
        <v>40916.807486488171</v>
      </c>
      <c r="AP58" s="36">
        <f t="shared" si="5"/>
        <v>-2.2042177710641</v>
      </c>
      <c r="AQ58" s="38">
        <f t="shared" si="22"/>
        <v>0.19135414948337873</v>
      </c>
      <c r="AR58" s="11">
        <v>-165974.34086334403</v>
      </c>
      <c r="AS58" s="38">
        <f t="shared" si="23"/>
        <v>0.39814361099802076</v>
      </c>
      <c r="AU58" s="30">
        <v>41119.026783724752</v>
      </c>
      <c r="AV58" s="36">
        <f t="shared" si="6"/>
        <v>-4.036436507515738</v>
      </c>
      <c r="AW58" s="38">
        <f t="shared" si="24"/>
        <v>0.14059420844515436</v>
      </c>
      <c r="AX58" s="11">
        <v>-252950.43709893059</v>
      </c>
      <c r="AY58" s="38">
        <f t="shared" si="25"/>
        <v>0.38353620940767719</v>
      </c>
      <c r="BA58" s="30">
        <v>41223.431784948327</v>
      </c>
      <c r="BB58" s="36">
        <f t="shared" si="7"/>
        <v>-6.1360839247568153</v>
      </c>
      <c r="BC58" s="38">
        <f t="shared" si="26"/>
        <v>0.109560629983948</v>
      </c>
    </row>
    <row r="59" spans="1:55" x14ac:dyDescent="0.35">
      <c r="A59" s="44">
        <v>49399</v>
      </c>
      <c r="B59" s="27">
        <f>'Benefit-Cost'!G55</f>
        <v>-12336.426921315957</v>
      </c>
      <c r="C59" s="38">
        <f t="shared" si="8"/>
        <v>0.59643586210577182</v>
      </c>
      <c r="E59" s="30">
        <v>39990.315826337974</v>
      </c>
      <c r="F59" s="31">
        <f t="shared" si="0"/>
        <v>-0.30848535867753957</v>
      </c>
      <c r="G59" s="39">
        <f t="shared" si="9"/>
        <v>0.60614890135091359</v>
      </c>
      <c r="H59" s="27">
        <f>'Benefit-Cost'!M55</f>
        <v>-68310.340708621778</v>
      </c>
      <c r="I59" s="38">
        <f t="shared" si="10"/>
        <v>0.20407943470310744</v>
      </c>
      <c r="K59" s="30">
        <v>42609.719440404726</v>
      </c>
      <c r="L59" s="31">
        <f t="shared" si="1"/>
        <v>-1.6031633534729732</v>
      </c>
      <c r="M59" s="39">
        <f t="shared" si="11"/>
        <v>0.23742605363881203</v>
      </c>
      <c r="N59" s="27">
        <f>'Benefit-Cost'!S55</f>
        <v>-300548.13712429861</v>
      </c>
      <c r="O59" s="38">
        <f t="shared" si="12"/>
        <v>1.3443497003762678E-2</v>
      </c>
      <c r="Q59" s="30">
        <v>43455.87209502529</v>
      </c>
      <c r="R59" s="31">
        <f t="shared" si="2"/>
        <v>-6.9161685782553777</v>
      </c>
      <c r="S59" s="39">
        <f t="shared" si="13"/>
        <v>6.4620869079431209E-2</v>
      </c>
      <c r="T59" s="27">
        <f>'Benefit-Cost'!Y55</f>
        <v>-534109.30354066053</v>
      </c>
      <c r="U59" s="38">
        <f t="shared" si="14"/>
        <v>-2.7376742190760136E-2</v>
      </c>
      <c r="W59" s="30">
        <v>44143.1706930859</v>
      </c>
      <c r="X59" s="31">
        <f t="shared" si="3"/>
        <v>-12.099477567077381</v>
      </c>
      <c r="Y59" s="39">
        <f t="shared" si="15"/>
        <v>3.8365449158781775E-2</v>
      </c>
      <c r="Z59" s="27">
        <f>'Benefit-Cost'!AE55</f>
        <v>-805451.72039647214</v>
      </c>
      <c r="AA59" s="38">
        <f t="shared" si="16"/>
        <v>-5.3309303491835242E-2</v>
      </c>
      <c r="AC59" s="30">
        <v>44678.229919840713</v>
      </c>
      <c r="AD59" s="36">
        <f t="shared" si="17"/>
        <v>-18.027834178783952</v>
      </c>
      <c r="AE59" s="39">
        <f t="shared" si="18"/>
        <v>2.6265967068295957E-2</v>
      </c>
      <c r="AF59" s="11">
        <v>-14351.455279312097</v>
      </c>
      <c r="AG59" s="38">
        <f t="shared" si="19"/>
        <v>0.56621529224333189</v>
      </c>
      <c r="AI59" s="30">
        <v>42244.248223734168</v>
      </c>
      <c r="AJ59" s="36">
        <f t="shared" si="4"/>
        <v>-0.33972566403132226</v>
      </c>
      <c r="AK59" s="38">
        <f t="shared" si="20"/>
        <v>0.58288782640420767</v>
      </c>
      <c r="AL59" s="11">
        <v>-76447.404587491415</v>
      </c>
      <c r="AM59" s="38">
        <f t="shared" si="21"/>
        <v>0.15236963672565562</v>
      </c>
      <c r="AO59" s="30">
        <v>42782.942277733819</v>
      </c>
      <c r="AP59" s="36">
        <f t="shared" si="5"/>
        <v>-1.7868664593290047</v>
      </c>
      <c r="AQ59" s="38">
        <f t="shared" si="22"/>
        <v>0.18934214087822018</v>
      </c>
      <c r="AR59" s="11">
        <v>-157717.37465635408</v>
      </c>
      <c r="AS59" s="38">
        <f t="shared" si="23"/>
        <v>4.9748450055833462E-2</v>
      </c>
      <c r="AU59" s="30">
        <v>43243.664905227401</v>
      </c>
      <c r="AV59" s="36">
        <f t="shared" si="6"/>
        <v>-3.647178725531397</v>
      </c>
      <c r="AW59" s="38">
        <f t="shared" si="24"/>
        <v>9.6435997756821726E-2</v>
      </c>
      <c r="AX59" s="11">
        <v>-250106.80248770956</v>
      </c>
      <c r="AY59" s="38">
        <f t="shared" si="25"/>
        <v>1.1241864785190571E-2</v>
      </c>
      <c r="BA59" s="30">
        <v>43622.335041797342</v>
      </c>
      <c r="BB59" s="36">
        <f t="shared" si="7"/>
        <v>-5.7334574650363459</v>
      </c>
      <c r="BC59" s="38">
        <f t="shared" si="26"/>
        <v>6.5616191802074522E-2</v>
      </c>
    </row>
    <row r="60" spans="1:55" x14ac:dyDescent="0.35">
      <c r="A60" s="44">
        <v>49490</v>
      </c>
      <c r="B60" s="27">
        <f>'Benefit-Cost'!G56</f>
        <v>-65621.16686498397</v>
      </c>
      <c r="C60" s="38">
        <f t="shared" si="8"/>
        <v>-4.3193009032135539</v>
      </c>
      <c r="E60" s="30">
        <v>56694.462617362253</v>
      </c>
      <c r="F60" s="31">
        <f t="shared" si="0"/>
        <v>-1.1574528416975942</v>
      </c>
      <c r="G60" s="39">
        <f t="shared" si="9"/>
        <v>-2.7520511399942396</v>
      </c>
      <c r="H60" s="27">
        <f>'Benefit-Cost'!M56</f>
        <v>-159757.4658468375</v>
      </c>
      <c r="I60" s="38">
        <f t="shared" si="10"/>
        <v>-1.3387010544755449</v>
      </c>
      <c r="K60" s="30">
        <v>61279.295776346953</v>
      </c>
      <c r="L60" s="31">
        <f t="shared" si="1"/>
        <v>-2.6070382145041213</v>
      </c>
      <c r="M60" s="39">
        <f t="shared" si="11"/>
        <v>-0.6261837627815211</v>
      </c>
      <c r="N60" s="27">
        <f>'Benefit-Cost'!S56</f>
        <v>-509519.27155620093</v>
      </c>
      <c r="O60" s="38">
        <f t="shared" si="12"/>
        <v>-0.69530004887529051</v>
      </c>
      <c r="Q60" s="30">
        <v>63073.953875712323</v>
      </c>
      <c r="R60" s="31">
        <f t="shared" si="2"/>
        <v>-8.0781248082245209</v>
      </c>
      <c r="S60" s="39">
        <f t="shared" si="13"/>
        <v>-0.16800577036574343</v>
      </c>
      <c r="T60" s="27">
        <f>'Benefit-Cost'!Y56</f>
        <v>-868484.8387280535</v>
      </c>
      <c r="U60" s="38">
        <f t="shared" si="14"/>
        <v>-0.62604327048936659</v>
      </c>
      <c r="W60" s="30">
        <v>64761.676084875813</v>
      </c>
      <c r="X60" s="31">
        <f t="shared" si="3"/>
        <v>-13.410475009785548</v>
      </c>
      <c r="Y60" s="39">
        <f t="shared" si="15"/>
        <v>-0.10835157430890942</v>
      </c>
      <c r="Z60" s="27">
        <f>'Benefit-Cost'!AE56</f>
        <v>-1292544.6993652713</v>
      </c>
      <c r="AA60" s="38">
        <f t="shared" si="16"/>
        <v>-0.6047450972344246</v>
      </c>
      <c r="AC60" s="30">
        <v>66351.603980747139</v>
      </c>
      <c r="AD60" s="36">
        <f t="shared" si="17"/>
        <v>-19.480232908014123</v>
      </c>
      <c r="AE60" s="39">
        <f t="shared" si="18"/>
        <v>-8.0564238323171763E-2</v>
      </c>
      <c r="AF60" s="11">
        <v>-78391.889837108552</v>
      </c>
      <c r="AG60" s="38">
        <f t="shared" si="19"/>
        <v>-4.4622955171739269</v>
      </c>
      <c r="AI60" s="30">
        <v>60545.892065609412</v>
      </c>
      <c r="AJ60" s="36">
        <f t="shared" si="4"/>
        <v>-1.2947515869806767</v>
      </c>
      <c r="AK60" s="38">
        <f t="shared" si="20"/>
        <v>-2.8111680219169499</v>
      </c>
      <c r="AL60" s="11">
        <v>-175935.1479737591</v>
      </c>
      <c r="AM60" s="38">
        <f t="shared" si="21"/>
        <v>-1.3013881102059834</v>
      </c>
      <c r="AO60" s="30">
        <v>61625.034461992618</v>
      </c>
      <c r="AP60" s="36">
        <f t="shared" si="5"/>
        <v>-2.8549298107454613</v>
      </c>
      <c r="AQ60" s="38">
        <f t="shared" si="22"/>
        <v>-0.59772981122357094</v>
      </c>
      <c r="AR60" s="11">
        <v>-302253.58114486467</v>
      </c>
      <c r="AS60" s="38">
        <f t="shared" si="23"/>
        <v>-0.91642538942482676</v>
      </c>
      <c r="AU60" s="30">
        <v>62629.731604042026</v>
      </c>
      <c r="AV60" s="36">
        <f t="shared" si="6"/>
        <v>-4.8260398600424095</v>
      </c>
      <c r="AW60" s="38">
        <f t="shared" si="24"/>
        <v>-0.32322549105110043</v>
      </c>
      <c r="AX60" s="11">
        <v>-446432.28112159343</v>
      </c>
      <c r="AY60" s="38">
        <f t="shared" si="25"/>
        <v>-0.78496656900618067</v>
      </c>
      <c r="BA60" s="30">
        <v>63589.389509704481</v>
      </c>
      <c r="BB60" s="36">
        <f t="shared" si="7"/>
        <v>-7.0205467384375924</v>
      </c>
      <c r="BC60" s="38">
        <f t="shared" si="26"/>
        <v>-0.2244874547775314</v>
      </c>
    </row>
    <row r="61" spans="1:55" x14ac:dyDescent="0.35">
      <c r="A61" s="44">
        <v>49582</v>
      </c>
      <c r="B61" s="27">
        <f>'Benefit-Cost'!G57</f>
        <v>-54849.202175144572</v>
      </c>
      <c r="C61" s="38">
        <f t="shared" si="8"/>
        <v>0.16415381201621718</v>
      </c>
      <c r="E61" s="30">
        <v>53329.474304605377</v>
      </c>
      <c r="F61" s="31">
        <f t="shared" si="0"/>
        <v>-1.0284969595210871</v>
      </c>
      <c r="G61" s="39">
        <f t="shared" si="9"/>
        <v>0.11141350863796073</v>
      </c>
      <c r="H61" s="27">
        <f>'Benefit-Cost'!M57</f>
        <v>-141718.10490721138</v>
      </c>
      <c r="I61" s="38">
        <f t="shared" si="10"/>
        <v>0.1129171700615281</v>
      </c>
      <c r="K61" s="30">
        <v>57180.45265453036</v>
      </c>
      <c r="L61" s="31">
        <f t="shared" si="1"/>
        <v>-2.4784362195143128</v>
      </c>
      <c r="M61" s="39">
        <f t="shared" si="11"/>
        <v>4.9328772502964476E-2</v>
      </c>
      <c r="N61" s="27">
        <f>'Benefit-Cost'!S57</f>
        <v>-466575.43341028364</v>
      </c>
      <c r="O61" s="38">
        <f t="shared" si="12"/>
        <v>8.4283049814300293E-2</v>
      </c>
      <c r="Q61" s="30">
        <v>58687.032266987866</v>
      </c>
      <c r="R61" s="31">
        <f t="shared" si="2"/>
        <v>-7.9502304919367637</v>
      </c>
      <c r="S61" s="39">
        <f t="shared" si="13"/>
        <v>1.5832178794457988E-2</v>
      </c>
      <c r="T61" s="27">
        <f>'Benefit-Cost'!Y57</f>
        <v>-797631.56274322653</v>
      </c>
      <c r="U61" s="38">
        <f t="shared" si="14"/>
        <v>8.1582628533384299E-2</v>
      </c>
      <c r="W61" s="30">
        <v>60047.824789638704</v>
      </c>
      <c r="X61" s="31">
        <f t="shared" si="3"/>
        <v>-13.283271551259563</v>
      </c>
      <c r="Y61" s="39">
        <f t="shared" si="15"/>
        <v>9.485380527771408E-3</v>
      </c>
      <c r="Z61" s="27">
        <f>'Benefit-Cost'!AE57</f>
        <v>-1185405.8316641613</v>
      </c>
      <c r="AA61" s="38">
        <f t="shared" si="16"/>
        <v>8.2889874333725203E-2</v>
      </c>
      <c r="AC61" s="30">
        <v>61250.22405060452</v>
      </c>
      <c r="AD61" s="36">
        <f t="shared" si="17"/>
        <v>-19.353493804117143</v>
      </c>
      <c r="AE61" s="39">
        <f t="shared" si="18"/>
        <v>6.5060363752037238E-3</v>
      </c>
      <c r="AF61" s="11">
        <v>-65960.684255126864</v>
      </c>
      <c r="AG61" s="38">
        <f t="shared" si="19"/>
        <v>0.15857769991019019</v>
      </c>
      <c r="AI61" s="30">
        <v>56600.44152589966</v>
      </c>
      <c r="AJ61" s="36">
        <f t="shared" si="4"/>
        <v>-1.1653740231857392</v>
      </c>
      <c r="AK61" s="38">
        <f t="shared" si="20"/>
        <v>9.9924622681206526E-2</v>
      </c>
      <c r="AL61" s="11">
        <v>-156947.11618213216</v>
      </c>
      <c r="AM61" s="38">
        <f t="shared" si="21"/>
        <v>0.10792631268005086</v>
      </c>
      <c r="AO61" s="30">
        <v>57584.105299839648</v>
      </c>
      <c r="AP61" s="36">
        <f t="shared" si="5"/>
        <v>-2.7255284312382848</v>
      </c>
      <c r="AQ61" s="38">
        <f t="shared" si="22"/>
        <v>4.5325590499679561E-2</v>
      </c>
      <c r="AR61" s="11">
        <v>-274474.16017211042</v>
      </c>
      <c r="AS61" s="38">
        <f t="shared" si="23"/>
        <v>9.1907665303856481E-2</v>
      </c>
      <c r="AU61" s="30">
        <v>58441.110439941942</v>
      </c>
      <c r="AV61" s="36">
        <f t="shared" si="6"/>
        <v>-4.6965938550086026</v>
      </c>
      <c r="AW61" s="38">
        <f t="shared" si="24"/>
        <v>2.6822406939811177E-2</v>
      </c>
      <c r="AX61" s="11">
        <v>-408121.14803575724</v>
      </c>
      <c r="AY61" s="38">
        <f t="shared" si="25"/>
        <v>8.5816225004126667E-2</v>
      </c>
      <c r="BA61" s="30">
        <v>59225.343046853384</v>
      </c>
      <c r="BB61" s="36">
        <f t="shared" si="7"/>
        <v>-6.8909883343840006</v>
      </c>
      <c r="BC61" s="38">
        <f t="shared" si="26"/>
        <v>1.8454175847054426E-2</v>
      </c>
    </row>
    <row r="62" spans="1:55" x14ac:dyDescent="0.35">
      <c r="A62" s="44">
        <v>49674</v>
      </c>
      <c r="B62" s="27">
        <f>'Benefit-Cost'!G58</f>
        <v>-28755.810418851441</v>
      </c>
      <c r="C62" s="38">
        <f t="shared" si="8"/>
        <v>0.47572965004981593</v>
      </c>
      <c r="E62" s="30">
        <v>38832.684083829437</v>
      </c>
      <c r="F62" s="31">
        <f t="shared" si="0"/>
        <v>-0.74050535257298444</v>
      </c>
      <c r="G62" s="39">
        <f t="shared" si="9"/>
        <v>0.28001211309579765</v>
      </c>
      <c r="H62" s="27">
        <f>'Benefit-Cost'!M58</f>
        <v>-86261.943985300371</v>
      </c>
      <c r="I62" s="38">
        <f t="shared" si="10"/>
        <v>0.39131317031243412</v>
      </c>
      <c r="K62" s="30">
        <v>40656.646887179362</v>
      </c>
      <c r="L62" s="31">
        <f t="shared" si="1"/>
        <v>-2.121718109825288</v>
      </c>
      <c r="M62" s="39">
        <f t="shared" si="11"/>
        <v>0.14392870265547086</v>
      </c>
      <c r="N62" s="27">
        <f>'Benefit-Cost'!S58</f>
        <v>-305596.93601599149</v>
      </c>
      <c r="O62" s="38">
        <f t="shared" si="12"/>
        <v>0.3450213746096133</v>
      </c>
      <c r="Q62" s="30">
        <v>41008.019150146873</v>
      </c>
      <c r="R62" s="31">
        <f t="shared" si="2"/>
        <v>-7.4521262511382966</v>
      </c>
      <c r="S62" s="39">
        <f t="shared" si="13"/>
        <v>6.2652805010326607E-2</v>
      </c>
      <c r="T62" s="27">
        <f>'Benefit-Cost'!Y58</f>
        <v>-520222.03269106825</v>
      </c>
      <c r="U62" s="38">
        <f t="shared" si="14"/>
        <v>0.34779156569241976</v>
      </c>
      <c r="W62" s="30">
        <v>41122.636554621371</v>
      </c>
      <c r="X62" s="31">
        <f t="shared" si="3"/>
        <v>-12.650502892733554</v>
      </c>
      <c r="Y62" s="39">
        <f t="shared" si="15"/>
        <v>4.7636507021947321E-2</v>
      </c>
      <c r="Z62" s="27">
        <f>'Benefit-Cost'!AE58</f>
        <v>-765590.96365383081</v>
      </c>
      <c r="AA62" s="38">
        <f t="shared" si="16"/>
        <v>0.35415286208012237</v>
      </c>
      <c r="AC62" s="30">
        <v>41120.15848186348</v>
      </c>
      <c r="AD62" s="36">
        <f t="shared" si="17"/>
        <v>-18.618385529605959</v>
      </c>
      <c r="AE62" s="39">
        <f t="shared" si="18"/>
        <v>3.7983233515945396E-2</v>
      </c>
      <c r="AF62" s="11">
        <v>-33892.93038199679</v>
      </c>
      <c r="AG62" s="38">
        <f t="shared" si="19"/>
        <v>0.48616466362138405</v>
      </c>
      <c r="AI62" s="30">
        <v>40460.497262937759</v>
      </c>
      <c r="AJ62" s="36">
        <f t="shared" si="4"/>
        <v>-0.83767953126574823</v>
      </c>
      <c r="AK62" s="38">
        <f t="shared" si="20"/>
        <v>0.28119254883010425</v>
      </c>
      <c r="AL62" s="11">
        <v>-93361.594389320817</v>
      </c>
      <c r="AM62" s="38">
        <f t="shared" si="21"/>
        <v>0.40513979064784061</v>
      </c>
      <c r="AO62" s="30">
        <v>40735.613832827759</v>
      </c>
      <c r="AP62" s="36">
        <f t="shared" si="5"/>
        <v>-2.2918911881986461</v>
      </c>
      <c r="AQ62" s="38">
        <f t="shared" si="22"/>
        <v>0.1591020801946377</v>
      </c>
      <c r="AR62" s="11">
        <v>-170367.1760682764</v>
      </c>
      <c r="AS62" s="38">
        <f t="shared" si="23"/>
        <v>0.37929612040183747</v>
      </c>
      <c r="AU62" s="30">
        <v>40923.291800584426</v>
      </c>
      <c r="AV62" s="36">
        <f t="shared" si="6"/>
        <v>-4.1630858264887527</v>
      </c>
      <c r="AW62" s="38">
        <f t="shared" si="24"/>
        <v>0.11359466987993849</v>
      </c>
      <c r="AX62" s="11">
        <v>-257493.34384601703</v>
      </c>
      <c r="AY62" s="38">
        <f t="shared" si="25"/>
        <v>0.36907620424644855</v>
      </c>
      <c r="BA62" s="30">
        <v>41026.083372630157</v>
      </c>
      <c r="BB62" s="36">
        <f t="shared" si="7"/>
        <v>-6.2763325835241508</v>
      </c>
      <c r="BC62" s="38">
        <f t="shared" si="26"/>
        <v>8.9197038368632658E-2</v>
      </c>
    </row>
    <row r="63" spans="1:55" x14ac:dyDescent="0.35">
      <c r="A63" s="44">
        <v>49765</v>
      </c>
      <c r="B63" s="27">
        <f>'Benefit-Cost'!G59</f>
        <v>-12492.406831598375</v>
      </c>
      <c r="C63" s="38">
        <f t="shared" si="8"/>
        <v>0.56556930061659016</v>
      </c>
      <c r="E63" s="30">
        <v>40298.076920189924</v>
      </c>
      <c r="F63" s="31">
        <f t="shared" si="0"/>
        <v>-0.31000007410625335</v>
      </c>
      <c r="G63" s="39">
        <f t="shared" si="9"/>
        <v>0.58136686922097613</v>
      </c>
      <c r="H63" s="27">
        <f>'Benefit-Cost'!M59</f>
        <v>-69123.869655210525</v>
      </c>
      <c r="I63" s="38">
        <f t="shared" si="10"/>
        <v>0.19867479839093694</v>
      </c>
      <c r="K63" s="30">
        <v>43019.047809613388</v>
      </c>
      <c r="L63" s="31">
        <f t="shared" si="1"/>
        <v>-1.6068200756355082</v>
      </c>
      <c r="M63" s="39">
        <f t="shared" si="11"/>
        <v>0.24267975646971257</v>
      </c>
      <c r="N63" s="27">
        <f>'Benefit-Cost'!S59</f>
        <v>-303451.33965593809</v>
      </c>
      <c r="O63" s="38">
        <f t="shared" si="12"/>
        <v>7.0210008909942908E-3</v>
      </c>
      <c r="Q63" s="30">
        <v>43846.481831260375</v>
      </c>
      <c r="R63" s="31">
        <f t="shared" si="2"/>
        <v>-6.9207682573882652</v>
      </c>
      <c r="S63" s="39">
        <f t="shared" si="13"/>
        <v>7.1302870596008441E-2</v>
      </c>
      <c r="T63" s="27">
        <f>'Benefit-Cost'!Y59</f>
        <v>-538858.92330597248</v>
      </c>
      <c r="U63" s="38">
        <f t="shared" si="14"/>
        <v>-3.5824877540263027E-2</v>
      </c>
      <c r="W63" s="30">
        <v>44514.219936411318</v>
      </c>
      <c r="X63" s="31">
        <f t="shared" si="3"/>
        <v>-12.10532104293266</v>
      </c>
      <c r="Y63" s="39">
        <f t="shared" si="15"/>
        <v>4.3095666190001533E-2</v>
      </c>
      <c r="Z63" s="27">
        <f>'Benefit-Cost'!AE59</f>
        <v>-811817.70121034654</v>
      </c>
      <c r="AA63" s="38">
        <f t="shared" si="16"/>
        <v>-6.0380463917567323E-2</v>
      </c>
      <c r="AC63" s="30">
        <v>45022.192883741198</v>
      </c>
      <c r="AD63" s="36">
        <f t="shared" si="17"/>
        <v>-18.031500671383714</v>
      </c>
      <c r="AE63" s="39">
        <f t="shared" si="18"/>
        <v>3.1521791042999507E-2</v>
      </c>
      <c r="AF63" s="11">
        <v>-14702.704761471134</v>
      </c>
      <c r="AG63" s="38">
        <f t="shared" si="19"/>
        <v>0.56620142915465044</v>
      </c>
      <c r="AI63" s="30">
        <v>42664.246170113896</v>
      </c>
      <c r="AJ63" s="36">
        <f t="shared" si="4"/>
        <v>-0.34461419294384038</v>
      </c>
      <c r="AK63" s="38">
        <f t="shared" si="20"/>
        <v>0.58860855484540442</v>
      </c>
      <c r="AL63" s="11">
        <v>-77491.430341731291</v>
      </c>
      <c r="AM63" s="38">
        <f t="shared" si="21"/>
        <v>0.16998600068257658</v>
      </c>
      <c r="AO63" s="30">
        <v>43193.249966861338</v>
      </c>
      <c r="AP63" s="36">
        <f t="shared" si="5"/>
        <v>-1.7940634335500143</v>
      </c>
      <c r="AQ63" s="38">
        <f t="shared" si="22"/>
        <v>0.21721264831944689</v>
      </c>
      <c r="AR63" s="11">
        <v>-159541.76438398333</v>
      </c>
      <c r="AS63" s="38">
        <f t="shared" si="23"/>
        <v>6.354165123893743E-2</v>
      </c>
      <c r="AU63" s="30">
        <v>43635.966296647806</v>
      </c>
      <c r="AV63" s="36">
        <f t="shared" si="6"/>
        <v>-3.6561987260550164</v>
      </c>
      <c r="AW63" s="38">
        <f t="shared" si="24"/>
        <v>0.12175754273633535</v>
      </c>
      <c r="AX63" s="11">
        <v>-252715.59482385917</v>
      </c>
      <c r="AY63" s="38">
        <f t="shared" si="25"/>
        <v>1.8554844761404756E-2</v>
      </c>
      <c r="BA63" s="30">
        <v>44000.926835395076</v>
      </c>
      <c r="BB63" s="36">
        <f t="shared" si="7"/>
        <v>-5.7434152641659937</v>
      </c>
      <c r="BC63" s="38">
        <f t="shared" si="26"/>
        <v>8.4909031232204862E-2</v>
      </c>
    </row>
    <row r="64" spans="1:55" x14ac:dyDescent="0.35">
      <c r="A64" s="44">
        <v>49856</v>
      </c>
      <c r="B64" s="27">
        <f>'Benefit-Cost'!G60</f>
        <v>-65377.98343401961</v>
      </c>
      <c r="C64" s="38">
        <f t="shared" si="8"/>
        <v>-4.2334177324942788</v>
      </c>
      <c r="E64" s="30">
        <v>56410.990304275707</v>
      </c>
      <c r="F64" s="31">
        <f t="shared" si="0"/>
        <v>-1.1589582647171546</v>
      </c>
      <c r="G64" s="39">
        <f t="shared" si="9"/>
        <v>-2.7385741537594552</v>
      </c>
      <c r="H64" s="27">
        <f>'Benefit-Cost'!M60</f>
        <v>-159512.25346189784</v>
      </c>
      <c r="I64" s="38">
        <f t="shared" si="10"/>
        <v>-1.3076291049321178</v>
      </c>
      <c r="K64" s="30">
        <v>61145.968787813588</v>
      </c>
      <c r="L64" s="31">
        <f t="shared" si="1"/>
        <v>-2.6087125058960337</v>
      </c>
      <c r="M64" s="39">
        <f t="shared" si="11"/>
        <v>-0.62352496427720461</v>
      </c>
      <c r="N64" s="27">
        <f>'Benefit-Cost'!S60</f>
        <v>-508199.55601947987</v>
      </c>
      <c r="O64" s="38">
        <f t="shared" si="12"/>
        <v>-0.67473162779802265</v>
      </c>
      <c r="Q64" s="30">
        <v>62896.909743078373</v>
      </c>
      <c r="R64" s="31">
        <f t="shared" si="2"/>
        <v>-8.0798811594301867</v>
      </c>
      <c r="S64" s="39">
        <f t="shared" si="13"/>
        <v>-0.16748327048872222</v>
      </c>
      <c r="T64" s="27">
        <f>'Benefit-Cost'!Y60</f>
        <v>-865654.06002708292</v>
      </c>
      <c r="U64" s="38">
        <f t="shared" si="14"/>
        <v>-0.60645768787900556</v>
      </c>
      <c r="W64" s="30">
        <v>64541.67241216093</v>
      </c>
      <c r="X64" s="31">
        <f t="shared" si="3"/>
        <v>-13.412327689605647</v>
      </c>
      <c r="Y64" s="39">
        <f t="shared" si="15"/>
        <v>-0.10796959800054576</v>
      </c>
      <c r="Z64" s="27">
        <f>'Benefit-Cost'!AE60</f>
        <v>-1287474.588516057</v>
      </c>
      <c r="AA64" s="38">
        <f t="shared" si="16"/>
        <v>-0.58591588554493113</v>
      </c>
      <c r="AC64" s="30">
        <v>66085.143931938888</v>
      </c>
      <c r="AD64" s="36">
        <f t="shared" si="17"/>
        <v>-19.482057719992675</v>
      </c>
      <c r="AE64" s="39">
        <f t="shared" si="18"/>
        <v>-8.0445719690486875E-2</v>
      </c>
      <c r="AF64" s="11">
        <v>-78331.529008883983</v>
      </c>
      <c r="AG64" s="38">
        <f t="shared" si="19"/>
        <v>-4.3276951608355789</v>
      </c>
      <c r="AI64" s="30">
        <v>60423.142805883734</v>
      </c>
      <c r="AJ64" s="36">
        <f t="shared" si="4"/>
        <v>-1.2963828985283501</v>
      </c>
      <c r="AK64" s="38">
        <f t="shared" si="20"/>
        <v>-2.7618383835386995</v>
      </c>
      <c r="AL64" s="11">
        <v>-175598.35120238457</v>
      </c>
      <c r="AM64" s="38">
        <f t="shared" si="21"/>
        <v>-1.26603574650783</v>
      </c>
      <c r="AO64" s="30">
        <v>61471.24538409755</v>
      </c>
      <c r="AP64" s="36">
        <f t="shared" si="5"/>
        <v>-2.8565933568642388</v>
      </c>
      <c r="AQ64" s="38">
        <f t="shared" si="22"/>
        <v>-0.59224768948762119</v>
      </c>
      <c r="AR64" s="11">
        <v>-301469.9725395022</v>
      </c>
      <c r="AS64" s="38">
        <f t="shared" si="23"/>
        <v>-0.8895990883862086</v>
      </c>
      <c r="AU64" s="30">
        <v>62445.290232721687</v>
      </c>
      <c r="AV64" s="36">
        <f t="shared" si="6"/>
        <v>-4.8277455580073552</v>
      </c>
      <c r="AW64" s="38">
        <f t="shared" si="24"/>
        <v>-0.32042755871107154</v>
      </c>
      <c r="AX64" s="11">
        <v>-445031.49021356367</v>
      </c>
      <c r="AY64" s="38">
        <f t="shared" si="25"/>
        <v>-0.76099733981097295</v>
      </c>
      <c r="BA64" s="30">
        <v>63374.053467889767</v>
      </c>
      <c r="BB64" s="36">
        <f t="shared" si="7"/>
        <v>-7.0222980204201599</v>
      </c>
      <c r="BC64" s="38">
        <f t="shared" si="26"/>
        <v>-0.22266938701669414</v>
      </c>
    </row>
    <row r="65" spans="1:55" x14ac:dyDescent="0.35">
      <c r="A65" s="44">
        <v>49948</v>
      </c>
      <c r="B65" s="27">
        <f>'Benefit-Cost'!G61</f>
        <v>-54640.510753657203</v>
      </c>
      <c r="C65" s="38">
        <f t="shared" si="8"/>
        <v>0.16423682891961355</v>
      </c>
      <c r="E65" s="30">
        <v>53062.826933082571</v>
      </c>
      <c r="F65" s="31">
        <f t="shared" si="0"/>
        <v>-1.0297323740886297</v>
      </c>
      <c r="G65" s="39">
        <f t="shared" si="9"/>
        <v>0.11150176374993333</v>
      </c>
      <c r="H65" s="27">
        <f>'Benefit-Cost'!M61</f>
        <v>-141378.50489604333</v>
      </c>
      <c r="I65" s="38">
        <f t="shared" si="10"/>
        <v>0.11368248001202022</v>
      </c>
      <c r="K65" s="30">
        <v>57017.876406587362</v>
      </c>
      <c r="L65" s="31">
        <f t="shared" si="1"/>
        <v>-2.4795470088694791</v>
      </c>
      <c r="M65" s="39">
        <f t="shared" si="11"/>
        <v>4.9513120642701539E-2</v>
      </c>
      <c r="N65" s="27">
        <f>'Benefit-Cost'!S61</f>
        <v>-464914.25077485945</v>
      </c>
      <c r="O65" s="38">
        <f t="shared" si="12"/>
        <v>8.5173835222636926E-2</v>
      </c>
      <c r="Q65" s="30">
        <v>58471.415575352192</v>
      </c>
      <c r="R65" s="31">
        <f t="shared" si="2"/>
        <v>-7.9511372557027258</v>
      </c>
      <c r="S65" s="39">
        <f t="shared" si="13"/>
        <v>1.593388580687247E-2</v>
      </c>
      <c r="T65" s="27">
        <f>'Benefit-Cost'!Y61</f>
        <v>-794170.69423088199</v>
      </c>
      <c r="U65" s="38">
        <f t="shared" si="14"/>
        <v>8.257728935501614E-2</v>
      </c>
      <c r="W65" s="30">
        <v>59784.140237963635</v>
      </c>
      <c r="X65" s="31">
        <f t="shared" si="3"/>
        <v>-13.283969478690842</v>
      </c>
      <c r="Y65" s="39">
        <f t="shared" si="15"/>
        <v>9.5701666321707859E-3</v>
      </c>
      <c r="Z65" s="27">
        <f>'Benefit-Cost'!AE61</f>
        <v>-1179490.329687444</v>
      </c>
      <c r="AA65" s="38">
        <f t="shared" si="16"/>
        <v>8.3872924399289006E-2</v>
      </c>
      <c r="AC65" s="30">
        <v>60942.885692741474</v>
      </c>
      <c r="AD65" s="36">
        <f t="shared" si="17"/>
        <v>-19.354028222984621</v>
      </c>
      <c r="AE65" s="39">
        <f t="shared" si="18"/>
        <v>6.5716619285379127E-3</v>
      </c>
      <c r="AF65" s="11">
        <v>-65859.115442092065</v>
      </c>
      <c r="AG65" s="38">
        <f t="shared" si="19"/>
        <v>0.15922596845233747</v>
      </c>
      <c r="AI65" s="30">
        <v>56453.382589655215</v>
      </c>
      <c r="AJ65" s="36">
        <f t="shared" si="4"/>
        <v>-1.1666106160689191</v>
      </c>
      <c r="AK65" s="38">
        <f t="shared" si="20"/>
        <v>0.10010335881995054</v>
      </c>
      <c r="AL65" s="11">
        <v>-156513.76350897504</v>
      </c>
      <c r="AM65" s="38">
        <f t="shared" si="21"/>
        <v>0.10868318274477264</v>
      </c>
      <c r="AO65" s="30">
        <v>57400.312257395482</v>
      </c>
      <c r="AP65" s="36">
        <f t="shared" si="5"/>
        <v>-2.7267057852774963</v>
      </c>
      <c r="AQ65" s="38">
        <f t="shared" si="22"/>
        <v>4.5469394961179785E-2</v>
      </c>
      <c r="AR65" s="11">
        <v>-273509.22679244168</v>
      </c>
      <c r="AS65" s="38">
        <f t="shared" si="23"/>
        <v>9.2748028971265994E-2</v>
      </c>
      <c r="AU65" s="30">
        <v>58221.725011828967</v>
      </c>
      <c r="AV65" s="36">
        <f t="shared" si="6"/>
        <v>-4.6977176773253033</v>
      </c>
      <c r="AW65" s="38">
        <f t="shared" si="24"/>
        <v>2.6933457681170891E-2</v>
      </c>
      <c r="AX65" s="11">
        <v>-406489.11253808672</v>
      </c>
      <c r="AY65" s="38">
        <f t="shared" si="25"/>
        <v>8.6605956034664117E-2</v>
      </c>
      <c r="BA65" s="30">
        <v>58979.314926173429</v>
      </c>
      <c r="BB65" s="36">
        <f t="shared" si="7"/>
        <v>-6.8920622941603176</v>
      </c>
      <c r="BC65" s="38">
        <f t="shared" si="26"/>
        <v>1.8546026654113729E-2</v>
      </c>
    </row>
    <row r="66" spans="1:55" x14ac:dyDescent="0.35">
      <c r="A66" s="44">
        <v>50040</v>
      </c>
      <c r="B66" s="27">
        <f>'Benefit-Cost'!G62</f>
        <v>-14939.999707509996</v>
      </c>
      <c r="C66" s="38">
        <f t="shared" si="8"/>
        <v>0.72657649971710725</v>
      </c>
      <c r="E66" s="30">
        <v>38638.520663410382</v>
      </c>
      <c r="F66" s="31">
        <f t="shared" si="0"/>
        <v>-0.38666075851236631</v>
      </c>
      <c r="G66" s="39">
        <f t="shared" si="9"/>
        <v>0.6245036397398086</v>
      </c>
      <c r="H66" s="27">
        <f>'Benefit-Cost'!M62</f>
        <v>-70407.025715820026</v>
      </c>
      <c r="I66" s="38">
        <f t="shared" si="10"/>
        <v>0.50199624923469921</v>
      </c>
      <c r="K66" s="30">
        <v>40495.640999914976</v>
      </c>
      <c r="L66" s="31">
        <f t="shared" si="1"/>
        <v>-1.7386322077471956</v>
      </c>
      <c r="M66" s="39">
        <f t="shared" si="11"/>
        <v>0.29881054824610687</v>
      </c>
      <c r="N66" s="27">
        <f>'Benefit-Cost'!S62</f>
        <v>-285723.02547087474</v>
      </c>
      <c r="O66" s="38">
        <f t="shared" si="12"/>
        <v>0.38542854946978233</v>
      </c>
      <c r="Q66" s="30">
        <v>40820.79872623863</v>
      </c>
      <c r="R66" s="31">
        <f t="shared" si="2"/>
        <v>-6.9994472030557997</v>
      </c>
      <c r="S66" s="39">
        <f t="shared" si="13"/>
        <v>0.1196923184748639</v>
      </c>
      <c r="T66" s="27">
        <f>'Benefit-Cost'!Y62</f>
        <v>-496662.55743905366</v>
      </c>
      <c r="U66" s="38">
        <f t="shared" si="14"/>
        <v>0.37461485163457381</v>
      </c>
      <c r="W66" s="30">
        <v>40919.01952044513</v>
      </c>
      <c r="X66" s="31">
        <f t="shared" si="3"/>
        <v>-12.137694481924155</v>
      </c>
      <c r="Y66" s="39">
        <f t="shared" si="15"/>
        <v>8.6290095637863079E-2</v>
      </c>
      <c r="Z66" s="27">
        <f>'Benefit-Cost'!AE62</f>
        <v>-735692.96137874294</v>
      </c>
      <c r="AA66" s="38">
        <f t="shared" si="16"/>
        <v>0.3762619812460048</v>
      </c>
      <c r="AC66" s="30">
        <v>40911.283192489624</v>
      </c>
      <c r="AD66" s="36">
        <f t="shared" si="17"/>
        <v>-17.982642048093943</v>
      </c>
      <c r="AE66" s="39">
        <f t="shared" si="18"/>
        <v>7.0857919555063736E-2</v>
      </c>
      <c r="AF66" s="11">
        <v>-19304.043059825199</v>
      </c>
      <c r="AG66" s="38">
        <f t="shared" si="19"/>
        <v>0.70688881971397477</v>
      </c>
      <c r="AI66" s="30">
        <v>40308.596817748257</v>
      </c>
      <c r="AJ66" s="36">
        <f t="shared" si="4"/>
        <v>-0.47890635208927557</v>
      </c>
      <c r="AK66" s="38">
        <f t="shared" si="20"/>
        <v>0.58948911874038401</v>
      </c>
      <c r="AL66" s="11">
        <v>-77612.059877331601</v>
      </c>
      <c r="AM66" s="38">
        <f t="shared" si="21"/>
        <v>0.5041199052575267</v>
      </c>
      <c r="AO66" s="30">
        <v>40571.173978483494</v>
      </c>
      <c r="AP66" s="36">
        <f t="shared" si="5"/>
        <v>-1.9129853111594051</v>
      </c>
      <c r="AQ66" s="38">
        <f t="shared" si="22"/>
        <v>0.29842621030537003</v>
      </c>
      <c r="AR66" s="11">
        <v>-152986.44801049982</v>
      </c>
      <c r="AS66" s="38">
        <f t="shared" si="23"/>
        <v>0.4406534294852259</v>
      </c>
      <c r="AU66" s="30">
        <v>40741.70542720057</v>
      </c>
      <c r="AV66" s="36">
        <f t="shared" si="6"/>
        <v>-3.7550329915340459</v>
      </c>
      <c r="AW66" s="38">
        <f t="shared" si="24"/>
        <v>0.20066865455567037</v>
      </c>
      <c r="AX66" s="11">
        <v>-238455.30096515571</v>
      </c>
      <c r="AY66" s="38">
        <f t="shared" si="25"/>
        <v>0.41337838183104297</v>
      </c>
      <c r="BA66" s="30">
        <v>40832.013802030167</v>
      </c>
      <c r="BB66" s="36">
        <f t="shared" si="7"/>
        <v>-5.8399103732987987</v>
      </c>
      <c r="BC66" s="38">
        <f t="shared" si="26"/>
        <v>0.1526614061154109</v>
      </c>
    </row>
    <row r="67" spans="1:55" x14ac:dyDescent="0.35">
      <c r="A67" s="44">
        <v>50130</v>
      </c>
      <c r="B67" s="27">
        <f>'Benefit-Cost'!G63</f>
        <v>11349.681345514953</v>
      </c>
      <c r="C67" s="38">
        <f t="shared" si="8"/>
        <v>1.7596841745458487</v>
      </c>
      <c r="E67" s="30">
        <v>39591.412425970353</v>
      </c>
      <c r="F67" s="31">
        <f t="shared" si="0"/>
        <v>0.28667028150958374</v>
      </c>
      <c r="G67" s="39">
        <f t="shared" si="9"/>
        <v>1.7413999874528654</v>
      </c>
      <c r="H67" s="27">
        <f>'Benefit-Cost'!M63</f>
        <v>-40636.610134638846</v>
      </c>
      <c r="I67" s="38">
        <f t="shared" si="10"/>
        <v>0.42283302381415538</v>
      </c>
      <c r="K67" s="30">
        <v>42363.007446127638</v>
      </c>
      <c r="L67" s="31">
        <f t="shared" si="1"/>
        <v>-0.95924752713356753</v>
      </c>
      <c r="M67" s="39">
        <f t="shared" si="11"/>
        <v>0.44827461330852897</v>
      </c>
      <c r="N67" s="27">
        <f>'Benefit-Cost'!S63</f>
        <v>-266607.89604126709</v>
      </c>
      <c r="O67" s="38">
        <f t="shared" si="12"/>
        <v>6.6900906561890502E-2</v>
      </c>
      <c r="Q67" s="30">
        <v>43154.653701549832</v>
      </c>
      <c r="R67" s="31">
        <f t="shared" si="2"/>
        <v>-6.177963977768921</v>
      </c>
      <c r="S67" s="39">
        <f t="shared" si="13"/>
        <v>0.11736401482223306</v>
      </c>
      <c r="T67" s="27">
        <f>'Benefit-Cost'!Y63</f>
        <v>-493643.96572390664</v>
      </c>
      <c r="U67" s="38">
        <f t="shared" si="14"/>
        <v>6.0777517248568448E-3</v>
      </c>
      <c r="W67" s="30">
        <v>43799.965626170044</v>
      </c>
      <c r="X67" s="31">
        <f t="shared" si="3"/>
        <v>-11.270419021264237</v>
      </c>
      <c r="Y67" s="39">
        <f t="shared" si="15"/>
        <v>7.1453064002516539E-2</v>
      </c>
      <c r="Z67" s="27">
        <f>'Benefit-Cost'!AE63</f>
        <v>-757268.89511289354</v>
      </c>
      <c r="AA67" s="38">
        <f t="shared" si="16"/>
        <v>-2.9327361911572064E-2</v>
      </c>
      <c r="AC67" s="30">
        <v>44289.390936027521</v>
      </c>
      <c r="AD67" s="36">
        <f t="shared" si="17"/>
        <v>-17.098200700179142</v>
      </c>
      <c r="AE67" s="39">
        <f t="shared" si="18"/>
        <v>4.9183059171694257E-2</v>
      </c>
      <c r="AF67" s="11">
        <v>11599.460172597785</v>
      </c>
      <c r="AG67" s="38">
        <f t="shared" si="19"/>
        <v>1.6008824232649024</v>
      </c>
      <c r="AI67" s="30">
        <v>42015.745727271678</v>
      </c>
      <c r="AJ67" s="36">
        <f t="shared" si="4"/>
        <v>0.27607412344626742</v>
      </c>
      <c r="AK67" s="38">
        <f t="shared" si="20"/>
        <v>1.5764678673437242</v>
      </c>
      <c r="AL67" s="11">
        <v>-48111.330268924125</v>
      </c>
      <c r="AM67" s="38">
        <f t="shared" si="21"/>
        <v>0.38010496893181733</v>
      </c>
      <c r="AO67" s="30">
        <v>42519.137138145612</v>
      </c>
      <c r="AP67" s="36">
        <f t="shared" si="5"/>
        <v>-1.1315217924721603</v>
      </c>
      <c r="AQ67" s="38">
        <f t="shared" si="22"/>
        <v>0.40850471466172539</v>
      </c>
      <c r="AR67" s="11">
        <v>-126569.63412520057</v>
      </c>
      <c r="AS67" s="38">
        <f t="shared" si="23"/>
        <v>0.17267420891742127</v>
      </c>
      <c r="AU67" s="30">
        <v>42937.262257927214</v>
      </c>
      <c r="AV67" s="36">
        <f t="shared" si="6"/>
        <v>-2.9477807263278151</v>
      </c>
      <c r="AW67" s="38">
        <f t="shared" si="24"/>
        <v>0.21497874107264331</v>
      </c>
      <c r="AX67" s="11">
        <v>-215895.86619087169</v>
      </c>
      <c r="AY67" s="38">
        <f t="shared" si="25"/>
        <v>9.4606555958177324E-2</v>
      </c>
      <c r="BA67" s="30">
        <v>43293.301435947171</v>
      </c>
      <c r="BB67" s="36">
        <f t="shared" si="7"/>
        <v>-4.9868191851871488</v>
      </c>
      <c r="BC67" s="38">
        <f t="shared" si="26"/>
        <v>0.14607950012591769</v>
      </c>
    </row>
    <row r="68" spans="1:55" x14ac:dyDescent="0.35">
      <c r="A68" s="44">
        <v>50221</v>
      </c>
      <c r="B68" s="27">
        <f>'Benefit-Cost'!G64</f>
        <v>-43514.033314918168</v>
      </c>
      <c r="C68" s="38">
        <f t="shared" si="8"/>
        <v>-4.8339431734013907</v>
      </c>
      <c r="E68" s="30">
        <v>56128.935352754401</v>
      </c>
      <c r="F68" s="31">
        <f t="shared" si="0"/>
        <v>-0.77525135728024841</v>
      </c>
      <c r="G68" s="39">
        <f t="shared" si="9"/>
        <v>-3.7043310984237152</v>
      </c>
      <c r="H68" s="27">
        <f>'Benefit-Cost'!M64</f>
        <v>-134801.31155009521</v>
      </c>
      <c r="I68" s="38">
        <f t="shared" si="10"/>
        <v>-2.3172381038542857</v>
      </c>
      <c r="K68" s="30">
        <v>61020.07445257387</v>
      </c>
      <c r="L68" s="31">
        <f t="shared" si="1"/>
        <v>-2.2091305649727735</v>
      </c>
      <c r="M68" s="39">
        <f t="shared" si="11"/>
        <v>-1.3029828094257572</v>
      </c>
      <c r="N68" s="27">
        <f>'Benefit-Cost'!S64</f>
        <v>-478166.47961123008</v>
      </c>
      <c r="O68" s="38">
        <f t="shared" si="12"/>
        <v>-0.79351957204304535</v>
      </c>
      <c r="Q68" s="30">
        <v>62732.182835822561</v>
      </c>
      <c r="R68" s="31">
        <f t="shared" si="2"/>
        <v>-7.6223472226791076</v>
      </c>
      <c r="S68" s="39">
        <f t="shared" si="13"/>
        <v>-0.23379599656257691</v>
      </c>
      <c r="T68" s="27">
        <f>'Benefit-Cost'!Y64</f>
        <v>-829873.80159717146</v>
      </c>
      <c r="U68" s="38">
        <f t="shared" si="14"/>
        <v>-0.68111809161932912</v>
      </c>
      <c r="W68" s="30">
        <v>64339.611161642795</v>
      </c>
      <c r="X68" s="31">
        <f t="shared" si="3"/>
        <v>-12.898334115079569</v>
      </c>
      <c r="Y68" s="39">
        <f t="shared" si="15"/>
        <v>-0.14444139927219174</v>
      </c>
      <c r="Z68" s="27">
        <f>'Benefit-Cost'!AE64</f>
        <v>-1244766.0718804928</v>
      </c>
      <c r="AA68" s="38">
        <f t="shared" si="16"/>
        <v>-0.64375703255964756</v>
      </c>
      <c r="AC68" s="30">
        <v>65846.720975356031</v>
      </c>
      <c r="AD68" s="36">
        <f t="shared" si="17"/>
        <v>-18.903994814659978</v>
      </c>
      <c r="AE68" s="39">
        <f t="shared" si="18"/>
        <v>-0.10561310784367599</v>
      </c>
      <c r="AF68" s="11">
        <v>-54934.417891803663</v>
      </c>
      <c r="AG68" s="38">
        <f t="shared" si="19"/>
        <v>-5.7359460763164716</v>
      </c>
      <c r="AI68" s="30">
        <v>60308.328590545163</v>
      </c>
      <c r="AJ68" s="36">
        <f t="shared" si="4"/>
        <v>-0.91089272701906721</v>
      </c>
      <c r="AK68" s="38">
        <f t="shared" si="20"/>
        <v>-4.2994498566119876</v>
      </c>
      <c r="AL68" s="11">
        <v>-150515.244738888</v>
      </c>
      <c r="AM68" s="38">
        <f t="shared" si="21"/>
        <v>-2.1284781338941317</v>
      </c>
      <c r="AO68" s="30">
        <v>61327.818245350587</v>
      </c>
      <c r="AP68" s="36">
        <f t="shared" si="5"/>
        <v>-2.4542735914186697</v>
      </c>
      <c r="AQ68" s="38">
        <f t="shared" si="22"/>
        <v>-1.169002495353225</v>
      </c>
      <c r="AR68" s="11">
        <v>-274280.91424544854</v>
      </c>
      <c r="AS68" s="38">
        <f t="shared" si="23"/>
        <v>-1.1670356886244488</v>
      </c>
      <c r="AU68" s="30">
        <v>62274.891410126555</v>
      </c>
      <c r="AV68" s="36">
        <f t="shared" si="6"/>
        <v>-4.4043579689140584</v>
      </c>
      <c r="AW68" s="38">
        <f t="shared" si="24"/>
        <v>-0.4941267271262636</v>
      </c>
      <c r="AX68" s="11">
        <v>-415416.3974626679</v>
      </c>
      <c r="AY68" s="38">
        <f t="shared" si="25"/>
        <v>-0.92415169772357664</v>
      </c>
      <c r="BA68" s="30">
        <v>63175.975341435973</v>
      </c>
      <c r="BB68" s="36">
        <f t="shared" si="7"/>
        <v>-6.5755438711874357</v>
      </c>
      <c r="BC68" s="38">
        <f t="shared" si="26"/>
        <v>-0.31858477859382506</v>
      </c>
    </row>
    <row r="69" spans="1:55" x14ac:dyDescent="0.35">
      <c r="A69" s="44">
        <v>50313</v>
      </c>
      <c r="B69" s="27">
        <f>'Benefit-Cost'!G65</f>
        <v>-32509.189338163007</v>
      </c>
      <c r="C69" s="38">
        <f t="shared" si="8"/>
        <v>0.25290333114173325</v>
      </c>
      <c r="E69" s="30">
        <v>52797.5127984172</v>
      </c>
      <c r="F69" s="31">
        <f t="shared" si="0"/>
        <v>-0.61573334831669557</v>
      </c>
      <c r="G69" s="39">
        <f t="shared" si="9"/>
        <v>0.20576295348024537</v>
      </c>
      <c r="H69" s="27">
        <f>'Benefit-Cost'!M65</f>
        <v>-116561.82361745648</v>
      </c>
      <c r="I69" s="38">
        <f t="shared" si="10"/>
        <v>0.1353064575032753</v>
      </c>
      <c r="K69" s="30">
        <v>56869.29678550511</v>
      </c>
      <c r="L69" s="31">
        <f t="shared" si="1"/>
        <v>-2.0496441877432505</v>
      </c>
      <c r="M69" s="39">
        <f t="shared" si="11"/>
        <v>7.2194183430479383E-2</v>
      </c>
      <c r="N69" s="27">
        <f>'Benefit-Cost'!S65</f>
        <v>-434989.39650696144</v>
      </c>
      <c r="O69" s="38">
        <f t="shared" si="12"/>
        <v>9.0297176705848289E-2</v>
      </c>
      <c r="Q69" s="30">
        <v>58284.698393076316</v>
      </c>
      <c r="R69" s="31">
        <f t="shared" si="2"/>
        <v>-7.4631834512269544</v>
      </c>
      <c r="S69" s="39">
        <f t="shared" si="13"/>
        <v>2.0881201918824453E-2</v>
      </c>
      <c r="T69" s="27">
        <f>'Benefit-Cost'!Y65</f>
        <v>-758752.24456007825</v>
      </c>
      <c r="U69" s="38">
        <f t="shared" si="14"/>
        <v>8.5701653552881146E-2</v>
      </c>
      <c r="W69" s="30">
        <v>59559.353815813607</v>
      </c>
      <c r="X69" s="31">
        <f t="shared" si="3"/>
        <v>-12.739430432816784</v>
      </c>
      <c r="Y69" s="39">
        <f t="shared" si="15"/>
        <v>1.2319705850774135E-2</v>
      </c>
      <c r="Z69" s="27">
        <f>'Benefit-Cost'!AE65</f>
        <v>-1137564.9237876222</v>
      </c>
      <c r="AA69" s="38">
        <f t="shared" si="16"/>
        <v>8.6121521556993999E-2</v>
      </c>
      <c r="AC69" s="30">
        <v>60685.184807272817</v>
      </c>
      <c r="AD69" s="36">
        <f t="shared" si="17"/>
        <v>-18.745348265814144</v>
      </c>
      <c r="AE69" s="39">
        <f t="shared" si="18"/>
        <v>8.3922234639423367E-3</v>
      </c>
      <c r="AF69" s="11">
        <v>-42284.358960813377</v>
      </c>
      <c r="AG69" s="38">
        <f t="shared" si="19"/>
        <v>0.23027565261372693</v>
      </c>
      <c r="AI69" s="30">
        <v>56315.295983269469</v>
      </c>
      <c r="AJ69" s="36">
        <f t="shared" si="4"/>
        <v>-0.75085033688494685</v>
      </c>
      <c r="AK69" s="38">
        <f t="shared" si="20"/>
        <v>0.175698394977711</v>
      </c>
      <c r="AL69" s="11">
        <v>-131304.19429406663</v>
      </c>
      <c r="AM69" s="38">
        <f t="shared" si="21"/>
        <v>0.12763524703526513</v>
      </c>
      <c r="AO69" s="30">
        <v>57235.488113479929</v>
      </c>
      <c r="AP69" s="36">
        <f t="shared" si="5"/>
        <v>-2.2941045603338233</v>
      </c>
      <c r="AQ69" s="38">
        <f t="shared" si="22"/>
        <v>6.5261277978492321E-2</v>
      </c>
      <c r="AR69" s="11">
        <v>-246289.52959459973</v>
      </c>
      <c r="AS69" s="38">
        <f t="shared" si="23"/>
        <v>0.10205370916111163</v>
      </c>
      <c r="AU69" s="30">
        <v>58032.544112662959</v>
      </c>
      <c r="AV69" s="36">
        <f t="shared" si="6"/>
        <v>-4.2439898743101674</v>
      </c>
      <c r="AW69" s="38">
        <f t="shared" si="24"/>
        <v>3.6411230816334274E-2</v>
      </c>
      <c r="AX69" s="11">
        <v>-376980.42132361326</v>
      </c>
      <c r="AY69" s="38">
        <f t="shared" si="25"/>
        <v>9.2523974435815934E-2</v>
      </c>
      <c r="BA69" s="30">
        <v>58766.215995768071</v>
      </c>
      <c r="BB69" s="36">
        <f t="shared" si="7"/>
        <v>-6.4149173966001269</v>
      </c>
      <c r="BC69" s="38">
        <f t="shared" si="26"/>
        <v>2.4427861441414459E-2</v>
      </c>
    </row>
    <row r="70" spans="1:55" x14ac:dyDescent="0.35">
      <c r="A70" s="44">
        <v>50405</v>
      </c>
      <c r="B70" s="27">
        <f>'Benefit-Cost'!G66</f>
        <v>-16747.370374088874</v>
      </c>
      <c r="C70" s="38">
        <f t="shared" si="8"/>
        <v>0.4848419565347668</v>
      </c>
      <c r="E70" s="30">
        <v>38445.328060093358</v>
      </c>
      <c r="F70" s="31">
        <f t="shared" si="0"/>
        <v>-0.43561522866735047</v>
      </c>
      <c r="G70" s="39">
        <f t="shared" si="9"/>
        <v>0.29252617247669904</v>
      </c>
      <c r="H70" s="27">
        <f>'Benefit-Cost'!M66</f>
        <v>-71960.006431327434</v>
      </c>
      <c r="I70" s="38">
        <f t="shared" si="10"/>
        <v>0.38264515603760174</v>
      </c>
      <c r="K70" s="30">
        <v>40341.66530401897</v>
      </c>
      <c r="L70" s="31">
        <f t="shared" si="1"/>
        <v>-1.7837639048618685</v>
      </c>
      <c r="M70" s="39">
        <f t="shared" si="11"/>
        <v>0.12972021410902934</v>
      </c>
      <c r="N70" s="27">
        <f>'Benefit-Cost'!S66</f>
        <v>-286329.64168731263</v>
      </c>
      <c r="O70" s="38">
        <f t="shared" si="12"/>
        <v>0.34175489336846332</v>
      </c>
      <c r="Q70" s="30">
        <v>40647.058558657576</v>
      </c>
      <c r="R70" s="31">
        <f t="shared" si="2"/>
        <v>-7.0442893493538206</v>
      </c>
      <c r="S70" s="39">
        <f t="shared" si="13"/>
        <v>5.6128072505609819E-2</v>
      </c>
      <c r="T70" s="27">
        <f>'Benefit-Cost'!Y66</f>
        <v>-496080.2944681379</v>
      </c>
      <c r="U70" s="38">
        <f t="shared" si="14"/>
        <v>0.34618935492472458</v>
      </c>
      <c r="W70" s="30">
        <v>40726.875796180953</v>
      </c>
      <c r="X70" s="31">
        <f t="shared" si="3"/>
        <v>-12.180661658183377</v>
      </c>
      <c r="Y70" s="39">
        <f t="shared" si="15"/>
        <v>4.3861362372529474E-2</v>
      </c>
      <c r="Z70" s="27">
        <f>'Benefit-Cost'!AE66</f>
        <v>-735156.81880210969</v>
      </c>
      <c r="AA70" s="38">
        <f t="shared" si="16"/>
        <v>0.35374517671102185</v>
      </c>
      <c r="AC70" s="30">
        <v>40716.960933995935</v>
      </c>
      <c r="AD70" s="36">
        <f t="shared" si="17"/>
        <v>-18.055296906707568</v>
      </c>
      <c r="AE70" s="39">
        <f t="shared" si="18"/>
        <v>3.6811871901309051E-2</v>
      </c>
      <c r="AF70" s="11">
        <v>-21106.430795829743</v>
      </c>
      <c r="AG70" s="38">
        <f t="shared" si="19"/>
        <v>0.50084543517876379</v>
      </c>
      <c r="AI70" s="30">
        <v>40158.224476618649</v>
      </c>
      <c r="AJ70" s="36">
        <f t="shared" si="4"/>
        <v>-0.52558177237438763</v>
      </c>
      <c r="AK70" s="38">
        <f t="shared" si="20"/>
        <v>0.30001793093032497</v>
      </c>
      <c r="AL70" s="11">
        <v>-79130.925567409722</v>
      </c>
      <c r="AM70" s="38">
        <f t="shared" si="21"/>
        <v>0.39734655093964893</v>
      </c>
      <c r="AO70" s="30">
        <v>40412.607649820777</v>
      </c>
      <c r="AP70" s="36">
        <f t="shared" si="5"/>
        <v>-1.9580752188299004</v>
      </c>
      <c r="AQ70" s="38">
        <f t="shared" si="22"/>
        <v>0.1464751639110233</v>
      </c>
      <c r="AR70" s="11">
        <v>-154051.74344966724</v>
      </c>
      <c r="AS70" s="38">
        <f t="shared" si="23"/>
        <v>0.3745095713031682</v>
      </c>
      <c r="AU70" s="30">
        <v>40571.707964394016</v>
      </c>
      <c r="AV70" s="36">
        <f t="shared" si="6"/>
        <v>-3.7970238666033977</v>
      </c>
      <c r="AW70" s="38">
        <f t="shared" si="24"/>
        <v>0.10531740671964281</v>
      </c>
      <c r="AX70" s="11">
        <v>-238563.32287971117</v>
      </c>
      <c r="AY70" s="38">
        <f t="shared" si="25"/>
        <v>0.3671731756198553</v>
      </c>
      <c r="BA70" s="30">
        <v>40654.596090459447</v>
      </c>
      <c r="BB70" s="36">
        <f t="shared" si="7"/>
        <v>-5.8680529588558779</v>
      </c>
      <c r="BC70" s="38">
        <f t="shared" si="26"/>
        <v>8.5248866654788785E-2</v>
      </c>
    </row>
    <row r="71" spans="1:55" x14ac:dyDescent="0.35">
      <c r="A71" s="44">
        <v>50495</v>
      </c>
      <c r="B71" s="27">
        <f>'Benefit-Cost'!G67</f>
        <v>11130.665155551862</v>
      </c>
      <c r="C71" s="38">
        <f t="shared" si="8"/>
        <v>1.6646216633969568</v>
      </c>
      <c r="E71" s="30">
        <v>39393.455363840301</v>
      </c>
      <c r="F71" s="31">
        <f t="shared" si="0"/>
        <v>0.2825511256311074</v>
      </c>
      <c r="G71" s="39">
        <f t="shared" si="9"/>
        <v>1.6486254543843608</v>
      </c>
      <c r="H71" s="27">
        <f>'Benefit-Cost'!M67</f>
        <v>-40785.639147209469</v>
      </c>
      <c r="I71" s="38">
        <f t="shared" si="10"/>
        <v>0.43321796133895785</v>
      </c>
      <c r="K71" s="30">
        <v>42243.953194967646</v>
      </c>
      <c r="L71" s="31">
        <f t="shared" si="1"/>
        <v>-0.96547875050832366</v>
      </c>
      <c r="M71" s="39">
        <f t="shared" si="11"/>
        <v>0.45874072915322917</v>
      </c>
      <c r="N71" s="27">
        <f>'Benefit-Cost'!S67</f>
        <v>-266001.0808258187</v>
      </c>
      <c r="O71" s="38">
        <f t="shared" si="12"/>
        <v>7.0997053402154606E-2</v>
      </c>
      <c r="Q71" s="30">
        <v>43011.681397929722</v>
      </c>
      <c r="R71" s="31">
        <f t="shared" si="2"/>
        <v>-6.1843915927132791</v>
      </c>
      <c r="S71" s="39">
        <f t="shared" si="13"/>
        <v>0.12207019246298006</v>
      </c>
      <c r="T71" s="27">
        <f>'Benefit-Cost'!Y67</f>
        <v>-492081.15761977853</v>
      </c>
      <c r="U71" s="38">
        <f t="shared" si="14"/>
        <v>8.0614708807310309E-3</v>
      </c>
      <c r="W71" s="30">
        <v>43636.784150940905</v>
      </c>
      <c r="X71" s="31">
        <f t="shared" si="3"/>
        <v>-11.276751190409804</v>
      </c>
      <c r="Y71" s="39">
        <f t="shared" si="15"/>
        <v>7.4208650822042588E-2</v>
      </c>
      <c r="Z71" s="27">
        <f>'Benefit-Cost'!AE67</f>
        <v>-754504.56886653323</v>
      </c>
      <c r="AA71" s="38">
        <f t="shared" si="16"/>
        <v>-2.6317854326576802E-2</v>
      </c>
      <c r="AC71" s="30">
        <v>44105.883423828942</v>
      </c>
      <c r="AD71" s="36">
        <f t="shared" si="17"/>
        <v>-17.106664923049689</v>
      </c>
      <c r="AE71" s="39">
        <f t="shared" si="18"/>
        <v>5.2540370206012023E-2</v>
      </c>
      <c r="AF71" s="11">
        <v>11263.483137211762</v>
      </c>
      <c r="AG71" s="38">
        <f t="shared" si="19"/>
        <v>1.5336517218930843</v>
      </c>
      <c r="AI71" s="30">
        <v>41904.706966182319</v>
      </c>
      <c r="AJ71" s="36">
        <f t="shared" si="4"/>
        <v>0.26878801816467895</v>
      </c>
      <c r="AK71" s="38">
        <f t="shared" si="20"/>
        <v>1.5114104641612516</v>
      </c>
      <c r="AL71" s="11">
        <v>-48345.708336170297</v>
      </c>
      <c r="AM71" s="38">
        <f t="shared" si="21"/>
        <v>0.38904154109778788</v>
      </c>
      <c r="AO71" s="30">
        <v>42391.445894678902</v>
      </c>
      <c r="AP71" s="36">
        <f t="shared" si="5"/>
        <v>-1.1404590552604574</v>
      </c>
      <c r="AQ71" s="38">
        <f t="shared" si="22"/>
        <v>0.4175611619547645</v>
      </c>
      <c r="AR71" s="11">
        <v>-126583.23710494768</v>
      </c>
      <c r="AS71" s="38">
        <f t="shared" si="23"/>
        <v>0.17830701379692104</v>
      </c>
      <c r="AU71" s="30">
        <v>42792.494903181228</v>
      </c>
      <c r="AV71" s="36">
        <f t="shared" si="6"/>
        <v>-2.9580709746263798</v>
      </c>
      <c r="AW71" s="38">
        <f t="shared" si="24"/>
        <v>0.22095012342587608</v>
      </c>
      <c r="AX71" s="11">
        <v>-215627.49967686785</v>
      </c>
      <c r="AY71" s="38">
        <f t="shared" si="25"/>
        <v>9.6141447587096418E-2</v>
      </c>
      <c r="BA71" s="30">
        <v>43139.178670720969</v>
      </c>
      <c r="BB71" s="36">
        <f t="shared" si="7"/>
        <v>-4.9984145809251714</v>
      </c>
      <c r="BC71" s="38">
        <f t="shared" si="26"/>
        <v>0.14819879507363273</v>
      </c>
    </row>
    <row r="72" spans="1:55" x14ac:dyDescent="0.35">
      <c r="A72" s="44">
        <v>50586</v>
      </c>
      <c r="B72" s="27">
        <f>'Benefit-Cost'!G68</f>
        <v>-43156.966761171585</v>
      </c>
      <c r="C72" s="38">
        <f t="shared" si="8"/>
        <v>-4.8773034816922269</v>
      </c>
      <c r="E72" s="30">
        <v>55848.290675990211</v>
      </c>
      <c r="F72" s="31">
        <f t="shared" ref="F72:F135" si="27">B72/E72</f>
        <v>-0.7727535836602647</v>
      </c>
      <c r="G72" s="39">
        <f t="shared" si="9"/>
        <v>-3.7349159623209394</v>
      </c>
      <c r="H72" s="27">
        <f>'Benefit-Cost'!M68</f>
        <v>-134397.6925463439</v>
      </c>
      <c r="I72" s="38">
        <f t="shared" si="10"/>
        <v>-2.2952209492477529</v>
      </c>
      <c r="K72" s="30">
        <v>60904.56561436523</v>
      </c>
      <c r="L72" s="31">
        <f t="shared" ref="L72:L135" si="28">H72/K72</f>
        <v>-2.2066932288347894</v>
      </c>
      <c r="M72" s="39">
        <f t="shared" si="11"/>
        <v>-1.2855948177761214</v>
      </c>
      <c r="N72" s="27">
        <f>'Benefit-Cost'!S68</f>
        <v>-476924.25735854637</v>
      </c>
      <c r="O72" s="38">
        <f t="shared" si="12"/>
        <v>-0.79294105075777177</v>
      </c>
      <c r="Q72" s="30">
        <v>62588.552874725632</v>
      </c>
      <c r="R72" s="31">
        <f t="shared" ref="R72:R135" si="29">N72/Q72</f>
        <v>-7.6199917629208658</v>
      </c>
      <c r="S72" s="39">
        <f t="shared" si="13"/>
        <v>-0.23213280541598846</v>
      </c>
      <c r="T72" s="27">
        <f>'Benefit-Cost'!Y68</f>
        <v>-827512.62756757392</v>
      </c>
      <c r="U72" s="38">
        <f t="shared" si="14"/>
        <v>-0.68165883768095159</v>
      </c>
      <c r="W72" s="30">
        <v>64168.128315338981</v>
      </c>
      <c r="X72" s="31">
        <f t="shared" ref="X72:X135" si="30">T72/W72</f>
        <v>-12.89600693199216</v>
      </c>
      <c r="Y72" s="39">
        <f t="shared" si="15"/>
        <v>-0.14359239768980933</v>
      </c>
      <c r="Z72" s="27">
        <f>'Benefit-Cost'!AE68</f>
        <v>-1240775.1088478928</v>
      </c>
      <c r="AA72" s="38">
        <f t="shared" si="16"/>
        <v>-0.64448985472926623</v>
      </c>
      <c r="AC72" s="30">
        <v>65643.37108806886</v>
      </c>
      <c r="AD72" s="36">
        <f t="shared" si="17"/>
        <v>-18.901757912207717</v>
      </c>
      <c r="AE72" s="39">
        <f t="shared" si="18"/>
        <v>-0.10493529844846045</v>
      </c>
      <c r="AF72" s="11">
        <v>-54690.712171565741</v>
      </c>
      <c r="AG72" s="38">
        <f t="shared" si="19"/>
        <v>-5.8555772229001839</v>
      </c>
      <c r="AI72" s="30">
        <v>60200.433064433251</v>
      </c>
      <c r="AJ72" s="36">
        <f t="shared" ref="AJ72:AJ135" si="31">AF72/AI72</f>
        <v>-0.90847705552266722</v>
      </c>
      <c r="AK72" s="38">
        <f t="shared" si="20"/>
        <v>-4.379901610666546</v>
      </c>
      <c r="AL72" s="11">
        <v>-150060.73025016207</v>
      </c>
      <c r="AM72" s="38">
        <f t="shared" si="21"/>
        <v>-2.1039100556086532</v>
      </c>
      <c r="AO72" s="30">
        <v>61200.195358873047</v>
      </c>
      <c r="AP72" s="36">
        <f t="shared" ref="AP72:AP135" si="32">AL72/AO72</f>
        <v>-2.4519648894945183</v>
      </c>
      <c r="AQ72" s="38">
        <f t="shared" si="22"/>
        <v>-1.1499806399753123</v>
      </c>
      <c r="AR72" s="11">
        <v>-273503.33169954503</v>
      </c>
      <c r="AS72" s="38">
        <f t="shared" si="23"/>
        <v>-1.1606599574696355</v>
      </c>
      <c r="AU72" s="30">
        <v>62129.491451569949</v>
      </c>
      <c r="AV72" s="36">
        <f t="shared" ref="AV72:AV135" si="33">AR72/AU72</f>
        <v>-4.4021498536285524</v>
      </c>
      <c r="AW72" s="38">
        <f t="shared" si="24"/>
        <v>-0.48818263367888509</v>
      </c>
      <c r="AX72" s="11">
        <v>-414214.60237288149</v>
      </c>
      <c r="AY72" s="38">
        <f t="shared" si="25"/>
        <v>-0.92097298810963169</v>
      </c>
      <c r="BA72" s="30">
        <v>63013.359025398866</v>
      </c>
      <c r="BB72" s="36">
        <f t="shared" ref="BB72:BB135" si="34">AX72/BA72</f>
        <v>-6.5734410731210753</v>
      </c>
      <c r="BC72" s="38">
        <f t="shared" si="26"/>
        <v>-0.31510521320229856</v>
      </c>
    </row>
    <row r="73" spans="1:55" x14ac:dyDescent="0.35">
      <c r="A73" s="44">
        <v>50678</v>
      </c>
      <c r="B73" s="27">
        <f>'Benefit-Cost'!G69</f>
        <v>-32186.386614723364</v>
      </c>
      <c r="C73" s="38">
        <f t="shared" ref="C73:C136" si="35">IFERROR((B73-B72)/ABS(B72),"")</f>
        <v>0.25420183506312766</v>
      </c>
      <c r="E73" s="30">
        <v>52533.525234424786</v>
      </c>
      <c r="F73" s="31">
        <f t="shared" si="27"/>
        <v>-0.61268278629875561</v>
      </c>
      <c r="G73" s="39">
        <f t="shared" ref="G73:G136" si="36">IFERROR((F73-F72)/ABS(F72),"")</f>
        <v>0.20714339052730038</v>
      </c>
      <c r="H73" s="27">
        <f>'Benefit-Cost'!M69</f>
        <v>-116097.56167371664</v>
      </c>
      <c r="I73" s="38">
        <f t="shared" ref="I73:I136" si="37">IFERROR((H73-H72)/ABS(H72),"")</f>
        <v>0.13616402577980929</v>
      </c>
      <c r="K73" s="30">
        <v>56729.710700382704</v>
      </c>
      <c r="L73" s="31">
        <f t="shared" si="28"/>
        <v>-2.0465036792957494</v>
      </c>
      <c r="M73" s="39">
        <f t="shared" ref="M73:M136" si="38">IFERROR((L73-L72)/ABS(L72),"")</f>
        <v>7.25925776387258E-2</v>
      </c>
      <c r="N73" s="27">
        <f>'Benefit-Cost'!S69</f>
        <v>-433536.90731137339</v>
      </c>
      <c r="O73" s="38">
        <f t="shared" ref="O73:O136" si="39">IFERROR((N73-N72)/ABS(N72),"")</f>
        <v>9.0973250736866698E-2</v>
      </c>
      <c r="Q73" s="30">
        <v>58115.018600967327</v>
      </c>
      <c r="R73" s="31">
        <f t="shared" si="29"/>
        <v>-7.4599805308185374</v>
      </c>
      <c r="S73" s="39">
        <f t="shared" ref="S73:S136" si="40">IFERROR((R73-R72)/ABS(R72),"")</f>
        <v>2.0998872056653444E-2</v>
      </c>
      <c r="T73" s="27">
        <f>'Benefit-Cost'!Y69</f>
        <v>-756079.98655409552</v>
      </c>
      <c r="U73" s="38">
        <f t="shared" ref="U73:U136" si="41">IFERROR((T73-T72)/ABS(T72),"")</f>
        <v>8.6322115982025022E-2</v>
      </c>
      <c r="W73" s="30">
        <v>59364.474648392534</v>
      </c>
      <c r="X73" s="31">
        <f t="shared" si="30"/>
        <v>-12.736236461827572</v>
      </c>
      <c r="Y73" s="39">
        <f t="shared" ref="Y73:Y136" si="42">IFERROR((X73-X72)/ABS(X72),"")</f>
        <v>1.2389142701857014E-2</v>
      </c>
      <c r="Z73" s="27">
        <f>'Benefit-Cost'!AE69</f>
        <v>-1133404.7626046021</v>
      </c>
      <c r="AA73" s="38">
        <f t="shared" ref="AA73:AA136" si="43">IFERROR((Z73-Z72)/ABS(Z72),"")</f>
        <v>8.6534896999173494E-2</v>
      </c>
      <c r="AC73" s="30">
        <v>60473.583912243295</v>
      </c>
      <c r="AD73" s="36">
        <f t="shared" ref="AD73:AD136" si="44">Z73/AC73</f>
        <v>-18.742146393197917</v>
      </c>
      <c r="AE73" s="39">
        <f t="shared" ref="AE73:AE136" si="45">IFERROR((AD73-AD72)/ABS(AD72),"")</f>
        <v>8.4442685040799926E-3</v>
      </c>
      <c r="AF73" s="11">
        <v>-42010.847092379816</v>
      </c>
      <c r="AG73" s="38">
        <f t="shared" ref="AG73:AG136" si="46">IFERROR((AF73-AF72)/ABS(AF72),"")</f>
        <v>0.23184677206998078</v>
      </c>
      <c r="AI73" s="30">
        <v>56183.090476206882</v>
      </c>
      <c r="AJ73" s="36">
        <f t="shared" si="31"/>
        <v>-0.74774895322234181</v>
      </c>
      <c r="AK73" s="38">
        <f t="shared" ref="AK73:AK136" si="47">IFERROR((AJ73-AJ72)/ABS(AJ72),"")</f>
        <v>0.17692037605490754</v>
      </c>
      <c r="AL73" s="11">
        <v>-130774.67511340417</v>
      </c>
      <c r="AM73" s="38">
        <f t="shared" ref="AM73:AM136" si="48">IFERROR((AL73-AL72)/ABS(AL72),"")</f>
        <v>0.12852166655864367</v>
      </c>
      <c r="AO73" s="30">
        <v>57082.344017971292</v>
      </c>
      <c r="AP73" s="36">
        <f t="shared" si="32"/>
        <v>-2.290982918855474</v>
      </c>
      <c r="AQ73" s="38">
        <f t="shared" ref="AQ73:AQ136" si="49">IFERROR((AP73-AP72)/ABS(AP72),"")</f>
        <v>6.5654272346547068E-2</v>
      </c>
      <c r="AR73" s="11">
        <v>-245371.57618870819</v>
      </c>
      <c r="AS73" s="38">
        <f t="shared" ref="AS73:AS136" si="50">IFERROR((AR73-AR72)/ABS(AR72),"")</f>
        <v>0.10285708527214858</v>
      </c>
      <c r="AU73" s="30">
        <v>57858.928956979085</v>
      </c>
      <c r="AV73" s="36">
        <f t="shared" si="33"/>
        <v>-4.2408592867516406</v>
      </c>
      <c r="AW73" s="38">
        <f t="shared" ref="AW73:AW136" si="51">IFERROR((AV73-AV72)/ABS(AV72),"")</f>
        <v>3.6639045066574706E-2</v>
      </c>
      <c r="AX73" s="11">
        <v>-375556.55062366696</v>
      </c>
      <c r="AY73" s="38">
        <f t="shared" ref="AY73:AY136" si="52">IFERROR((AX73-AX72)/ABS(AX72),"")</f>
        <v>9.3328558500248238E-2</v>
      </c>
      <c r="BA73" s="30">
        <v>58573.19524390591</v>
      </c>
      <c r="BB73" s="36">
        <f t="shared" si="34"/>
        <v>-6.4117477125808797</v>
      </c>
      <c r="BC73" s="38">
        <f t="shared" ref="BC73:BC136" si="53">IFERROR((BB73-BB72)/ABS(BB72),"")</f>
        <v>2.4597978249377296E-2</v>
      </c>
    </row>
    <row r="74" spans="1:55" x14ac:dyDescent="0.35">
      <c r="A74" s="44">
        <v>50770</v>
      </c>
      <c r="B74" s="27">
        <f>'Benefit-Cost'!G70</f>
        <v>-7992.9392203171737</v>
      </c>
      <c r="C74" s="38">
        <f t="shared" si="35"/>
        <v>0.75166708472143695</v>
      </c>
      <c r="E74" s="30">
        <v>38253.101419792758</v>
      </c>
      <c r="F74" s="31">
        <f t="shared" si="27"/>
        <v>-0.208948789082537</v>
      </c>
      <c r="G74" s="39">
        <f t="shared" si="36"/>
        <v>0.65896089500929822</v>
      </c>
      <c r="H74" s="27">
        <f>'Benefit-Cost'!M70</f>
        <v>-62019.694064573385</v>
      </c>
      <c r="I74" s="38">
        <f t="shared" si="37"/>
        <v>0.4657967560173657</v>
      </c>
      <c r="K74" s="30">
        <v>40176.062622379606</v>
      </c>
      <c r="L74" s="31">
        <f t="shared" si="28"/>
        <v>-1.5436976651372014</v>
      </c>
      <c r="M74" s="39">
        <f t="shared" si="38"/>
        <v>0.24569025662908922</v>
      </c>
      <c r="N74" s="27">
        <f>'Benefit-Cost'!S70</f>
        <v>-274343.47773875063</v>
      </c>
      <c r="O74" s="38">
        <f t="shared" si="39"/>
        <v>0.36719694883620924</v>
      </c>
      <c r="Q74" s="30">
        <v>40453.295363019846</v>
      </c>
      <c r="R74" s="31">
        <f t="shared" si="29"/>
        <v>-6.7817337321186493</v>
      </c>
      <c r="S74" s="39">
        <f t="shared" si="40"/>
        <v>9.0918038713094104E-2</v>
      </c>
      <c r="T74" s="27">
        <f>'Benefit-Cost'!Y70</f>
        <v>-482079.28348648734</v>
      </c>
      <c r="U74" s="38">
        <f t="shared" si="41"/>
        <v>0.36239645003221382</v>
      </c>
      <c r="W74" s="30">
        <v>40510.522120836707</v>
      </c>
      <c r="X74" s="31">
        <f t="shared" si="30"/>
        <v>-11.900100473860061</v>
      </c>
      <c r="Y74" s="39">
        <f t="shared" si="42"/>
        <v>6.5650162076806365E-2</v>
      </c>
      <c r="Z74" s="27">
        <f>'Benefit-Cost'!AE70</f>
        <v>-719217.55462500919</v>
      </c>
      <c r="AA74" s="38">
        <f t="shared" si="43"/>
        <v>0.36543626923516437</v>
      </c>
      <c r="AC74" s="30">
        <v>40492.364433900111</v>
      </c>
      <c r="AD74" s="36">
        <f t="shared" si="44"/>
        <v>-17.761806816666947</v>
      </c>
      <c r="AE74" s="39">
        <f t="shared" si="45"/>
        <v>5.2306686542943868E-2</v>
      </c>
      <c r="AF74" s="11">
        <v>-11678.764410289703</v>
      </c>
      <c r="AG74" s="38">
        <f t="shared" si="46"/>
        <v>0.72200597658484089</v>
      </c>
      <c r="AI74" s="30">
        <v>40002.700917007358</v>
      </c>
      <c r="AJ74" s="36">
        <f t="shared" si="31"/>
        <v>-0.29194939697995281</v>
      </c>
      <c r="AK74" s="38">
        <f t="shared" si="47"/>
        <v>0.60956227926253992</v>
      </c>
      <c r="AL74" s="11">
        <v>-69054.234595495043</v>
      </c>
      <c r="AM74" s="38">
        <f t="shared" si="48"/>
        <v>0.47196019003210576</v>
      </c>
      <c r="AO74" s="30">
        <v>40240.011452267267</v>
      </c>
      <c r="AP74" s="36">
        <f t="shared" si="32"/>
        <v>-1.7160590194515037</v>
      </c>
      <c r="AQ74" s="38">
        <f t="shared" si="49"/>
        <v>0.25095075771721159</v>
      </c>
      <c r="AR74" s="11">
        <v>-143143.96220224793</v>
      </c>
      <c r="AS74" s="38">
        <f t="shared" si="50"/>
        <v>0.41662370016256467</v>
      </c>
      <c r="AU74" s="30">
        <v>40381.822023508561</v>
      </c>
      <c r="AV74" s="36">
        <f t="shared" si="33"/>
        <v>-3.5447623467538358</v>
      </c>
      <c r="AW74" s="38">
        <f t="shared" si="51"/>
        <v>0.16414054155779176</v>
      </c>
      <c r="AX74" s="11">
        <v>-226991.08545381972</v>
      </c>
      <c r="AY74" s="38">
        <f t="shared" si="52"/>
        <v>0.39558746857998461</v>
      </c>
      <c r="BA74" s="30">
        <v>40452.97801877273</v>
      </c>
      <c r="BB74" s="36">
        <f t="shared" si="34"/>
        <v>-5.6112330060961533</v>
      </c>
      <c r="BC74" s="38">
        <f t="shared" si="53"/>
        <v>0.12485124842232764</v>
      </c>
    </row>
    <row r="75" spans="1:55" x14ac:dyDescent="0.35">
      <c r="A75" s="44">
        <v>50860</v>
      </c>
      <c r="B75" s="27">
        <f>'Benefit-Cost'!G71</f>
        <v>10998.829956547823</v>
      </c>
      <c r="C75" s="38">
        <f t="shared" si="35"/>
        <v>2.3760682589190725</v>
      </c>
      <c r="E75" s="30">
        <v>39196.488087021178</v>
      </c>
      <c r="F75" s="31">
        <f t="shared" si="27"/>
        <v>0.28060753637236641</v>
      </c>
      <c r="G75" s="39">
        <f t="shared" si="36"/>
        <v>2.3429488517472263</v>
      </c>
      <c r="H75" s="27">
        <f>'Benefit-Cost'!M71</f>
        <v>-40836.899335172493</v>
      </c>
      <c r="I75" s="38">
        <f t="shared" si="37"/>
        <v>0.34154948760866</v>
      </c>
      <c r="K75" s="30">
        <v>42118.120038285138</v>
      </c>
      <c r="L75" s="31">
        <f t="shared" si="28"/>
        <v>-0.96958029698505011</v>
      </c>
      <c r="M75" s="39">
        <f t="shared" si="38"/>
        <v>0.3719104984855468</v>
      </c>
      <c r="N75" s="27">
        <f>'Benefit-Cost'!S71</f>
        <v>-265315.73349059606</v>
      </c>
      <c r="O75" s="38">
        <f t="shared" si="39"/>
        <v>3.2906720883488373E-2</v>
      </c>
      <c r="Q75" s="30">
        <v>42863.181524270272</v>
      </c>
      <c r="R75" s="31">
        <f t="shared" si="29"/>
        <v>-6.1898282874864821</v>
      </c>
      <c r="S75" s="39">
        <f t="shared" si="40"/>
        <v>8.7279369555438566E-2</v>
      </c>
      <c r="T75" s="27">
        <f>'Benefit-Cost'!Y71</f>
        <v>-490448.33392191119</v>
      </c>
      <c r="U75" s="38">
        <f t="shared" si="41"/>
        <v>-1.7360319603234798E-2</v>
      </c>
      <c r="W75" s="30">
        <v>43466.857789353191</v>
      </c>
      <c r="X75" s="31">
        <f t="shared" si="30"/>
        <v>-11.283270953209827</v>
      </c>
      <c r="Y75" s="39">
        <f t="shared" si="42"/>
        <v>5.183397585635266E-2</v>
      </c>
      <c r="Z75" s="27">
        <f>'Benefit-Cost'!AE71</f>
        <v>-751475.80149891879</v>
      </c>
      <c r="AA75" s="38">
        <f t="shared" si="43"/>
        <v>-4.485186250873513E-2</v>
      </c>
      <c r="AC75" s="30">
        <v>43915.493466892513</v>
      </c>
      <c r="AD75" s="36">
        <f t="shared" si="44"/>
        <v>-17.111860579807658</v>
      </c>
      <c r="AE75" s="39">
        <f t="shared" si="45"/>
        <v>3.6592349166268752E-2</v>
      </c>
      <c r="AF75" s="11">
        <v>11025.408072809223</v>
      </c>
      <c r="AG75" s="38">
        <f t="shared" si="46"/>
        <v>1.9440560392754533</v>
      </c>
      <c r="AI75" s="30">
        <v>41789.850409384992</v>
      </c>
      <c r="AJ75" s="36">
        <f t="shared" si="31"/>
        <v>0.2638298047205544</v>
      </c>
      <c r="AK75" s="38">
        <f t="shared" si="47"/>
        <v>1.9036833350221671</v>
      </c>
      <c r="AL75" s="11">
        <v>-48494.212051127572</v>
      </c>
      <c r="AM75" s="38">
        <f t="shared" si="48"/>
        <v>0.29773731712187806</v>
      </c>
      <c r="AO75" s="30">
        <v>42259.922764404597</v>
      </c>
      <c r="AP75" s="36">
        <f t="shared" si="32"/>
        <v>-1.1475224959941028</v>
      </c>
      <c r="AQ75" s="38">
        <f t="shared" si="49"/>
        <v>0.33130359562989836</v>
      </c>
      <c r="AR75" s="11">
        <v>-126530.04348501563</v>
      </c>
      <c r="AS75" s="38">
        <f t="shared" si="50"/>
        <v>0.11606440440539514</v>
      </c>
      <c r="AU75" s="30">
        <v>42646.420867428074</v>
      </c>
      <c r="AV75" s="36">
        <f t="shared" si="33"/>
        <v>-2.9669557470801751</v>
      </c>
      <c r="AW75" s="38">
        <f t="shared" si="51"/>
        <v>0.1630029161765372</v>
      </c>
      <c r="AX75" s="11">
        <v>-215299.02926947456</v>
      </c>
      <c r="AY75" s="38">
        <f t="shared" si="52"/>
        <v>5.1508878249422935E-2</v>
      </c>
      <c r="BA75" s="30">
        <v>42981.822129957072</v>
      </c>
      <c r="BB75" s="36">
        <f t="shared" si="34"/>
        <v>-5.0090717098616775</v>
      </c>
      <c r="BC75" s="38">
        <f t="shared" si="53"/>
        <v>0.10731354331218754</v>
      </c>
    </row>
    <row r="76" spans="1:55" x14ac:dyDescent="0.35">
      <c r="A76" s="44">
        <v>50951</v>
      </c>
      <c r="B76" s="27">
        <f>'Benefit-Cost'!G72</f>
        <v>-42827.733156792819</v>
      </c>
      <c r="C76" s="38">
        <f t="shared" si="35"/>
        <v>-4.8938444658194404</v>
      </c>
      <c r="E76" s="30">
        <v>55569.049222610469</v>
      </c>
      <c r="F76" s="31">
        <f t="shared" si="27"/>
        <v>-0.7707120016616491</v>
      </c>
      <c r="G76" s="39">
        <f t="shared" si="36"/>
        <v>-3.7465834012345045</v>
      </c>
      <c r="H76" s="27">
        <f>'Benefit-Cost'!M72</f>
        <v>-134042.84172944725</v>
      </c>
      <c r="I76" s="38">
        <f t="shared" si="37"/>
        <v>-2.2823951845432404</v>
      </c>
      <c r="K76" s="30">
        <v>60790.686498420939</v>
      </c>
      <c r="L76" s="31">
        <f t="shared" si="28"/>
        <v>-2.2049897681765622</v>
      </c>
      <c r="M76" s="39">
        <f t="shared" si="38"/>
        <v>-1.2741693236063778</v>
      </c>
      <c r="N76" s="27">
        <f>'Benefit-Cost'!S72</f>
        <v>-475781.52525982261</v>
      </c>
      <c r="O76" s="38">
        <f t="shared" si="39"/>
        <v>-0.79326540118920752</v>
      </c>
      <c r="Q76" s="30">
        <v>62449.365800276093</v>
      </c>
      <c r="R76" s="31">
        <f t="shared" si="29"/>
        <v>-7.6186766536821926</v>
      </c>
      <c r="S76" s="39">
        <f t="shared" si="40"/>
        <v>-0.23083812665438677</v>
      </c>
      <c r="T76" s="27">
        <f>'Benefit-Cost'!Y72</f>
        <v>-825380.83275848953</v>
      </c>
      <c r="U76" s="38">
        <f t="shared" si="41"/>
        <v>-0.68291087087249858</v>
      </c>
      <c r="W76" s="30">
        <v>64007.413992369955</v>
      </c>
      <c r="X76" s="31">
        <f t="shared" si="30"/>
        <v>-12.895081698768202</v>
      </c>
      <c r="Y76" s="39">
        <f t="shared" si="42"/>
        <v>-0.14284960028367055</v>
      </c>
      <c r="Z76" s="27">
        <f>'Benefit-Cost'!AE72</f>
        <v>-1237496.3373380103</v>
      </c>
      <c r="AA76" s="38">
        <f t="shared" si="43"/>
        <v>-0.64675473896785329</v>
      </c>
      <c r="AC76" s="30">
        <v>65471.961435951664</v>
      </c>
      <c r="AD76" s="36">
        <f t="shared" si="44"/>
        <v>-18.901164868087822</v>
      </c>
      <c r="AE76" s="39">
        <f t="shared" si="45"/>
        <v>-0.1045651511672307</v>
      </c>
      <c r="AF76" s="11">
        <v>-54480.381065562833</v>
      </c>
      <c r="AG76" s="38">
        <f t="shared" si="46"/>
        <v>-5.9413482662761421</v>
      </c>
      <c r="AI76" s="30">
        <v>60091.211283044962</v>
      </c>
      <c r="AJ76" s="36">
        <f t="shared" si="31"/>
        <v>-0.90662810587968201</v>
      </c>
      <c r="AK76" s="38">
        <f t="shared" si="47"/>
        <v>-4.4364127541995204</v>
      </c>
      <c r="AL76" s="11">
        <v>-149639.29607781349</v>
      </c>
      <c r="AM76" s="38">
        <f t="shared" si="48"/>
        <v>-2.0857145574413787</v>
      </c>
      <c r="AO76" s="30">
        <v>61068.781712667544</v>
      </c>
      <c r="AP76" s="36">
        <f t="shared" si="32"/>
        <v>-2.4503402864965569</v>
      </c>
      <c r="AQ76" s="38">
        <f t="shared" si="49"/>
        <v>-1.1353309369101461</v>
      </c>
      <c r="AR76" s="11">
        <v>-272753.86168626696</v>
      </c>
      <c r="AS76" s="38">
        <f t="shared" si="50"/>
        <v>-1.15564504819417</v>
      </c>
      <c r="AU76" s="30">
        <v>61979.371367614673</v>
      </c>
      <c r="AV76" s="36">
        <f t="shared" si="33"/>
        <v>-4.4007200406809179</v>
      </c>
      <c r="AW76" s="38">
        <f t="shared" si="51"/>
        <v>-0.48324424623175843</v>
      </c>
      <c r="AX76" s="11">
        <v>-413030.27858435875</v>
      </c>
      <c r="AY76" s="38">
        <f t="shared" si="52"/>
        <v>-0.91840288358847166</v>
      </c>
      <c r="BA76" s="30">
        <v>62845.292342509623</v>
      </c>
      <c r="BB76" s="36">
        <f t="shared" si="34"/>
        <v>-6.5721753084276457</v>
      </c>
      <c r="BC76" s="38">
        <f t="shared" si="53"/>
        <v>-0.31205454605263228</v>
      </c>
    </row>
    <row r="77" spans="1:55" x14ac:dyDescent="0.35">
      <c r="A77" s="44">
        <v>51043</v>
      </c>
      <c r="B77" s="27">
        <f>'Benefit-Cost'!G73</f>
        <v>-32106.728710967349</v>
      </c>
      <c r="C77" s="38">
        <f t="shared" si="35"/>
        <v>0.25032855244931485</v>
      </c>
      <c r="E77" s="30">
        <v>52270.857608252823</v>
      </c>
      <c r="F77" s="31">
        <f t="shared" si="27"/>
        <v>-0.61423764942969206</v>
      </c>
      <c r="G77" s="39">
        <f t="shared" si="36"/>
        <v>0.20302571115358209</v>
      </c>
      <c r="H77" s="27">
        <f>'Benefit-Cost'!M73</f>
        <v>-115897.75605589664</v>
      </c>
      <c r="I77" s="38">
        <f t="shared" si="37"/>
        <v>0.13536780807866444</v>
      </c>
      <c r="K77" s="30">
        <v>56587.99633998012</v>
      </c>
      <c r="L77" s="31">
        <f t="shared" si="28"/>
        <v>-2.0480978926976681</v>
      </c>
      <c r="M77" s="39">
        <f t="shared" si="38"/>
        <v>7.1153108165502923E-2</v>
      </c>
      <c r="N77" s="27">
        <f>'Benefit-Cost'!S73</f>
        <v>-432411.70379331848</v>
      </c>
      <c r="O77" s="38">
        <f t="shared" si="39"/>
        <v>9.1154908637572724E-2</v>
      </c>
      <c r="Q77" s="30">
        <v>57949.827249307535</v>
      </c>
      <c r="R77" s="31">
        <f t="shared" si="29"/>
        <v>-7.4618290393348072</v>
      </c>
      <c r="S77" s="39">
        <f t="shared" si="40"/>
        <v>2.0587251759999439E-2</v>
      </c>
      <c r="T77" s="27">
        <f>'Benefit-Cost'!Y73</f>
        <v>-753781.01022730209</v>
      </c>
      <c r="U77" s="38">
        <f t="shared" si="41"/>
        <v>8.674761963140705E-2</v>
      </c>
      <c r="W77" s="30">
        <v>59174.250890964351</v>
      </c>
      <c r="X77" s="31">
        <f t="shared" si="30"/>
        <v>-12.738327885489145</v>
      </c>
      <c r="Y77" s="39">
        <f t="shared" si="42"/>
        <v>1.215609307027737E-2</v>
      </c>
      <c r="Z77" s="27">
        <f>'Benefit-Cost'!AE73</f>
        <v>-1129488.4481832166</v>
      </c>
      <c r="AA77" s="38">
        <f t="shared" si="43"/>
        <v>8.7279360670376172E-2</v>
      </c>
      <c r="AC77" s="30">
        <v>60257.284342563435</v>
      </c>
      <c r="AD77" s="36">
        <f t="shared" si="44"/>
        <v>-18.744429997244154</v>
      </c>
      <c r="AE77" s="39">
        <f t="shared" si="45"/>
        <v>8.2923392255201244E-3</v>
      </c>
      <c r="AF77" s="11">
        <v>-41997.130064424127</v>
      </c>
      <c r="AG77" s="38">
        <f t="shared" si="46"/>
        <v>0.22913296047096476</v>
      </c>
      <c r="AI77" s="30">
        <v>56050.374086380521</v>
      </c>
      <c r="AJ77" s="36">
        <f t="shared" si="31"/>
        <v>-0.74927475059669335</v>
      </c>
      <c r="AK77" s="38">
        <f t="shared" si="47"/>
        <v>0.17355887630497849</v>
      </c>
      <c r="AL77" s="11">
        <v>-130521.84986606892</v>
      </c>
      <c r="AM77" s="38">
        <f t="shared" si="48"/>
        <v>0.12775685740865395</v>
      </c>
      <c r="AO77" s="30">
        <v>56929.634724181058</v>
      </c>
      <c r="AP77" s="36">
        <f t="shared" si="32"/>
        <v>-2.2926872884120106</v>
      </c>
      <c r="AQ77" s="38">
        <f t="shared" si="49"/>
        <v>6.4339226250879247E-2</v>
      </c>
      <c r="AR77" s="11">
        <v>-244763.96967582637</v>
      </c>
      <c r="AS77" s="38">
        <f t="shared" si="50"/>
        <v>0.10261959936111095</v>
      </c>
      <c r="AU77" s="30">
        <v>57690.403353579037</v>
      </c>
      <c r="AV77" s="36">
        <f t="shared" si="33"/>
        <v>-4.242715520217307</v>
      </c>
      <c r="AW77" s="38">
        <f t="shared" si="51"/>
        <v>3.5904242715508683E-2</v>
      </c>
      <c r="AX77" s="11">
        <v>-374480.0858363146</v>
      </c>
      <c r="AY77" s="38">
        <f t="shared" si="52"/>
        <v>9.3335028318439678E-2</v>
      </c>
      <c r="BA77" s="30">
        <v>58387.134948784973</v>
      </c>
      <c r="BB77" s="36">
        <f t="shared" si="34"/>
        <v>-6.4137431330513923</v>
      </c>
      <c r="BC77" s="38">
        <f t="shared" si="53"/>
        <v>2.4106504763056508E-2</v>
      </c>
    </row>
    <row r="78" spans="1:55" x14ac:dyDescent="0.35">
      <c r="A78" s="44">
        <v>51135</v>
      </c>
      <c r="B78" s="27">
        <f>'Benefit-Cost'!G74</f>
        <v>-8003.4891693950631</v>
      </c>
      <c r="C78" s="38">
        <f t="shared" si="35"/>
        <v>0.7507223722028975</v>
      </c>
      <c r="E78" s="30">
        <v>38061.835912693808</v>
      </c>
      <c r="F78" s="31">
        <f t="shared" si="27"/>
        <v>-0.21027596219355935</v>
      </c>
      <c r="G78" s="39">
        <f t="shared" si="36"/>
        <v>0.6576635079455051</v>
      </c>
      <c r="H78" s="27">
        <f>'Benefit-Cost'!M74</f>
        <v>-62836.806559657678</v>
      </c>
      <c r="I78" s="38">
        <f t="shared" si="37"/>
        <v>0.45782551191627946</v>
      </c>
      <c r="K78" s="30">
        <v>40014.37080408966</v>
      </c>
      <c r="L78" s="31">
        <f t="shared" si="28"/>
        <v>-1.5703559820372199</v>
      </c>
      <c r="M78" s="39">
        <f t="shared" si="38"/>
        <v>0.23326126761997037</v>
      </c>
      <c r="N78" s="27">
        <f>'Benefit-Cost'!S74</f>
        <v>-274840.2142031251</v>
      </c>
      <c r="O78" s="38">
        <f t="shared" si="39"/>
        <v>0.36440153725697594</v>
      </c>
      <c r="Q78" s="30">
        <v>40267.832381428372</v>
      </c>
      <c r="R78" s="31">
        <f t="shared" si="29"/>
        <v>-6.8253044166807975</v>
      </c>
      <c r="S78" s="39">
        <f t="shared" si="40"/>
        <v>8.5304101621544712E-2</v>
      </c>
      <c r="T78" s="27">
        <f>'Benefit-Cost'!Y74</f>
        <v>-482056.18684668606</v>
      </c>
      <c r="U78" s="38">
        <f t="shared" si="41"/>
        <v>0.36048244741357655</v>
      </c>
      <c r="W78" s="30">
        <v>40314.945881153821</v>
      </c>
      <c r="X78" s="31">
        <f t="shared" si="30"/>
        <v>-11.957257446599591</v>
      </c>
      <c r="Y78" s="39">
        <f t="shared" si="42"/>
        <v>6.1316559434720586E-2</v>
      </c>
      <c r="Z78" s="27">
        <f>'Benefit-Cost'!AE74</f>
        <v>-719398.4231501692</v>
      </c>
      <c r="AA78" s="38">
        <f t="shared" si="43"/>
        <v>0.36307589129634543</v>
      </c>
      <c r="AC78" s="30">
        <v>40297.671925225899</v>
      </c>
      <c r="AD78" s="36">
        <f t="shared" si="44"/>
        <v>-17.852108788940576</v>
      </c>
      <c r="AE78" s="39">
        <f t="shared" si="45"/>
        <v>4.7604606191533637E-2</v>
      </c>
      <c r="AF78" s="11">
        <v>-12788.261710200459</v>
      </c>
      <c r="AG78" s="38">
        <f t="shared" si="46"/>
        <v>0.69549677107499719</v>
      </c>
      <c r="AI78" s="30">
        <v>39851.301167119222</v>
      </c>
      <c r="AJ78" s="36">
        <f t="shared" si="31"/>
        <v>-0.32089947719829742</v>
      </c>
      <c r="AK78" s="38">
        <f t="shared" si="47"/>
        <v>0.57171988387070893</v>
      </c>
      <c r="AL78" s="11">
        <v>-70757.644882896449</v>
      </c>
      <c r="AM78" s="38">
        <f t="shared" si="48"/>
        <v>0.4578865917430508</v>
      </c>
      <c r="AO78" s="30">
        <v>40077.917953005017</v>
      </c>
      <c r="AP78" s="36">
        <f t="shared" si="32"/>
        <v>-1.7655020144975142</v>
      </c>
      <c r="AQ78" s="38">
        <f t="shared" si="49"/>
        <v>0.22994207565029159</v>
      </c>
      <c r="AR78" s="11">
        <v>-145253.81696819002</v>
      </c>
      <c r="AS78" s="38">
        <f t="shared" si="50"/>
        <v>0.40655555978860347</v>
      </c>
      <c r="AU78" s="30">
        <v>40206.243152300551</v>
      </c>
      <c r="AV78" s="36">
        <f t="shared" si="33"/>
        <v>-3.6127179656644635</v>
      </c>
      <c r="AW78" s="38">
        <f t="shared" si="51"/>
        <v>0.14848922854968505</v>
      </c>
      <c r="AX78" s="11">
        <v>-228782.82411873876</v>
      </c>
      <c r="AY78" s="38">
        <f t="shared" si="52"/>
        <v>0.38906544627652156</v>
      </c>
      <c r="BA78" s="30">
        <v>40268.96505173888</v>
      </c>
      <c r="BB78" s="36">
        <f t="shared" si="34"/>
        <v>-5.6813683645653947</v>
      </c>
      <c r="BC78" s="38">
        <f t="shared" si="53"/>
        <v>0.11418835355471496</v>
      </c>
    </row>
    <row r="79" spans="1:55" x14ac:dyDescent="0.35">
      <c r="A79" s="44">
        <v>51226</v>
      </c>
      <c r="B79" s="27">
        <f>'Benefit-Cost'!G75</f>
        <v>11271.631225312594</v>
      </c>
      <c r="C79" s="38">
        <f t="shared" si="35"/>
        <v>2.4083396612086063</v>
      </c>
      <c r="E79" s="30">
        <v>39498.139969471973</v>
      </c>
      <c r="F79" s="31">
        <f t="shared" si="27"/>
        <v>0.28537119049211973</v>
      </c>
      <c r="G79" s="39">
        <f t="shared" si="36"/>
        <v>2.3571270225810932</v>
      </c>
      <c r="H79" s="27">
        <f>'Benefit-Cost'!M75</f>
        <v>-41091.963508898392</v>
      </c>
      <c r="I79" s="38">
        <f t="shared" si="37"/>
        <v>0.34605264400434782</v>
      </c>
      <c r="K79" s="30">
        <v>42523.088485931308</v>
      </c>
      <c r="L79" s="31">
        <f t="shared" si="28"/>
        <v>-0.9663447546265036</v>
      </c>
      <c r="M79" s="39">
        <f t="shared" si="38"/>
        <v>0.38463331519719096</v>
      </c>
      <c r="N79" s="27">
        <f>'Benefit-Cost'!S75</f>
        <v>-267669.25483194087</v>
      </c>
      <c r="O79" s="38">
        <f t="shared" si="39"/>
        <v>2.6091376009059645E-2</v>
      </c>
      <c r="Q79" s="30">
        <v>43258.259566163295</v>
      </c>
      <c r="R79" s="31">
        <f t="shared" si="29"/>
        <v>-6.1877028229150568</v>
      </c>
      <c r="S79" s="39">
        <f t="shared" si="40"/>
        <v>9.3417312231153446E-2</v>
      </c>
      <c r="T79" s="27">
        <f>'Benefit-Cost'!Y75</f>
        <v>-494587.67955145705</v>
      </c>
      <c r="U79" s="38">
        <f t="shared" si="41"/>
        <v>-2.5995917170453266E-2</v>
      </c>
      <c r="W79" s="30">
        <v>43841.738374823588</v>
      </c>
      <c r="X79" s="31">
        <f t="shared" si="30"/>
        <v>-11.281205944047997</v>
      </c>
      <c r="Y79" s="39">
        <f t="shared" si="42"/>
        <v>5.6539010351729944E-2</v>
      </c>
      <c r="Z79" s="27">
        <f>'Benefit-Cost'!AE75</f>
        <v>-757412.24354181113</v>
      </c>
      <c r="AA79" s="38">
        <f t="shared" si="43"/>
        <v>-5.2841122760852677E-2</v>
      </c>
      <c r="AC79" s="30">
        <v>44268.529850990177</v>
      </c>
      <c r="AD79" s="36">
        <f t="shared" si="44"/>
        <v>-17.109496206250675</v>
      </c>
      <c r="AE79" s="39">
        <f t="shared" si="45"/>
        <v>4.1598031440966306E-2</v>
      </c>
      <c r="AF79" s="11">
        <v>11247.287112148479</v>
      </c>
      <c r="AG79" s="38">
        <f t="shared" si="46"/>
        <v>1.8795008553177455</v>
      </c>
      <c r="AI79" s="30">
        <v>42206.820484587544</v>
      </c>
      <c r="AJ79" s="36">
        <f t="shared" si="31"/>
        <v>0.26648032197202809</v>
      </c>
      <c r="AK79" s="38">
        <f t="shared" si="47"/>
        <v>1.8304168155666973</v>
      </c>
      <c r="AL79" s="11">
        <v>-48936.890090270899</v>
      </c>
      <c r="AM79" s="38">
        <f t="shared" si="48"/>
        <v>0.30838723969316378</v>
      </c>
      <c r="AO79" s="30">
        <v>42672.77507757298</v>
      </c>
      <c r="AP79" s="36">
        <f t="shared" si="32"/>
        <v>-1.1467941796921024</v>
      </c>
      <c r="AQ79" s="38">
        <f t="shared" si="49"/>
        <v>0.35044300698886738</v>
      </c>
      <c r="AR79" s="11">
        <v>-127742.35514937155</v>
      </c>
      <c r="AS79" s="38">
        <f t="shared" si="50"/>
        <v>0.1205576705956953</v>
      </c>
      <c r="AU79" s="30">
        <v>43044.323233597228</v>
      </c>
      <c r="AV79" s="36">
        <f t="shared" si="33"/>
        <v>-2.9676934274498077</v>
      </c>
      <c r="AW79" s="38">
        <f t="shared" si="51"/>
        <v>0.17854273274166882</v>
      </c>
      <c r="AX79" s="11">
        <v>-217343.68203779077</v>
      </c>
      <c r="AY79" s="38">
        <f t="shared" si="52"/>
        <v>5.0000003824636118E-2</v>
      </c>
      <c r="BA79" s="30">
        <v>43370.988050099084</v>
      </c>
      <c r="BB79" s="36">
        <f t="shared" si="34"/>
        <v>-5.0112688644937204</v>
      </c>
      <c r="BC79" s="38">
        <f t="shared" si="53"/>
        <v>0.11794684960951914</v>
      </c>
    </row>
    <row r="80" spans="1:55" x14ac:dyDescent="0.35">
      <c r="A80" s="44">
        <v>51317</v>
      </c>
      <c r="B80" s="27">
        <f>'Benefit-Cost'!G76</f>
        <v>-42689.588450909825</v>
      </c>
      <c r="C80" s="38">
        <f t="shared" si="35"/>
        <v>-4.7873478645257865</v>
      </c>
      <c r="E80" s="30">
        <v>55291.203976497476</v>
      </c>
      <c r="F80" s="31">
        <f t="shared" si="27"/>
        <v>-0.77208643293526047</v>
      </c>
      <c r="G80" s="39">
        <f t="shared" si="36"/>
        <v>-3.7055514314665237</v>
      </c>
      <c r="H80" s="27">
        <f>'Benefit-Cost'!M76</f>
        <v>-133860.64717617165</v>
      </c>
      <c r="I80" s="38">
        <f t="shared" si="37"/>
        <v>-2.2575870254334371</v>
      </c>
      <c r="K80" s="30">
        <v>60671.128894655347</v>
      </c>
      <c r="L80" s="31">
        <f t="shared" si="28"/>
        <v>-2.2063319014320126</v>
      </c>
      <c r="M80" s="39">
        <f t="shared" si="38"/>
        <v>-1.2831726367519523</v>
      </c>
      <c r="N80" s="27">
        <f>'Benefit-Cost'!S76</f>
        <v>-474698.72888649954</v>
      </c>
      <c r="O80" s="38">
        <f t="shared" si="39"/>
        <v>-0.77345257371656095</v>
      </c>
      <c r="Q80" s="30">
        <v>62297.506383427622</v>
      </c>
      <c r="R80" s="31">
        <f t="shared" si="29"/>
        <v>-7.6198672538324717</v>
      </c>
      <c r="S80" s="39">
        <f t="shared" si="40"/>
        <v>-0.23145333121261877</v>
      </c>
      <c r="T80" s="27">
        <f>'Benefit-Cost'!Y76</f>
        <v>-823055.17186492356</v>
      </c>
      <c r="U80" s="38">
        <f t="shared" si="41"/>
        <v>-0.66412388721723636</v>
      </c>
      <c r="W80" s="30">
        <v>63821.896409894551</v>
      </c>
      <c r="X80" s="31">
        <f t="shared" si="30"/>
        <v>-12.896125282440247</v>
      </c>
      <c r="Y80" s="39">
        <f t="shared" si="42"/>
        <v>-0.14315130371716037</v>
      </c>
      <c r="Z80" s="27">
        <f>'Benefit-Cost'!AE76</f>
        <v>-1233808.0349333356</v>
      </c>
      <c r="AA80" s="38">
        <f t="shared" si="43"/>
        <v>-0.62897820236414781</v>
      </c>
      <c r="AC80" s="30">
        <v>65273.561545331031</v>
      </c>
      <c r="AD80" s="36">
        <f t="shared" si="44"/>
        <v>-18.902109915918768</v>
      </c>
      <c r="AE80" s="39">
        <f t="shared" si="45"/>
        <v>-0.10477302709902062</v>
      </c>
      <c r="AF80" s="11">
        <v>-54467.431126705371</v>
      </c>
      <c r="AG80" s="38">
        <f t="shared" si="46"/>
        <v>-5.8427172333738797</v>
      </c>
      <c r="AI80" s="30">
        <v>59986.507366251906</v>
      </c>
      <c r="AJ80" s="36">
        <f t="shared" si="31"/>
        <v>-0.9079947061120025</v>
      </c>
      <c r="AK80" s="38">
        <f t="shared" si="47"/>
        <v>-4.407361186719494</v>
      </c>
      <c r="AL80" s="11">
        <v>-149414.62940816255</v>
      </c>
      <c r="AM80" s="38">
        <f t="shared" si="48"/>
        <v>-2.0532105561376395</v>
      </c>
      <c r="AO80" s="30">
        <v>60944.746778083427</v>
      </c>
      <c r="AP80" s="36">
        <f t="shared" si="32"/>
        <v>-2.4516408272598502</v>
      </c>
      <c r="AQ80" s="38">
        <f t="shared" si="49"/>
        <v>-1.1378211283894728</v>
      </c>
      <c r="AR80" s="11">
        <v>-272205.56123049883</v>
      </c>
      <c r="AS80" s="38">
        <f t="shared" si="50"/>
        <v>-1.1308951201988073</v>
      </c>
      <c r="AU80" s="30">
        <v>61837.534037022509</v>
      </c>
      <c r="AV80" s="36">
        <f t="shared" si="33"/>
        <v>-4.4019472229847922</v>
      </c>
      <c r="AW80" s="38">
        <f t="shared" si="51"/>
        <v>-0.48328906964202989</v>
      </c>
      <c r="AX80" s="11">
        <v>-412047.14374548523</v>
      </c>
      <c r="AY80" s="38">
        <f t="shared" si="52"/>
        <v>-0.89583216720254266</v>
      </c>
      <c r="BA80" s="30">
        <v>62684.467810194241</v>
      </c>
      <c r="BB80" s="36">
        <f t="shared" si="34"/>
        <v>-6.573353146957321</v>
      </c>
      <c r="BC80" s="38">
        <f t="shared" si="53"/>
        <v>-0.31171432319894399</v>
      </c>
    </row>
    <row r="81" spans="1:55" x14ac:dyDescent="0.35">
      <c r="A81" s="44">
        <v>51409</v>
      </c>
      <c r="B81" s="27">
        <f>'Benefit-Cost'!G77</f>
        <v>-31772.167669462273</v>
      </c>
      <c r="C81" s="38">
        <f t="shared" si="35"/>
        <v>0.25573965872268495</v>
      </c>
      <c r="E81" s="30">
        <v>52009.50332021161</v>
      </c>
      <c r="F81" s="31">
        <f t="shared" si="27"/>
        <v>-0.61089158021463297</v>
      </c>
      <c r="G81" s="39">
        <f t="shared" si="36"/>
        <v>0.20877824793243543</v>
      </c>
      <c r="H81" s="27">
        <f>'Benefit-Cost'!M77</f>
        <v>-115482.19476403762</v>
      </c>
      <c r="I81" s="38">
        <f t="shared" si="37"/>
        <v>0.13729540981485377</v>
      </c>
      <c r="K81" s="30">
        <v>56468.658444083492</v>
      </c>
      <c r="L81" s="31">
        <f t="shared" si="28"/>
        <v>-2.045067085813463</v>
      </c>
      <c r="M81" s="39">
        <f t="shared" si="38"/>
        <v>7.3091820643068822E-2</v>
      </c>
      <c r="N81" s="27">
        <f>'Benefit-Cost'!S77</f>
        <v>-431334.18601187179</v>
      </c>
      <c r="O81" s="38">
        <f t="shared" si="39"/>
        <v>9.1351714752529303E-2</v>
      </c>
      <c r="Q81" s="30">
        <v>57826.705483292993</v>
      </c>
      <c r="R81" s="31">
        <f t="shared" si="29"/>
        <v>-7.459082830449173</v>
      </c>
      <c r="S81" s="39">
        <f t="shared" si="40"/>
        <v>2.1100685619218747E-2</v>
      </c>
      <c r="T81" s="27">
        <f>'Benefit-Cost'!Y77</f>
        <v>-751902.42786056874</v>
      </c>
      <c r="U81" s="38">
        <f t="shared" si="41"/>
        <v>8.6449543647399749E-2</v>
      </c>
      <c r="W81" s="30">
        <v>59038.338041566385</v>
      </c>
      <c r="X81" s="31">
        <f t="shared" si="30"/>
        <v>-12.735833236551919</v>
      </c>
      <c r="Y81" s="39">
        <f t="shared" si="42"/>
        <v>1.2429473378843984E-2</v>
      </c>
      <c r="Z81" s="27">
        <f>'Benefit-Cost'!AE77</f>
        <v>-1126447.5579236676</v>
      </c>
      <c r="AA81" s="38">
        <f t="shared" si="43"/>
        <v>8.7015543723111557E-2</v>
      </c>
      <c r="AC81" s="30">
        <v>60102.495870343766</v>
      </c>
      <c r="AD81" s="36">
        <f t="shared" si="44"/>
        <v>-18.742109484998743</v>
      </c>
      <c r="AE81" s="39">
        <f t="shared" si="45"/>
        <v>8.4646863038965701E-3</v>
      </c>
      <c r="AF81" s="11">
        <v>-41726.00021478394</v>
      </c>
      <c r="AG81" s="38">
        <f t="shared" si="46"/>
        <v>0.23392751683628255</v>
      </c>
      <c r="AI81" s="30">
        <v>55927.739292658356</v>
      </c>
      <c r="AJ81" s="36">
        <f t="shared" si="31"/>
        <v>-0.74606985267972958</v>
      </c>
      <c r="AK81" s="38">
        <f t="shared" si="47"/>
        <v>0.17833237610561492</v>
      </c>
      <c r="AL81" s="11">
        <v>-130044.85930381576</v>
      </c>
      <c r="AM81" s="38">
        <f t="shared" si="48"/>
        <v>0.12963770804151672</v>
      </c>
      <c r="AO81" s="30">
        <v>56797.100915488001</v>
      </c>
      <c r="AP81" s="36">
        <f t="shared" si="32"/>
        <v>-2.2896390345225144</v>
      </c>
      <c r="AQ81" s="38">
        <f t="shared" si="49"/>
        <v>6.6078925973182615E-2</v>
      </c>
      <c r="AR81" s="11">
        <v>-244012.24359912425</v>
      </c>
      <c r="AS81" s="38">
        <f t="shared" si="50"/>
        <v>0.10357362834149071</v>
      </c>
      <c r="AU81" s="30">
        <v>57552.135383306297</v>
      </c>
      <c r="AV81" s="36">
        <f t="shared" si="33"/>
        <v>-4.2398469140017871</v>
      </c>
      <c r="AW81" s="38">
        <f t="shared" si="51"/>
        <v>3.6824682526086956E-2</v>
      </c>
      <c r="AX81" s="11">
        <v>-373372.49692522967</v>
      </c>
      <c r="AY81" s="38">
        <f t="shared" si="52"/>
        <v>9.3859761940600306E-2</v>
      </c>
      <c r="BA81" s="30">
        <v>58238.908921797403</v>
      </c>
      <c r="BB81" s="36">
        <f t="shared" si="34"/>
        <v>-6.4110489677371936</v>
      </c>
      <c r="BC81" s="38">
        <f t="shared" si="53"/>
        <v>2.4691230729822405E-2</v>
      </c>
    </row>
    <row r="82" spans="1:55" x14ac:dyDescent="0.35">
      <c r="A82" s="44">
        <v>51501</v>
      </c>
      <c r="B82" s="27">
        <f>'Benefit-Cost'!G78</f>
        <v>-11827.402770737652</v>
      </c>
      <c r="C82" s="38">
        <f t="shared" si="35"/>
        <v>0.62774328482140285</v>
      </c>
      <c r="E82" s="30">
        <v>37871.52673313042</v>
      </c>
      <c r="F82" s="31">
        <f t="shared" si="27"/>
        <v>-0.31230329989286942</v>
      </c>
      <c r="G82" s="39">
        <f t="shared" si="36"/>
        <v>0.48877458781942357</v>
      </c>
      <c r="H82" s="27">
        <f>'Benefit-Cost'!M78</f>
        <v>-66835.284654770745</v>
      </c>
      <c r="I82" s="38">
        <f t="shared" si="37"/>
        <v>0.42125030796882668</v>
      </c>
      <c r="K82" s="30">
        <v>39854.476500401193</v>
      </c>
      <c r="L82" s="31">
        <f t="shared" si="28"/>
        <v>-1.6769831277070708</v>
      </c>
      <c r="M82" s="39">
        <f t="shared" si="38"/>
        <v>0.17998625114049988</v>
      </c>
      <c r="N82" s="27">
        <f>'Benefit-Cost'!S78</f>
        <v>-278080.53257403895</v>
      </c>
      <c r="O82" s="38">
        <f t="shared" si="39"/>
        <v>0.35530143078808685</v>
      </c>
      <c r="Q82" s="30">
        <v>40090.341634521887</v>
      </c>
      <c r="R82" s="31">
        <f t="shared" si="29"/>
        <v>-6.936347290554969</v>
      </c>
      <c r="S82" s="39">
        <f t="shared" si="40"/>
        <v>7.008040422346748E-2</v>
      </c>
      <c r="T82" s="27">
        <f>'Benefit-Cost'!Y78</f>
        <v>-484665.18759877747</v>
      </c>
      <c r="U82" s="38">
        <f t="shared" si="41"/>
        <v>0.35541478569523544</v>
      </c>
      <c r="W82" s="30">
        <v>40128.796242914294</v>
      </c>
      <c r="X82" s="31">
        <f t="shared" si="30"/>
        <v>-12.077740499987133</v>
      </c>
      <c r="Y82" s="39">
        <f t="shared" si="42"/>
        <v>5.1672530908779157E-2</v>
      </c>
      <c r="Z82" s="27">
        <f>'Benefit-Cost'!AE78</f>
        <v>-720242.22284828173</v>
      </c>
      <c r="AA82" s="38">
        <f t="shared" si="43"/>
        <v>0.36060740885632236</v>
      </c>
      <c r="AC82" s="30">
        <v>40113.966875558392</v>
      </c>
      <c r="AD82" s="36">
        <f t="shared" si="44"/>
        <v>-17.954898977770466</v>
      </c>
      <c r="AE82" s="39">
        <f t="shared" si="45"/>
        <v>4.2002236080114858E-2</v>
      </c>
      <c r="AF82" s="11">
        <v>-16830.573558688629</v>
      </c>
      <c r="AG82" s="38">
        <f t="shared" si="46"/>
        <v>0.59664062042722732</v>
      </c>
      <c r="AI82" s="30">
        <v>39699.402023078263</v>
      </c>
      <c r="AJ82" s="36">
        <f t="shared" si="31"/>
        <v>-0.42395030406011136</v>
      </c>
      <c r="AK82" s="38">
        <f t="shared" si="47"/>
        <v>0.43175521362058927</v>
      </c>
      <c r="AL82" s="11">
        <v>-74546.65023410297</v>
      </c>
      <c r="AM82" s="38">
        <f t="shared" si="48"/>
        <v>0.42676203709102989</v>
      </c>
      <c r="AO82" s="30">
        <v>39912.502876102822</v>
      </c>
      <c r="AP82" s="36">
        <f t="shared" si="32"/>
        <v>-1.8677518286816577</v>
      </c>
      <c r="AQ82" s="38">
        <f t="shared" si="49"/>
        <v>0.18425926509801921</v>
      </c>
      <c r="AR82" s="11">
        <v>-148868.41055871313</v>
      </c>
      <c r="AS82" s="38">
        <f t="shared" si="50"/>
        <v>0.38991417658827915</v>
      </c>
      <c r="AU82" s="30">
        <v>40029.928606093323</v>
      </c>
      <c r="AV82" s="36">
        <f t="shared" si="33"/>
        <v>-3.7189277059078369</v>
      </c>
      <c r="AW82" s="38">
        <f t="shared" si="51"/>
        <v>0.12286273977809252</v>
      </c>
      <c r="AX82" s="11">
        <v>-232172.41260451963</v>
      </c>
      <c r="AY82" s="38">
        <f t="shared" si="52"/>
        <v>0.37817484009537611</v>
      </c>
      <c r="BA82" s="30">
        <v>40086.617572510331</v>
      </c>
      <c r="BB82" s="36">
        <f t="shared" si="34"/>
        <v>-5.7917685917140949</v>
      </c>
      <c r="BC82" s="38">
        <f t="shared" si="53"/>
        <v>9.6595795655211827E-2</v>
      </c>
    </row>
    <row r="83" spans="1:55" x14ac:dyDescent="0.35">
      <c r="A83" s="44">
        <v>51591</v>
      </c>
      <c r="B83" s="27">
        <f>'Benefit-Cost'!G79</f>
        <v>11225.112836121581</v>
      </c>
      <c r="C83" s="38">
        <f t="shared" si="35"/>
        <v>1.9490767376159537</v>
      </c>
      <c r="E83" s="30">
        <v>38805.503118353256</v>
      </c>
      <c r="F83" s="31">
        <f t="shared" si="27"/>
        <v>0.28926600440885941</v>
      </c>
      <c r="G83" s="39">
        <f t="shared" si="36"/>
        <v>1.9262342232953908</v>
      </c>
      <c r="H83" s="27">
        <f>'Benefit-Cost'!M79</f>
        <v>-40362.367878765333</v>
      </c>
      <c r="I83" s="38">
        <f t="shared" si="37"/>
        <v>0.39609192827932033</v>
      </c>
      <c r="K83" s="30">
        <v>41865.296531085492</v>
      </c>
      <c r="L83" s="31">
        <f t="shared" si="28"/>
        <v>-0.96410084779396665</v>
      </c>
      <c r="M83" s="39">
        <f t="shared" si="38"/>
        <v>0.42509806338232153</v>
      </c>
      <c r="N83" s="27">
        <f>'Benefit-Cost'!S79</f>
        <v>-263295.17299479851</v>
      </c>
      <c r="O83" s="38">
        <f t="shared" si="39"/>
        <v>5.3169344298863622E-2</v>
      </c>
      <c r="Q83" s="30">
        <v>42563.141786121487</v>
      </c>
      <c r="R83" s="31">
        <f t="shared" si="29"/>
        <v>-6.1859900831063852</v>
      </c>
      <c r="S83" s="39">
        <f t="shared" si="40"/>
        <v>0.10817757185692307</v>
      </c>
      <c r="T83" s="27">
        <f>'Benefit-Cost'!Y79</f>
        <v>-486366.72227938334</v>
      </c>
      <c r="U83" s="38">
        <f t="shared" si="41"/>
        <v>-3.5107425169856742E-3</v>
      </c>
      <c r="W83" s="30">
        <v>43116.826140750854</v>
      </c>
      <c r="X83" s="31">
        <f t="shared" si="30"/>
        <v>-11.280206958918649</v>
      </c>
      <c r="Y83" s="39">
        <f t="shared" si="42"/>
        <v>6.6033339685459672E-2</v>
      </c>
      <c r="Z83" s="27">
        <f>'Benefit-Cost'!AE79</f>
        <v>-744530.2774109547</v>
      </c>
      <c r="AA83" s="38">
        <f t="shared" si="43"/>
        <v>-3.3722064316950254E-2</v>
      </c>
      <c r="AC83" s="30">
        <v>43515.939172782993</v>
      </c>
      <c r="AD83" s="36">
        <f t="shared" si="44"/>
        <v>-17.109369384278864</v>
      </c>
      <c r="AE83" s="39">
        <f t="shared" si="45"/>
        <v>4.7091860251535347E-2</v>
      </c>
      <c r="AF83" s="11">
        <v>11153.863411942963</v>
      </c>
      <c r="AG83" s="38">
        <f t="shared" si="46"/>
        <v>1.6627143972871252</v>
      </c>
      <c r="AI83" s="30">
        <v>41561.27810384419</v>
      </c>
      <c r="AJ83" s="36">
        <f t="shared" si="31"/>
        <v>0.26837152081979143</v>
      </c>
      <c r="AK83" s="38">
        <f t="shared" si="47"/>
        <v>1.6330258953694237</v>
      </c>
      <c r="AL83" s="11">
        <v>-48134.888785599731</v>
      </c>
      <c r="AM83" s="38">
        <f t="shared" si="48"/>
        <v>0.3542984341423917</v>
      </c>
      <c r="AO83" s="30">
        <v>42000.49547829153</v>
      </c>
      <c r="AP83" s="36">
        <f t="shared" si="32"/>
        <v>-1.1460552604785064</v>
      </c>
      <c r="AQ83" s="38">
        <f t="shared" si="49"/>
        <v>0.38639853385262474</v>
      </c>
      <c r="AR83" s="11">
        <v>-125737.37980534416</v>
      </c>
      <c r="AS83" s="38">
        <f t="shared" si="50"/>
        <v>0.15537904023127988</v>
      </c>
      <c r="AU83" s="30">
        <v>42360.676232239188</v>
      </c>
      <c r="AV83" s="36">
        <f t="shared" si="33"/>
        <v>-2.9682571429218583</v>
      </c>
      <c r="AW83" s="38">
        <f t="shared" si="51"/>
        <v>0.2018513459655249</v>
      </c>
      <c r="AX83" s="11">
        <v>-213972.31240100693</v>
      </c>
      <c r="AY83" s="38">
        <f t="shared" si="52"/>
        <v>7.8390451300149031E-2</v>
      </c>
      <c r="BA83" s="30">
        <v>42681.066719244525</v>
      </c>
      <c r="BB83" s="36">
        <f t="shared" si="34"/>
        <v>-5.0132840823429712</v>
      </c>
      <c r="BC83" s="38">
        <f t="shared" si="53"/>
        <v>0.1344122260832124</v>
      </c>
    </row>
    <row r="84" spans="1:55" x14ac:dyDescent="0.35">
      <c r="A84" s="44">
        <v>51682</v>
      </c>
      <c r="B84" s="27">
        <f>'Benefit-Cost'!G80</f>
        <v>-42543.80978294299</v>
      </c>
      <c r="C84" s="38">
        <f t="shared" si="35"/>
        <v>-4.7900563142706378</v>
      </c>
      <c r="E84" s="30">
        <v>55014.747956615</v>
      </c>
      <c r="F84" s="31">
        <f t="shared" si="27"/>
        <v>-0.77331645355338763</v>
      </c>
      <c r="G84" s="39">
        <f t="shared" si="36"/>
        <v>-3.6733748237499535</v>
      </c>
      <c r="H84" s="27">
        <f>'Benefit-Cost'!M80</f>
        <v>-133652.34657056816</v>
      </c>
      <c r="I84" s="38">
        <f t="shared" si="37"/>
        <v>-2.3113108470745281</v>
      </c>
      <c r="K84" s="30">
        <v>60538.326565603587</v>
      </c>
      <c r="L84" s="31">
        <f t="shared" si="28"/>
        <v>-2.2077311044555068</v>
      </c>
      <c r="M84" s="39">
        <f t="shared" si="38"/>
        <v>-1.2899379349237023</v>
      </c>
      <c r="N84" s="27">
        <f>'Benefit-Cost'!S80</f>
        <v>-473453.35461310623</v>
      </c>
      <c r="O84" s="38">
        <f t="shared" si="39"/>
        <v>-0.79818471120417944</v>
      </c>
      <c r="Q84" s="30">
        <v>62121.280556535363</v>
      </c>
      <c r="R84" s="31">
        <f t="shared" si="29"/>
        <v>-7.6214358488992442</v>
      </c>
      <c r="S84" s="39">
        <f t="shared" si="40"/>
        <v>-0.23204786081261045</v>
      </c>
      <c r="T84" s="27">
        <f>'Benefit-Cost'!Y80</f>
        <v>-820361.91323945159</v>
      </c>
      <c r="U84" s="38">
        <f t="shared" si="41"/>
        <v>-0.68671472709888981</v>
      </c>
      <c r="W84" s="30">
        <v>63604.367147744473</v>
      </c>
      <c r="X84" s="31">
        <f t="shared" si="30"/>
        <v>-12.897886576465105</v>
      </c>
      <c r="Y84" s="39">
        <f t="shared" si="42"/>
        <v>-0.1434086824326786</v>
      </c>
      <c r="Z84" s="27">
        <f>'Benefit-Cost'!AE80</f>
        <v>-1228737.117256897</v>
      </c>
      <c r="AA84" s="38">
        <f t="shared" si="43"/>
        <v>-0.65035211399291026</v>
      </c>
      <c r="AC84" s="30">
        <v>64998.894999904427</v>
      </c>
      <c r="AD84" s="36">
        <f t="shared" si="44"/>
        <v>-18.903969325304743</v>
      </c>
      <c r="AE84" s="39">
        <f t="shared" si="45"/>
        <v>-0.10488989399427355</v>
      </c>
      <c r="AF84" s="11">
        <v>-54434.291468000971</v>
      </c>
      <c r="AG84" s="38">
        <f t="shared" si="46"/>
        <v>-5.8803082355944607</v>
      </c>
      <c r="AI84" s="30">
        <v>59864.036301203567</v>
      </c>
      <c r="AJ84" s="36">
        <f t="shared" si="31"/>
        <v>-0.9092987180837081</v>
      </c>
      <c r="AK84" s="38">
        <f t="shared" si="47"/>
        <v>-4.388208686622499</v>
      </c>
      <c r="AL84" s="11">
        <v>-149123.942273797</v>
      </c>
      <c r="AM84" s="38">
        <f t="shared" si="48"/>
        <v>-2.0980427302536877</v>
      </c>
      <c r="AO84" s="30">
        <v>60793.506060675812</v>
      </c>
      <c r="AP84" s="36">
        <f t="shared" si="32"/>
        <v>-2.4529584150807451</v>
      </c>
      <c r="AQ84" s="38">
        <f t="shared" si="49"/>
        <v>-1.1403491608742971</v>
      </c>
      <c r="AR84" s="11">
        <v>-271490.22833387181</v>
      </c>
      <c r="AS84" s="38">
        <f t="shared" si="50"/>
        <v>-1.1591847130437245</v>
      </c>
      <c r="AU84" s="30">
        <v>61655.861383628828</v>
      </c>
      <c r="AV84" s="36">
        <f t="shared" si="33"/>
        <v>-4.403315795794871</v>
      </c>
      <c r="AW84" s="38">
        <f t="shared" si="51"/>
        <v>-0.48346844083069784</v>
      </c>
      <c r="AX84" s="11">
        <v>-410746.90970985731</v>
      </c>
      <c r="AY84" s="38">
        <f t="shared" si="52"/>
        <v>-0.9196264465286228</v>
      </c>
      <c r="BA84" s="30">
        <v>62473.267397025833</v>
      </c>
      <c r="BB84" s="36">
        <f t="shared" si="34"/>
        <v>-6.5747627237023902</v>
      </c>
      <c r="BC84" s="38">
        <f t="shared" si="53"/>
        <v>-0.31146821439044764</v>
      </c>
    </row>
    <row r="85" spans="1:55" x14ac:dyDescent="0.35">
      <c r="A85" s="44">
        <v>51774</v>
      </c>
      <c r="B85" s="27">
        <f>'Benefit-Cost'!G81</f>
        <v>-31657.619338631863</v>
      </c>
      <c r="C85" s="38">
        <f t="shared" si="35"/>
        <v>0.25588188974734716</v>
      </c>
      <c r="E85" s="30">
        <v>51749.455803610574</v>
      </c>
      <c r="F85" s="31">
        <f t="shared" si="27"/>
        <v>-0.61174786955775295</v>
      </c>
      <c r="G85" s="39">
        <f t="shared" si="36"/>
        <v>0.2089294534640086</v>
      </c>
      <c r="H85" s="27">
        <f>'Benefit-Cost'!M81</f>
        <v>-115283.38743962487</v>
      </c>
      <c r="I85" s="38">
        <f t="shared" si="37"/>
        <v>0.13743835856443057</v>
      </c>
      <c r="K85" s="30">
        <v>56349.952675700544</v>
      </c>
      <c r="L85" s="31">
        <f t="shared" si="28"/>
        <v>-2.0458471030684264</v>
      </c>
      <c r="M85" s="39">
        <f t="shared" si="38"/>
        <v>7.3325959425210821E-2</v>
      </c>
      <c r="N85" s="27">
        <f>'Benefit-Cost'!S81</f>
        <v>-430446.99444164941</v>
      </c>
      <c r="O85" s="38">
        <f t="shared" si="39"/>
        <v>9.0835474608898903E-2</v>
      </c>
      <c r="Q85" s="30">
        <v>57702.787186087902</v>
      </c>
      <c r="R85" s="31">
        <f t="shared" si="29"/>
        <v>-7.4597262183104709</v>
      </c>
      <c r="S85" s="39">
        <f t="shared" si="40"/>
        <v>2.1217738205082295E-2</v>
      </c>
      <c r="T85" s="27">
        <f>'Benefit-Cost'!Y81</f>
        <v>-750228.04566281522</v>
      </c>
      <c r="U85" s="38">
        <f t="shared" si="41"/>
        <v>8.5491374532114986E-2</v>
      </c>
      <c r="W85" s="30">
        <v>58904.722136141681</v>
      </c>
      <c r="X85" s="31">
        <f t="shared" si="30"/>
        <v>-12.736297166955042</v>
      </c>
      <c r="Y85" s="39">
        <f t="shared" si="42"/>
        <v>1.2528363352560119E-2</v>
      </c>
      <c r="Z85" s="27">
        <f>'Benefit-Cost'!AE81</f>
        <v>-1123675.0126941525</v>
      </c>
      <c r="AA85" s="38">
        <f t="shared" si="43"/>
        <v>8.5504135170337447E-2</v>
      </c>
      <c r="AC85" s="30">
        <v>59953.776750286212</v>
      </c>
      <c r="AD85" s="36">
        <f t="shared" si="44"/>
        <v>-18.742355754740476</v>
      </c>
      <c r="AE85" s="39">
        <f t="shared" si="45"/>
        <v>8.5491870931007057E-3</v>
      </c>
      <c r="AF85" s="11">
        <v>-41681.876342958305</v>
      </c>
      <c r="AG85" s="38">
        <f t="shared" si="46"/>
        <v>0.2342717206586428</v>
      </c>
      <c r="AI85" s="30">
        <v>55805.376342336567</v>
      </c>
      <c r="AJ85" s="36">
        <f t="shared" si="31"/>
        <v>-0.74691506580408962</v>
      </c>
      <c r="AK85" s="38">
        <f t="shared" si="47"/>
        <v>0.17858119565133906</v>
      </c>
      <c r="AL85" s="11">
        <v>-129784.77623200277</v>
      </c>
      <c r="AM85" s="38">
        <f t="shared" si="48"/>
        <v>0.12968518500058709</v>
      </c>
      <c r="AO85" s="30">
        <v>56664.110264153176</v>
      </c>
      <c r="AP85" s="36">
        <f t="shared" si="32"/>
        <v>-2.290422908380283</v>
      </c>
      <c r="AQ85" s="38">
        <f t="shared" si="49"/>
        <v>6.626101188719577E-2</v>
      </c>
      <c r="AR85" s="11">
        <v>-243459.43999374192</v>
      </c>
      <c r="AS85" s="38">
        <f t="shared" si="50"/>
        <v>0.10324787198476379</v>
      </c>
      <c r="AU85" s="30">
        <v>57411.888728715647</v>
      </c>
      <c r="AV85" s="36">
        <f t="shared" si="33"/>
        <v>-4.2405753474536203</v>
      </c>
      <c r="AW85" s="38">
        <f t="shared" si="51"/>
        <v>3.6958613891982586E-2</v>
      </c>
      <c r="AX85" s="11">
        <v>-372457.36854441231</v>
      </c>
      <c r="AY85" s="38">
        <f t="shared" si="52"/>
        <v>9.3219304297363789E-2</v>
      </c>
      <c r="BA85" s="30">
        <v>58090.190408334434</v>
      </c>
      <c r="BB85" s="36">
        <f t="shared" si="34"/>
        <v>-6.411708516124512</v>
      </c>
      <c r="BC85" s="38">
        <f t="shared" si="53"/>
        <v>2.4800013997472281E-2</v>
      </c>
    </row>
    <row r="86" spans="1:55" x14ac:dyDescent="0.35">
      <c r="A86" s="44">
        <v>51866</v>
      </c>
      <c r="B86" s="27">
        <f>'Benefit-Cost'!G82</f>
        <v>-111695.51582400897</v>
      </c>
      <c r="C86" s="38">
        <f t="shared" si="35"/>
        <v>-2.5282348501710197</v>
      </c>
      <c r="E86" s="30">
        <v>37682.169099464802</v>
      </c>
      <c r="F86" s="31">
        <f t="shared" si="27"/>
        <v>-2.964147725391832</v>
      </c>
      <c r="G86" s="39">
        <f t="shared" si="36"/>
        <v>-3.8453748233478686</v>
      </c>
      <c r="H86" s="27">
        <f>'Benefit-Cost'!M82</f>
        <v>-50291.659222692251</v>
      </c>
      <c r="I86" s="38">
        <f t="shared" si="37"/>
        <v>0.56375623288281218</v>
      </c>
      <c r="K86" s="30">
        <v>39691.825693192448</v>
      </c>
      <c r="L86" s="31">
        <f t="shared" si="28"/>
        <v>-1.2670533124738019</v>
      </c>
      <c r="M86" s="39">
        <f t="shared" si="38"/>
        <v>0.38067057378166963</v>
      </c>
      <c r="N86" s="27">
        <f>'Benefit-Cost'!S82</f>
        <v>29662.371283165878</v>
      </c>
      <c r="O86" s="38">
        <f t="shared" si="39"/>
        <v>1.0689106246906013</v>
      </c>
      <c r="Q86" s="30">
        <v>39900.794370930984</v>
      </c>
      <c r="R86" s="31">
        <f t="shared" si="29"/>
        <v>0.74340302620079846</v>
      </c>
      <c r="S86" s="39">
        <f t="shared" si="40"/>
        <v>1.0996555375418549</v>
      </c>
      <c r="T86" s="27">
        <f>'Benefit-Cost'!Y82</f>
        <v>103812.67727138824</v>
      </c>
      <c r="U86" s="38">
        <f t="shared" si="41"/>
        <v>1.1383748286558273</v>
      </c>
      <c r="W86" s="30">
        <v>39926.822058360958</v>
      </c>
      <c r="X86" s="31">
        <f t="shared" si="30"/>
        <v>2.6000736326984764</v>
      </c>
      <c r="Y86" s="39">
        <f t="shared" si="42"/>
        <v>1.2041467467832407</v>
      </c>
      <c r="Z86" s="27">
        <f>'Benefit-Cost'!AE82</f>
        <v>173117.18161322456</v>
      </c>
      <c r="AA86" s="38">
        <f t="shared" si="43"/>
        <v>1.154063389910357</v>
      </c>
      <c r="AC86" s="30">
        <v>39907.377794314125</v>
      </c>
      <c r="AD86" s="36">
        <f t="shared" si="44"/>
        <v>4.3379743591644786</v>
      </c>
      <c r="AE86" s="39">
        <f t="shared" si="45"/>
        <v>1.2314529942730001</v>
      </c>
      <c r="AF86" s="11">
        <v>-79860.238217313541</v>
      </c>
      <c r="AG86" s="38">
        <f t="shared" si="46"/>
        <v>-0.9159463350503666</v>
      </c>
      <c r="AI86" s="30">
        <v>39551.172673864668</v>
      </c>
      <c r="AJ86" s="36">
        <f t="shared" si="31"/>
        <v>-2.0191623362430673</v>
      </c>
      <c r="AK86" s="38">
        <f t="shared" si="47"/>
        <v>-1.7033359329408395</v>
      </c>
      <c r="AL86" s="11">
        <v>-29221.072819404537</v>
      </c>
      <c r="AM86" s="38">
        <f t="shared" si="48"/>
        <v>0.77484976537487682</v>
      </c>
      <c r="AO86" s="30">
        <v>39747.145365417251</v>
      </c>
      <c r="AP86" s="36">
        <f t="shared" si="32"/>
        <v>-0.73517412510406044</v>
      </c>
      <c r="AQ86" s="38">
        <f t="shared" si="49"/>
        <v>0.6790225410276074</v>
      </c>
      <c r="AR86" s="11">
        <v>22182.457216524519</v>
      </c>
      <c r="AS86" s="38">
        <f t="shared" si="50"/>
        <v>1.0911135637915486</v>
      </c>
      <c r="AU86" s="30">
        <v>39849.866852453313</v>
      </c>
      <c r="AV86" s="36">
        <f t="shared" si="33"/>
        <v>0.55665072354335554</v>
      </c>
      <c r="AW86" s="38">
        <f t="shared" si="51"/>
        <v>1.131267735609889</v>
      </c>
      <c r="AX86" s="11">
        <v>71687.790997978766</v>
      </c>
      <c r="AY86" s="38">
        <f t="shared" si="52"/>
        <v>1.1924724735025094</v>
      </c>
      <c r="BA86" s="30">
        <v>39892.697559858956</v>
      </c>
      <c r="BB86" s="36">
        <f t="shared" si="34"/>
        <v>1.7970153783261034</v>
      </c>
      <c r="BC86" s="38">
        <f t="shared" si="53"/>
        <v>1.2802709096657892</v>
      </c>
    </row>
    <row r="87" spans="1:55" x14ac:dyDescent="0.35">
      <c r="A87" s="44">
        <v>51956</v>
      </c>
      <c r="B87" s="27">
        <f>'Benefit-Cost'!G83</f>
        <v>0</v>
      </c>
      <c r="C87" s="38">
        <f t="shared" si="35"/>
        <v>1</v>
      </c>
      <c r="E87" s="30">
        <v>38611.475602761369</v>
      </c>
      <c r="F87" s="48">
        <f t="shared" si="27"/>
        <v>0</v>
      </c>
      <c r="G87" s="38">
        <f t="shared" si="36"/>
        <v>1</v>
      </c>
      <c r="H87" s="27">
        <f>'Benefit-Cost'!M83</f>
        <v>0</v>
      </c>
      <c r="I87" s="38">
        <f t="shared" si="37"/>
        <v>1</v>
      </c>
      <c r="K87" s="30">
        <v>41751.68648194259</v>
      </c>
      <c r="L87" s="31">
        <f t="shared" si="28"/>
        <v>0</v>
      </c>
      <c r="M87" s="38">
        <f t="shared" si="38"/>
        <v>1</v>
      </c>
      <c r="N87" s="27">
        <f>'Benefit-Cost'!S83</f>
        <v>0</v>
      </c>
      <c r="O87" s="38">
        <f t="shared" si="39"/>
        <v>-1</v>
      </c>
      <c r="Q87" s="30">
        <v>42440.328646373746</v>
      </c>
      <c r="R87" s="31">
        <f t="shared" si="29"/>
        <v>0</v>
      </c>
      <c r="S87" s="39">
        <f t="shared" si="40"/>
        <v>-1</v>
      </c>
      <c r="T87" s="27">
        <f>'Benefit-Cost'!Y83</f>
        <v>0</v>
      </c>
      <c r="U87" s="38">
        <f t="shared" si="41"/>
        <v>-1</v>
      </c>
      <c r="W87" s="30">
        <v>42983.173274679546</v>
      </c>
      <c r="X87" s="31">
        <f t="shared" si="30"/>
        <v>0</v>
      </c>
      <c r="Y87" s="39">
        <f t="shared" si="42"/>
        <v>-1</v>
      </c>
      <c r="Z87" s="27">
        <f>'Benefit-Cost'!AE83</f>
        <v>0</v>
      </c>
      <c r="AA87" s="38">
        <f t="shared" si="43"/>
        <v>-1</v>
      </c>
      <c r="AC87" s="30">
        <v>43366.41884373108</v>
      </c>
      <c r="AD87" s="36">
        <f t="shared" si="44"/>
        <v>0</v>
      </c>
      <c r="AE87" s="39">
        <f t="shared" si="45"/>
        <v>-1</v>
      </c>
      <c r="AF87" s="11">
        <v>0</v>
      </c>
      <c r="AG87" s="38">
        <f t="shared" si="46"/>
        <v>1</v>
      </c>
      <c r="AI87" s="30">
        <v>41442.290547013225</v>
      </c>
      <c r="AJ87" s="36">
        <f t="shared" si="31"/>
        <v>0</v>
      </c>
      <c r="AK87" s="38">
        <f t="shared" si="47"/>
        <v>1</v>
      </c>
      <c r="AL87" s="11">
        <v>0</v>
      </c>
      <c r="AM87" s="38">
        <f t="shared" si="48"/>
        <v>1</v>
      </c>
      <c r="AO87" s="30">
        <v>41867.768114981875</v>
      </c>
      <c r="AP87" s="36">
        <f t="shared" si="32"/>
        <v>0</v>
      </c>
      <c r="AQ87" s="38">
        <f t="shared" si="49"/>
        <v>1</v>
      </c>
      <c r="AR87" s="11">
        <v>0</v>
      </c>
      <c r="AS87" s="38">
        <f t="shared" si="50"/>
        <v>-1</v>
      </c>
      <c r="AU87" s="30">
        <v>42222.183297883137</v>
      </c>
      <c r="AV87" s="36">
        <f t="shared" si="33"/>
        <v>0</v>
      </c>
      <c r="AW87" s="38">
        <f t="shared" si="51"/>
        <v>-1</v>
      </c>
      <c r="AX87" s="11">
        <v>0</v>
      </c>
      <c r="AY87" s="38">
        <f t="shared" si="52"/>
        <v>-1</v>
      </c>
      <c r="BA87" s="30">
        <v>42534.583585358785</v>
      </c>
      <c r="BB87" s="36">
        <f t="shared" si="34"/>
        <v>0</v>
      </c>
      <c r="BC87" s="38">
        <f t="shared" si="53"/>
        <v>-1</v>
      </c>
    </row>
    <row r="88" spans="1:55" x14ac:dyDescent="0.35">
      <c r="A88" s="44">
        <v>52047</v>
      </c>
      <c r="B88" s="27">
        <f>'Benefit-Cost'!G84</f>
        <v>0</v>
      </c>
      <c r="C88" s="38" t="str">
        <f t="shared" si="35"/>
        <v/>
      </c>
      <c r="E88" s="30">
        <v>54739.674216831729</v>
      </c>
      <c r="F88" s="48">
        <f t="shared" si="27"/>
        <v>0</v>
      </c>
      <c r="G88" s="38" t="str">
        <f t="shared" si="36"/>
        <v/>
      </c>
      <c r="H88" s="27">
        <f>'Benefit-Cost'!M84</f>
        <v>0</v>
      </c>
      <c r="I88" s="38" t="str">
        <f t="shared" si="37"/>
        <v/>
      </c>
      <c r="K88" s="30">
        <v>60439.920360977223</v>
      </c>
      <c r="L88" s="31">
        <f t="shared" si="28"/>
        <v>0</v>
      </c>
      <c r="M88" s="38" t="str">
        <f t="shared" si="38"/>
        <v/>
      </c>
      <c r="N88" s="27">
        <f>'Benefit-Cost'!S84</f>
        <v>0</v>
      </c>
      <c r="O88" s="38" t="str">
        <f t="shared" si="39"/>
        <v/>
      </c>
      <c r="Q88" s="30">
        <v>62012.301756736881</v>
      </c>
      <c r="R88" s="31">
        <f t="shared" si="29"/>
        <v>0</v>
      </c>
      <c r="S88" s="39" t="str">
        <f t="shared" si="40"/>
        <v/>
      </c>
      <c r="T88" s="27">
        <f>'Benefit-Cost'!Y84</f>
        <v>0</v>
      </c>
      <c r="U88" s="38" t="str">
        <f t="shared" si="41"/>
        <v/>
      </c>
      <c r="W88" s="30">
        <v>63484.263269950825</v>
      </c>
      <c r="X88" s="31">
        <f t="shared" si="30"/>
        <v>0</v>
      </c>
      <c r="Y88" s="39" t="str">
        <f t="shared" si="42"/>
        <v/>
      </c>
      <c r="Z88" s="27">
        <f>'Benefit-Cost'!AE84</f>
        <v>0</v>
      </c>
      <c r="AA88" s="38" t="str">
        <f t="shared" si="43"/>
        <v/>
      </c>
      <c r="AC88" s="30">
        <v>64867.023244699682</v>
      </c>
      <c r="AD88" s="36">
        <f t="shared" si="44"/>
        <v>0</v>
      </c>
      <c r="AE88" s="39" t="str">
        <f t="shared" si="45"/>
        <v/>
      </c>
      <c r="AF88" s="11">
        <v>0</v>
      </c>
      <c r="AG88" s="38" t="str">
        <f t="shared" si="46"/>
        <v/>
      </c>
      <c r="AI88" s="30">
        <v>59768.863303577433</v>
      </c>
      <c r="AJ88" s="36">
        <f t="shared" si="31"/>
        <v>0</v>
      </c>
      <c r="AK88" s="38" t="str">
        <f t="shared" si="47"/>
        <v/>
      </c>
      <c r="AL88" s="11">
        <v>0</v>
      </c>
      <c r="AM88" s="38" t="str">
        <f t="shared" si="48"/>
        <v/>
      </c>
      <c r="AO88" s="30">
        <v>60693.501063497359</v>
      </c>
      <c r="AP88" s="36">
        <f t="shared" si="32"/>
        <v>0</v>
      </c>
      <c r="AQ88" s="38" t="str">
        <f t="shared" si="49"/>
        <v/>
      </c>
      <c r="AR88" s="11">
        <v>0</v>
      </c>
      <c r="AS88" s="38" t="str">
        <f t="shared" si="50"/>
        <v/>
      </c>
      <c r="AU88" s="30">
        <v>61552.944115733088</v>
      </c>
      <c r="AV88" s="36">
        <f t="shared" si="33"/>
        <v>0</v>
      </c>
      <c r="AW88" s="38" t="str">
        <f t="shared" si="51"/>
        <v/>
      </c>
      <c r="AX88" s="11">
        <v>0</v>
      </c>
      <c r="AY88" s="38" t="str">
        <f t="shared" si="52"/>
        <v/>
      </c>
      <c r="BA88" s="30">
        <v>62368.395003648417</v>
      </c>
      <c r="BB88" s="36">
        <f t="shared" si="34"/>
        <v>0</v>
      </c>
      <c r="BC88" s="38" t="str">
        <f t="shared" si="53"/>
        <v/>
      </c>
    </row>
    <row r="89" spans="1:55" x14ac:dyDescent="0.35">
      <c r="A89" s="44">
        <v>52139</v>
      </c>
      <c r="B89" s="27">
        <f>'Benefit-Cost'!G85</f>
        <v>0</v>
      </c>
      <c r="C89" s="38" t="str">
        <f t="shared" si="35"/>
        <v/>
      </c>
      <c r="E89" s="30">
        <v>51490.708524592366</v>
      </c>
      <c r="F89" s="48">
        <f t="shared" si="27"/>
        <v>0</v>
      </c>
      <c r="G89" s="38" t="str">
        <f t="shared" si="36"/>
        <v/>
      </c>
      <c r="H89" s="27">
        <f>'Benefit-Cost'!M85</f>
        <v>0</v>
      </c>
      <c r="I89" s="38" t="str">
        <f t="shared" si="37"/>
        <v/>
      </c>
      <c r="K89" s="30">
        <v>56180.921384193251</v>
      </c>
      <c r="L89" s="31">
        <f t="shared" si="28"/>
        <v>0</v>
      </c>
      <c r="M89" s="38" t="str">
        <f t="shared" si="38"/>
        <v/>
      </c>
      <c r="N89" s="27">
        <f>'Benefit-Cost'!S85</f>
        <v>0</v>
      </c>
      <c r="O89" s="38" t="str">
        <f t="shared" si="39"/>
        <v/>
      </c>
      <c r="Q89" s="30">
        <v>57479.636120043353</v>
      </c>
      <c r="R89" s="31">
        <f t="shared" si="29"/>
        <v>0</v>
      </c>
      <c r="S89" s="39" t="str">
        <f t="shared" si="40"/>
        <v/>
      </c>
      <c r="T89" s="27">
        <f>'Benefit-Cost'!Y85</f>
        <v>0</v>
      </c>
      <c r="U89" s="38" t="str">
        <f t="shared" si="41"/>
        <v/>
      </c>
      <c r="W89" s="30">
        <v>58620.08485766426</v>
      </c>
      <c r="X89" s="31">
        <f t="shared" si="30"/>
        <v>0</v>
      </c>
      <c r="Y89" s="39" t="str">
        <f t="shared" si="42"/>
        <v/>
      </c>
      <c r="Z89" s="27">
        <f>'Benefit-Cost'!AE85</f>
        <v>0</v>
      </c>
      <c r="AA89" s="38" t="str">
        <f t="shared" si="43"/>
        <v/>
      </c>
      <c r="AC89" s="30">
        <v>59616.342728512405</v>
      </c>
      <c r="AD89" s="36">
        <f t="shared" si="44"/>
        <v>0</v>
      </c>
      <c r="AE89" s="39" t="str">
        <f t="shared" si="45"/>
        <v/>
      </c>
      <c r="AF89" s="11">
        <v>0</v>
      </c>
      <c r="AG89" s="38" t="str">
        <f t="shared" si="46"/>
        <v/>
      </c>
      <c r="AI89" s="30">
        <v>55659.455301169561</v>
      </c>
      <c r="AJ89" s="36">
        <f t="shared" si="31"/>
        <v>0</v>
      </c>
      <c r="AK89" s="38" t="str">
        <f t="shared" si="47"/>
        <v/>
      </c>
      <c r="AL89" s="11">
        <v>0</v>
      </c>
      <c r="AM89" s="38" t="str">
        <f t="shared" si="48"/>
        <v/>
      </c>
      <c r="AO89" s="30">
        <v>56483.253834621297</v>
      </c>
      <c r="AP89" s="36">
        <f t="shared" si="32"/>
        <v>0</v>
      </c>
      <c r="AQ89" s="38" t="str">
        <f t="shared" si="49"/>
        <v/>
      </c>
      <c r="AR89" s="11">
        <v>0</v>
      </c>
      <c r="AS89" s="38" t="str">
        <f t="shared" si="50"/>
        <v/>
      </c>
      <c r="AU89" s="30">
        <v>57203.058520521874</v>
      </c>
      <c r="AV89" s="36">
        <f t="shared" si="33"/>
        <v>0</v>
      </c>
      <c r="AW89" s="38" t="str">
        <f t="shared" si="51"/>
        <v/>
      </c>
      <c r="AX89" s="11">
        <v>0</v>
      </c>
      <c r="AY89" s="38" t="str">
        <f t="shared" si="52"/>
        <v/>
      </c>
      <c r="BA89" s="30">
        <v>57849.535908526625</v>
      </c>
      <c r="BB89" s="36">
        <f t="shared" si="34"/>
        <v>0</v>
      </c>
      <c r="BC89" s="38" t="str">
        <f t="shared" si="53"/>
        <v/>
      </c>
    </row>
    <row r="90" spans="1:55" x14ac:dyDescent="0.35">
      <c r="A90" s="44">
        <v>52231</v>
      </c>
      <c r="B90" s="27">
        <f>'Benefit-Cost'!G86</f>
        <v>0</v>
      </c>
      <c r="C90" s="38" t="str">
        <f t="shared" si="35"/>
        <v/>
      </c>
      <c r="E90" s="30">
        <v>37493.758253967353</v>
      </c>
      <c r="F90" s="48">
        <f t="shared" si="27"/>
        <v>0</v>
      </c>
      <c r="G90" s="38" t="str">
        <f t="shared" si="36"/>
        <v/>
      </c>
      <c r="H90" s="27">
        <f>'Benefit-Cost'!M86</f>
        <v>0</v>
      </c>
      <c r="I90" s="38" t="str">
        <f t="shared" si="37"/>
        <v/>
      </c>
      <c r="K90" s="30">
        <v>39534.146362504798</v>
      </c>
      <c r="L90" s="31">
        <f t="shared" si="28"/>
        <v>0</v>
      </c>
      <c r="M90" s="38" t="str">
        <f t="shared" si="38"/>
        <v/>
      </c>
      <c r="N90" s="27">
        <f>'Benefit-Cost'!S86</f>
        <v>0</v>
      </c>
      <c r="O90" s="38" t="str">
        <f t="shared" si="39"/>
        <v/>
      </c>
      <c r="Q90" s="30">
        <v>39724.701155654366</v>
      </c>
      <c r="R90" s="31">
        <f t="shared" si="29"/>
        <v>0</v>
      </c>
      <c r="S90" s="39" t="str">
        <f t="shared" si="40"/>
        <v/>
      </c>
      <c r="T90" s="27">
        <f>'Benefit-Cost'!Y86</f>
        <v>0</v>
      </c>
      <c r="U90" s="38" t="str">
        <f t="shared" si="41"/>
        <v/>
      </c>
      <c r="W90" s="30">
        <v>39739.817526666302</v>
      </c>
      <c r="X90" s="31">
        <f t="shared" si="30"/>
        <v>0</v>
      </c>
      <c r="Y90" s="39" t="str">
        <f t="shared" si="42"/>
        <v/>
      </c>
      <c r="Z90" s="27">
        <f>'Benefit-Cost'!AE86</f>
        <v>0</v>
      </c>
      <c r="AA90" s="38" t="str">
        <f t="shared" si="43"/>
        <v/>
      </c>
      <c r="AC90" s="30">
        <v>39713.369090985536</v>
      </c>
      <c r="AD90" s="36">
        <f t="shared" si="44"/>
        <v>0</v>
      </c>
      <c r="AE90" s="39" t="str">
        <f t="shared" si="45"/>
        <v/>
      </c>
      <c r="AF90" s="11">
        <v>0</v>
      </c>
      <c r="AG90" s="38" t="str">
        <f t="shared" si="46"/>
        <v/>
      </c>
      <c r="AI90" s="30">
        <v>39404.053954673967</v>
      </c>
      <c r="AJ90" s="36">
        <f t="shared" si="31"/>
        <v>0</v>
      </c>
      <c r="AK90" s="38" t="str">
        <f t="shared" si="47"/>
        <v/>
      </c>
      <c r="AL90" s="11">
        <v>0</v>
      </c>
      <c r="AM90" s="38" t="str">
        <f t="shared" si="48"/>
        <v/>
      </c>
      <c r="AO90" s="30">
        <v>39587.037146723</v>
      </c>
      <c r="AP90" s="36">
        <f t="shared" si="32"/>
        <v>0</v>
      </c>
      <c r="AQ90" s="38" t="str">
        <f t="shared" si="49"/>
        <v/>
      </c>
      <c r="AR90" s="11">
        <v>0</v>
      </c>
      <c r="AS90" s="38" t="str">
        <f t="shared" si="50"/>
        <v/>
      </c>
      <c r="AU90" s="30">
        <v>39679.474455046227</v>
      </c>
      <c r="AV90" s="36">
        <f t="shared" si="33"/>
        <v>0</v>
      </c>
      <c r="AW90" s="38" t="str">
        <f t="shared" si="51"/>
        <v/>
      </c>
      <c r="AX90" s="11">
        <v>0</v>
      </c>
      <c r="AY90" s="38" t="str">
        <f t="shared" si="52"/>
        <v/>
      </c>
      <c r="BA90" s="30">
        <v>39715.021211689796</v>
      </c>
      <c r="BB90" s="36">
        <f t="shared" si="34"/>
        <v>0</v>
      </c>
      <c r="BC90" s="38" t="str">
        <f t="shared" si="53"/>
        <v/>
      </c>
    </row>
    <row r="91" spans="1:55" x14ac:dyDescent="0.35">
      <c r="A91" s="44">
        <v>52321</v>
      </c>
      <c r="B91" s="27">
        <f>'Benefit-Cost'!G87</f>
        <v>0</v>
      </c>
      <c r="C91" s="38" t="str">
        <f t="shared" si="35"/>
        <v/>
      </c>
      <c r="E91" s="30">
        <v>38418.418224747627</v>
      </c>
      <c r="F91" s="48">
        <f t="shared" si="27"/>
        <v>0</v>
      </c>
      <c r="G91" s="38" t="str">
        <f t="shared" si="36"/>
        <v/>
      </c>
      <c r="H91" s="27">
        <f>'Benefit-Cost'!M87</f>
        <v>0</v>
      </c>
      <c r="I91" s="38" t="str">
        <f t="shared" si="37"/>
        <v/>
      </c>
      <c r="K91" s="30">
        <v>41629.883193252608</v>
      </c>
      <c r="L91" s="31">
        <f t="shared" si="28"/>
        <v>0</v>
      </c>
      <c r="M91" s="38" t="str">
        <f t="shared" si="38"/>
        <v/>
      </c>
      <c r="N91" s="27">
        <f>'Benefit-Cost'!S87</f>
        <v>0</v>
      </c>
      <c r="O91" s="38" t="str">
        <f t="shared" si="39"/>
        <v/>
      </c>
      <c r="Q91" s="30">
        <v>42301.284557671272</v>
      </c>
      <c r="R91" s="31">
        <f t="shared" si="29"/>
        <v>0</v>
      </c>
      <c r="S91" s="39" t="str">
        <f t="shared" si="40"/>
        <v/>
      </c>
      <c r="T91" s="27">
        <f>'Benefit-Cost'!Y87</f>
        <v>0</v>
      </c>
      <c r="U91" s="38" t="str">
        <f t="shared" si="41"/>
        <v/>
      </c>
      <c r="W91" s="30">
        <v>42824.821850075867</v>
      </c>
      <c r="X91" s="31">
        <f t="shared" si="30"/>
        <v>0</v>
      </c>
      <c r="Y91" s="39" t="str">
        <f t="shared" si="42"/>
        <v/>
      </c>
      <c r="Z91" s="27">
        <f>'Benefit-Cost'!AE87</f>
        <v>0</v>
      </c>
      <c r="AA91" s="38" t="str">
        <f t="shared" si="43"/>
        <v/>
      </c>
      <c r="AC91" s="30">
        <v>43184.397667282792</v>
      </c>
      <c r="AD91" s="36">
        <f t="shared" si="44"/>
        <v>0</v>
      </c>
      <c r="AE91" s="39" t="str">
        <f t="shared" si="45"/>
        <v/>
      </c>
      <c r="AF91" s="11">
        <v>0</v>
      </c>
      <c r="AG91" s="38" t="str">
        <f t="shared" si="46"/>
        <v/>
      </c>
      <c r="AI91" s="30">
        <v>41329.671130539573</v>
      </c>
      <c r="AJ91" s="36">
        <f t="shared" si="31"/>
        <v>0</v>
      </c>
      <c r="AK91" s="38" t="str">
        <f t="shared" si="47"/>
        <v/>
      </c>
      <c r="AL91" s="11">
        <v>0</v>
      </c>
      <c r="AM91" s="38" t="str">
        <f t="shared" si="48"/>
        <v/>
      </c>
      <c r="AO91" s="30">
        <v>41739.176347240122</v>
      </c>
      <c r="AP91" s="36">
        <f t="shared" si="32"/>
        <v>0</v>
      </c>
      <c r="AQ91" s="38" t="str">
        <f t="shared" si="49"/>
        <v/>
      </c>
      <c r="AR91" s="11">
        <v>0</v>
      </c>
      <c r="AS91" s="38" t="str">
        <f t="shared" si="50"/>
        <v/>
      </c>
      <c r="AU91" s="30">
        <v>42085.885008189216</v>
      </c>
      <c r="AV91" s="36">
        <f t="shared" si="33"/>
        <v>0</v>
      </c>
      <c r="AW91" s="38" t="str">
        <f t="shared" si="51"/>
        <v/>
      </c>
      <c r="AX91" s="11">
        <v>0</v>
      </c>
      <c r="AY91" s="38" t="str">
        <f t="shared" si="52"/>
        <v/>
      </c>
      <c r="BA91" s="30">
        <v>42389.536296887571</v>
      </c>
      <c r="BB91" s="36">
        <f t="shared" si="34"/>
        <v>0</v>
      </c>
      <c r="BC91" s="38" t="str">
        <f t="shared" si="53"/>
        <v/>
      </c>
    </row>
    <row r="92" spans="1:55" x14ac:dyDescent="0.35">
      <c r="A92" s="44">
        <v>52412</v>
      </c>
      <c r="B92" s="27">
        <f>'Benefit-Cost'!G88</f>
        <v>0</v>
      </c>
      <c r="C92" s="38" t="str">
        <f t="shared" si="35"/>
        <v/>
      </c>
      <c r="E92" s="30">
        <v>54465.975845747729</v>
      </c>
      <c r="F92" s="48">
        <f t="shared" si="27"/>
        <v>0</v>
      </c>
      <c r="G92" s="38" t="str">
        <f t="shared" si="36"/>
        <v/>
      </c>
      <c r="H92" s="27">
        <f>'Benefit-Cost'!M88</f>
        <v>0</v>
      </c>
      <c r="I92" s="38" t="str">
        <f t="shared" si="37"/>
        <v/>
      </c>
      <c r="K92" s="30">
        <v>60321.381956820253</v>
      </c>
      <c r="L92" s="31">
        <f t="shared" si="28"/>
        <v>0</v>
      </c>
      <c r="M92" s="38" t="str">
        <f t="shared" si="38"/>
        <v/>
      </c>
      <c r="N92" s="27">
        <f>'Benefit-Cost'!S88</f>
        <v>0</v>
      </c>
      <c r="O92" s="38" t="str">
        <f t="shared" si="39"/>
        <v/>
      </c>
      <c r="Q92" s="30">
        <v>61863.931641528659</v>
      </c>
      <c r="R92" s="31">
        <f t="shared" si="29"/>
        <v>0</v>
      </c>
      <c r="S92" s="39" t="str">
        <f t="shared" si="40"/>
        <v/>
      </c>
      <c r="T92" s="27">
        <f>'Benefit-Cost'!Y88</f>
        <v>0</v>
      </c>
      <c r="U92" s="38" t="str">
        <f t="shared" si="41"/>
        <v/>
      </c>
      <c r="W92" s="30">
        <v>63309.841454821384</v>
      </c>
      <c r="X92" s="31">
        <f t="shared" si="30"/>
        <v>0</v>
      </c>
      <c r="Y92" s="39" t="str">
        <f t="shared" si="42"/>
        <v/>
      </c>
      <c r="Z92" s="27">
        <f>'Benefit-Cost'!AE88</f>
        <v>0</v>
      </c>
      <c r="AA92" s="38" t="str">
        <f t="shared" si="43"/>
        <v/>
      </c>
      <c r="AC92" s="30">
        <v>64662.54548426051</v>
      </c>
      <c r="AD92" s="36">
        <f t="shared" si="44"/>
        <v>0</v>
      </c>
      <c r="AE92" s="39" t="str">
        <f t="shared" si="45"/>
        <v/>
      </c>
      <c r="AF92" s="11">
        <v>0</v>
      </c>
      <c r="AG92" s="38" t="str">
        <f t="shared" si="46"/>
        <v/>
      </c>
      <c r="AI92" s="30">
        <v>59660.874916606474</v>
      </c>
      <c r="AJ92" s="36">
        <f t="shared" si="31"/>
        <v>0</v>
      </c>
      <c r="AK92" s="38" t="str">
        <f t="shared" si="47"/>
        <v/>
      </c>
      <c r="AL92" s="11">
        <v>0</v>
      </c>
      <c r="AM92" s="38" t="str">
        <f t="shared" si="48"/>
        <v/>
      </c>
      <c r="AO92" s="30">
        <v>60566.242125743833</v>
      </c>
      <c r="AP92" s="36">
        <f t="shared" si="32"/>
        <v>0</v>
      </c>
      <c r="AQ92" s="38" t="str">
        <f t="shared" si="49"/>
        <v/>
      </c>
      <c r="AR92" s="11">
        <v>0</v>
      </c>
      <c r="AS92" s="38" t="str">
        <f t="shared" si="50"/>
        <v/>
      </c>
      <c r="AU92" s="30">
        <v>61404.255986604083</v>
      </c>
      <c r="AV92" s="36">
        <f t="shared" si="33"/>
        <v>0</v>
      </c>
      <c r="AW92" s="38" t="str">
        <f t="shared" si="51"/>
        <v/>
      </c>
      <c r="AX92" s="11">
        <v>0</v>
      </c>
      <c r="AY92" s="38" t="str">
        <f t="shared" si="52"/>
        <v/>
      </c>
      <c r="BA92" s="30">
        <v>62201.302454587771</v>
      </c>
      <c r="BB92" s="36">
        <f t="shared" si="34"/>
        <v>0</v>
      </c>
      <c r="BC92" s="38" t="str">
        <f t="shared" si="53"/>
        <v/>
      </c>
    </row>
    <row r="93" spans="1:55" x14ac:dyDescent="0.35">
      <c r="A93" s="44">
        <v>52504</v>
      </c>
      <c r="B93" s="27">
        <f>'Benefit-Cost'!G89</f>
        <v>0</v>
      </c>
      <c r="C93" s="38" t="str">
        <f t="shared" si="35"/>
        <v/>
      </c>
      <c r="E93" s="30">
        <v>51233.254981969556</v>
      </c>
      <c r="F93" s="48">
        <f t="shared" si="27"/>
        <v>0</v>
      </c>
      <c r="G93" s="38" t="str">
        <f t="shared" si="36"/>
        <v/>
      </c>
      <c r="H93" s="27">
        <f>'Benefit-Cost'!M89</f>
        <v>0</v>
      </c>
      <c r="I93" s="38" t="str">
        <f t="shared" si="37"/>
        <v/>
      </c>
      <c r="K93" s="30">
        <v>56040.244590711736</v>
      </c>
      <c r="L93" s="31">
        <f t="shared" si="28"/>
        <v>0</v>
      </c>
      <c r="M93" s="38" t="str">
        <f t="shared" si="38"/>
        <v/>
      </c>
      <c r="N93" s="27">
        <f>'Benefit-Cost'!S89</f>
        <v>0</v>
      </c>
      <c r="O93" s="38" t="str">
        <f t="shared" si="39"/>
        <v/>
      </c>
      <c r="Q93" s="30">
        <v>57310.170018731034</v>
      </c>
      <c r="R93" s="31">
        <f t="shared" si="29"/>
        <v>0</v>
      </c>
      <c r="S93" s="39" t="str">
        <f t="shared" si="40"/>
        <v/>
      </c>
      <c r="T93" s="27">
        <f>'Benefit-Cost'!Y89</f>
        <v>0</v>
      </c>
      <c r="U93" s="38" t="str">
        <f t="shared" si="41"/>
        <v/>
      </c>
      <c r="W93" s="30">
        <v>58422.668633090499</v>
      </c>
      <c r="X93" s="31">
        <f t="shared" si="30"/>
        <v>0</v>
      </c>
      <c r="Y93" s="39" t="str">
        <f t="shared" si="42"/>
        <v/>
      </c>
      <c r="Z93" s="27">
        <f>'Benefit-Cost'!AE89</f>
        <v>0</v>
      </c>
      <c r="AA93" s="38" t="str">
        <f t="shared" si="43"/>
        <v/>
      </c>
      <c r="AC93" s="30">
        <v>59383.140800330322</v>
      </c>
      <c r="AD93" s="36">
        <f t="shared" si="44"/>
        <v>0</v>
      </c>
      <c r="AE93" s="39" t="str">
        <f t="shared" si="45"/>
        <v/>
      </c>
      <c r="AF93" s="11">
        <v>0</v>
      </c>
      <c r="AG93" s="38" t="str">
        <f t="shared" si="46"/>
        <v/>
      </c>
      <c r="AI93" s="30">
        <v>55529.670139069392</v>
      </c>
      <c r="AJ93" s="36">
        <f t="shared" si="31"/>
        <v>0</v>
      </c>
      <c r="AK93" s="38" t="str">
        <f t="shared" si="47"/>
        <v/>
      </c>
      <c r="AL93" s="11">
        <v>0</v>
      </c>
      <c r="AM93" s="38" t="str">
        <f t="shared" si="48"/>
        <v/>
      </c>
      <c r="AO93" s="30">
        <v>56332.629726927975</v>
      </c>
      <c r="AP93" s="36">
        <f t="shared" si="32"/>
        <v>0</v>
      </c>
      <c r="AQ93" s="38" t="str">
        <f t="shared" si="49"/>
        <v/>
      </c>
      <c r="AR93" s="11">
        <v>0</v>
      </c>
      <c r="AS93" s="38" t="str">
        <f t="shared" si="50"/>
        <v/>
      </c>
      <c r="AU93" s="30">
        <v>57031.770091646278</v>
      </c>
      <c r="AV93" s="36">
        <f t="shared" si="33"/>
        <v>0</v>
      </c>
      <c r="AW93" s="38" t="str">
        <f t="shared" si="51"/>
        <v/>
      </c>
      <c r="AX93" s="11">
        <v>0</v>
      </c>
      <c r="AY93" s="38" t="str">
        <f t="shared" si="52"/>
        <v/>
      </c>
      <c r="BA93" s="30">
        <v>57658.659186052886</v>
      </c>
      <c r="BB93" s="36">
        <f t="shared" si="34"/>
        <v>0</v>
      </c>
      <c r="BC93" s="38" t="str">
        <f t="shared" si="53"/>
        <v/>
      </c>
    </row>
    <row r="94" spans="1:55" x14ac:dyDescent="0.35">
      <c r="A94" s="44">
        <v>52596</v>
      </c>
      <c r="B94" s="27">
        <f>'Benefit-Cost'!G90</f>
        <v>0</v>
      </c>
      <c r="C94" s="38" t="str">
        <f t="shared" si="35"/>
        <v/>
      </c>
      <c r="E94" s="30">
        <v>37306.289462697612</v>
      </c>
      <c r="F94" s="48">
        <f t="shared" si="27"/>
        <v>0</v>
      </c>
      <c r="G94" s="38" t="str">
        <f t="shared" si="36"/>
        <v/>
      </c>
      <c r="H94" s="27">
        <f>'Benefit-Cost'!M90</f>
        <v>0</v>
      </c>
      <c r="I94" s="38" t="str">
        <f t="shared" si="37"/>
        <v/>
      </c>
      <c r="K94" s="30">
        <v>39377.510738242527</v>
      </c>
      <c r="L94" s="31">
        <f t="shared" si="28"/>
        <v>0</v>
      </c>
      <c r="M94" s="38" t="str">
        <f t="shared" si="38"/>
        <v/>
      </c>
      <c r="N94" s="27">
        <f>'Benefit-Cost'!S90</f>
        <v>0</v>
      </c>
      <c r="O94" s="38" t="str">
        <f t="shared" si="39"/>
        <v/>
      </c>
      <c r="Q94" s="30">
        <v>39548.570356366356</v>
      </c>
      <c r="R94" s="31">
        <f t="shared" si="29"/>
        <v>0</v>
      </c>
      <c r="S94" s="39" t="str">
        <f t="shared" si="40"/>
        <v/>
      </c>
      <c r="T94" s="27">
        <f>'Benefit-Cost'!Y90</f>
        <v>0</v>
      </c>
      <c r="U94" s="38" t="str">
        <f t="shared" si="41"/>
        <v/>
      </c>
      <c r="W94" s="30">
        <v>39553.840823613391</v>
      </c>
      <c r="X94" s="31">
        <f t="shared" si="30"/>
        <v>0</v>
      </c>
      <c r="Y94" s="39" t="str">
        <f t="shared" si="42"/>
        <v/>
      </c>
      <c r="Z94" s="27">
        <f>'Benefit-Cost'!AE90</f>
        <v>0</v>
      </c>
      <c r="AA94" s="38" t="str">
        <f t="shared" si="43"/>
        <v/>
      </c>
      <c r="AC94" s="30">
        <v>39520.475383415993</v>
      </c>
      <c r="AD94" s="36">
        <f t="shared" si="44"/>
        <v>0</v>
      </c>
      <c r="AE94" s="39" t="str">
        <f t="shared" si="45"/>
        <v/>
      </c>
      <c r="AF94" s="11">
        <v>0</v>
      </c>
      <c r="AG94" s="38" t="str">
        <f t="shared" si="46"/>
        <v/>
      </c>
      <c r="AI94" s="30">
        <v>39253.431853599184</v>
      </c>
      <c r="AJ94" s="36">
        <f t="shared" si="31"/>
        <v>0</v>
      </c>
      <c r="AK94" s="38" t="str">
        <f t="shared" si="47"/>
        <v/>
      </c>
      <c r="AL94" s="11">
        <v>0</v>
      </c>
      <c r="AM94" s="38" t="str">
        <f t="shared" si="48"/>
        <v/>
      </c>
      <c r="AO94" s="30">
        <v>39429.451617459519</v>
      </c>
      <c r="AP94" s="36">
        <f t="shared" si="32"/>
        <v>0</v>
      </c>
      <c r="AQ94" s="38" t="str">
        <f t="shared" si="49"/>
        <v/>
      </c>
      <c r="AR94" s="11">
        <v>0</v>
      </c>
      <c r="AS94" s="38" t="str">
        <f t="shared" si="50"/>
        <v/>
      </c>
      <c r="AU94" s="30">
        <v>39509.332333660335</v>
      </c>
      <c r="AV94" s="36">
        <f t="shared" si="33"/>
        <v>0</v>
      </c>
      <c r="AW94" s="38" t="str">
        <f t="shared" si="51"/>
        <v/>
      </c>
      <c r="AX94" s="11">
        <v>0</v>
      </c>
      <c r="AY94" s="38" t="str">
        <f t="shared" si="52"/>
        <v/>
      </c>
      <c r="BA94" s="30">
        <v>39536.640454336477</v>
      </c>
      <c r="BB94" s="36">
        <f t="shared" si="34"/>
        <v>0</v>
      </c>
      <c r="BC94" s="38" t="str">
        <f t="shared" si="53"/>
        <v/>
      </c>
    </row>
    <row r="95" spans="1:55" x14ac:dyDescent="0.35">
      <c r="A95" s="44">
        <v>52687</v>
      </c>
      <c r="B95" s="27">
        <f>'Benefit-Cost'!G91</f>
        <v>0</v>
      </c>
      <c r="C95" s="38" t="str">
        <f t="shared" si="35"/>
        <v/>
      </c>
      <c r="E95" s="30">
        <v>38714.082166694374</v>
      </c>
      <c r="F95" s="48">
        <f t="shared" si="27"/>
        <v>0</v>
      </c>
      <c r="G95" s="38" t="str">
        <f t="shared" si="36"/>
        <v/>
      </c>
      <c r="H95" s="27">
        <f>'Benefit-Cost'!M91</f>
        <v>0</v>
      </c>
      <c r="I95" s="38" t="str">
        <f t="shared" si="37"/>
        <v/>
      </c>
      <c r="K95" s="30">
        <v>42029.034208131634</v>
      </c>
      <c r="L95" s="31">
        <f t="shared" si="28"/>
        <v>0</v>
      </c>
      <c r="M95" s="38" t="str">
        <f t="shared" si="38"/>
        <v/>
      </c>
      <c r="N95" s="27">
        <f>'Benefit-Cost'!S91</f>
        <v>0</v>
      </c>
      <c r="O95" s="38" t="str">
        <f t="shared" si="39"/>
        <v/>
      </c>
      <c r="Q95" s="30">
        <v>42689.426543799411</v>
      </c>
      <c r="R95" s="31">
        <f t="shared" si="29"/>
        <v>0</v>
      </c>
      <c r="S95" s="39" t="str">
        <f t="shared" si="40"/>
        <v/>
      </c>
      <c r="T95" s="27">
        <f>'Benefit-Cost'!Y91</f>
        <v>0</v>
      </c>
      <c r="U95" s="38" t="str">
        <f t="shared" si="41"/>
        <v/>
      </c>
      <c r="W95" s="30">
        <v>43190.747861623422</v>
      </c>
      <c r="X95" s="31">
        <f t="shared" si="30"/>
        <v>0</v>
      </c>
      <c r="Y95" s="39" t="str">
        <f t="shared" si="42"/>
        <v/>
      </c>
      <c r="Z95" s="27">
        <f>'Benefit-Cost'!AE91</f>
        <v>0</v>
      </c>
      <c r="AA95" s="38" t="str">
        <f t="shared" si="43"/>
        <v/>
      </c>
      <c r="AC95" s="30">
        <v>43525.192977019513</v>
      </c>
      <c r="AD95" s="36">
        <f t="shared" si="44"/>
        <v>0</v>
      </c>
      <c r="AE95" s="39" t="str">
        <f t="shared" si="45"/>
        <v/>
      </c>
      <c r="AF95" s="11">
        <v>0</v>
      </c>
      <c r="AG95" s="38" t="str">
        <f t="shared" si="46"/>
        <v/>
      </c>
      <c r="AI95" s="30">
        <v>41735.713930571888</v>
      </c>
      <c r="AJ95" s="36">
        <f t="shared" si="31"/>
        <v>0</v>
      </c>
      <c r="AK95" s="38" t="str">
        <f t="shared" si="47"/>
        <v/>
      </c>
      <c r="AL95" s="11">
        <v>0</v>
      </c>
      <c r="AM95" s="38" t="str">
        <f t="shared" si="48"/>
        <v/>
      </c>
      <c r="AO95" s="30">
        <v>42140.752900803382</v>
      </c>
      <c r="AP95" s="36">
        <f t="shared" si="32"/>
        <v>0</v>
      </c>
      <c r="AQ95" s="38" t="str">
        <f t="shared" si="49"/>
        <v/>
      </c>
      <c r="AR95" s="11">
        <v>0</v>
      </c>
      <c r="AS95" s="38" t="str">
        <f t="shared" si="50"/>
        <v/>
      </c>
      <c r="AU95" s="30">
        <v>42478.077300960322</v>
      </c>
      <c r="AV95" s="36">
        <f t="shared" si="33"/>
        <v>0</v>
      </c>
      <c r="AW95" s="38" t="str">
        <f t="shared" si="51"/>
        <v/>
      </c>
      <c r="AX95" s="11">
        <v>0</v>
      </c>
      <c r="AY95" s="38" t="str">
        <f t="shared" si="52"/>
        <v/>
      </c>
      <c r="BA95" s="30">
        <v>42772.487526408862</v>
      </c>
      <c r="BB95" s="36">
        <f t="shared" si="34"/>
        <v>0</v>
      </c>
      <c r="BC95" s="38" t="str">
        <f t="shared" si="53"/>
        <v/>
      </c>
    </row>
    <row r="96" spans="1:55" x14ac:dyDescent="0.35">
      <c r="A96" s="44">
        <v>52778</v>
      </c>
      <c r="B96" s="27">
        <f>'Benefit-Cost'!G92</f>
        <v>0</v>
      </c>
      <c r="C96" s="38" t="str">
        <f t="shared" si="35"/>
        <v/>
      </c>
      <c r="E96" s="30">
        <v>54193.64596651918</v>
      </c>
      <c r="F96" s="48">
        <f t="shared" si="27"/>
        <v>0</v>
      </c>
      <c r="G96" s="38" t="str">
        <f t="shared" si="36"/>
        <v/>
      </c>
      <c r="H96" s="27">
        <f>'Benefit-Cost'!M92</f>
        <v>0</v>
      </c>
      <c r="I96" s="38" t="str">
        <f t="shared" si="37"/>
        <v/>
      </c>
      <c r="K96" s="30">
        <v>60213.76618990548</v>
      </c>
      <c r="L96" s="31">
        <f t="shared" si="28"/>
        <v>0</v>
      </c>
      <c r="M96" s="38" t="str">
        <f t="shared" si="38"/>
        <v/>
      </c>
      <c r="N96" s="27">
        <f>'Benefit-Cost'!S92</f>
        <v>0</v>
      </c>
      <c r="O96" s="38" t="str">
        <f t="shared" si="39"/>
        <v/>
      </c>
      <c r="Q96" s="30">
        <v>61742.308697055021</v>
      </c>
      <c r="R96" s="31">
        <f t="shared" si="29"/>
        <v>0</v>
      </c>
      <c r="S96" s="39" t="str">
        <f t="shared" si="40"/>
        <v/>
      </c>
      <c r="T96" s="27">
        <f>'Benefit-Cost'!Y92</f>
        <v>0</v>
      </c>
      <c r="U96" s="38" t="str">
        <f t="shared" si="41"/>
        <v/>
      </c>
      <c r="W96" s="30">
        <v>63177.483253753511</v>
      </c>
      <c r="X96" s="31">
        <f t="shared" si="30"/>
        <v>0</v>
      </c>
      <c r="Y96" s="39" t="str">
        <f t="shared" si="42"/>
        <v/>
      </c>
      <c r="Z96" s="27">
        <f>'Benefit-Cost'!AE92</f>
        <v>0</v>
      </c>
      <c r="AA96" s="38" t="str">
        <f t="shared" si="43"/>
        <v/>
      </c>
      <c r="AC96" s="30">
        <v>64520.744784355695</v>
      </c>
      <c r="AD96" s="36">
        <f t="shared" si="44"/>
        <v>0</v>
      </c>
      <c r="AE96" s="39" t="str">
        <f t="shared" si="45"/>
        <v/>
      </c>
      <c r="AF96" s="11">
        <v>0</v>
      </c>
      <c r="AG96" s="38" t="str">
        <f t="shared" si="46"/>
        <v/>
      </c>
      <c r="AI96" s="30">
        <v>59555.966282524372</v>
      </c>
      <c r="AJ96" s="36">
        <f t="shared" si="31"/>
        <v>0</v>
      </c>
      <c r="AK96" s="38" t="str">
        <f t="shared" si="47"/>
        <v/>
      </c>
      <c r="AL96" s="11">
        <v>0</v>
      </c>
      <c r="AM96" s="38" t="str">
        <f t="shared" si="48"/>
        <v/>
      </c>
      <c r="AO96" s="30">
        <v>60448.510332953621</v>
      </c>
      <c r="AP96" s="36">
        <f t="shared" si="32"/>
        <v>0</v>
      </c>
      <c r="AQ96" s="38" t="str">
        <f t="shared" si="49"/>
        <v/>
      </c>
      <c r="AR96" s="11">
        <v>0</v>
      </c>
      <c r="AS96" s="38" t="str">
        <f t="shared" si="50"/>
        <v/>
      </c>
      <c r="AU96" s="30">
        <v>61275.864485897204</v>
      </c>
      <c r="AV96" s="36">
        <f t="shared" si="33"/>
        <v>0</v>
      </c>
      <c r="AW96" s="38" t="str">
        <f t="shared" si="51"/>
        <v/>
      </c>
      <c r="AX96" s="11">
        <v>0</v>
      </c>
      <c r="AY96" s="38" t="str">
        <f t="shared" si="52"/>
        <v/>
      </c>
      <c r="BA96" s="30">
        <v>62062.636873080097</v>
      </c>
      <c r="BB96" s="36">
        <f t="shared" si="34"/>
        <v>0</v>
      </c>
      <c r="BC96" s="38" t="str">
        <f t="shared" si="53"/>
        <v/>
      </c>
    </row>
    <row r="97" spans="1:55" x14ac:dyDescent="0.35">
      <c r="A97" s="44">
        <v>52870</v>
      </c>
      <c r="B97" s="27">
        <f>'Benefit-Cost'!G93</f>
        <v>0</v>
      </c>
      <c r="C97" s="38" t="str">
        <f t="shared" si="35"/>
        <v/>
      </c>
      <c r="E97" s="30">
        <v>50977.088707059826</v>
      </c>
      <c r="F97" s="48">
        <f t="shared" si="27"/>
        <v>0</v>
      </c>
      <c r="G97" s="38" t="str">
        <f t="shared" si="36"/>
        <v/>
      </c>
      <c r="H97" s="27">
        <f>'Benefit-Cost'!M93</f>
        <v>0</v>
      </c>
      <c r="I97" s="38" t="str">
        <f t="shared" si="37"/>
        <v/>
      </c>
      <c r="K97" s="30">
        <v>55903.917142034021</v>
      </c>
      <c r="L97" s="31">
        <f t="shared" si="28"/>
        <v>0</v>
      </c>
      <c r="M97" s="38" t="str">
        <f t="shared" si="38"/>
        <v/>
      </c>
      <c r="N97" s="27">
        <f>'Benefit-Cost'!S93</f>
        <v>0</v>
      </c>
      <c r="O97" s="38" t="str">
        <f t="shared" si="39"/>
        <v/>
      </c>
      <c r="Q97" s="30">
        <v>57152.583333422401</v>
      </c>
      <c r="R97" s="31">
        <f t="shared" si="29"/>
        <v>0</v>
      </c>
      <c r="S97" s="39" t="str">
        <f t="shared" si="40"/>
        <v/>
      </c>
      <c r="T97" s="27">
        <f>'Benefit-Cost'!Y93</f>
        <v>0</v>
      </c>
      <c r="U97" s="38" t="str">
        <f t="shared" si="41"/>
        <v/>
      </c>
      <c r="W97" s="30">
        <v>58243.438234505295</v>
      </c>
      <c r="X97" s="31">
        <f t="shared" si="30"/>
        <v>0</v>
      </c>
      <c r="Y97" s="39" t="str">
        <f t="shared" si="42"/>
        <v/>
      </c>
      <c r="Z97" s="27">
        <f>'Benefit-Cost'!AE93</f>
        <v>0</v>
      </c>
      <c r="AA97" s="38" t="str">
        <f t="shared" si="43"/>
        <v/>
      </c>
      <c r="AC97" s="30">
        <v>59188.712620899089</v>
      </c>
      <c r="AD97" s="36">
        <f t="shared" si="44"/>
        <v>0</v>
      </c>
      <c r="AE97" s="39" t="str">
        <f t="shared" si="45"/>
        <v/>
      </c>
      <c r="AF97" s="11">
        <v>0</v>
      </c>
      <c r="AG97" s="38" t="str">
        <f t="shared" si="46"/>
        <v/>
      </c>
      <c r="AI97" s="30">
        <v>55401.936609002732</v>
      </c>
      <c r="AJ97" s="36">
        <f t="shared" si="31"/>
        <v>0</v>
      </c>
      <c r="AK97" s="38" t="str">
        <f t="shared" si="47"/>
        <v/>
      </c>
      <c r="AL97" s="11">
        <v>0</v>
      </c>
      <c r="AM97" s="38" t="str">
        <f t="shared" si="48"/>
        <v/>
      </c>
      <c r="AO97" s="30">
        <v>56187.197405588326</v>
      </c>
      <c r="AP97" s="36">
        <f t="shared" si="32"/>
        <v>0</v>
      </c>
      <c r="AQ97" s="38" t="str">
        <f t="shared" si="49"/>
        <v/>
      </c>
      <c r="AR97" s="11">
        <v>0</v>
      </c>
      <c r="AS97" s="38" t="str">
        <f t="shared" si="50"/>
        <v/>
      </c>
      <c r="AU97" s="30">
        <v>56876.678038144288</v>
      </c>
      <c r="AV97" s="36">
        <f t="shared" si="33"/>
        <v>0</v>
      </c>
      <c r="AW97" s="38" t="str">
        <f t="shared" si="51"/>
        <v/>
      </c>
      <c r="AX97" s="11">
        <v>0</v>
      </c>
      <c r="AY97" s="38" t="str">
        <f t="shared" si="52"/>
        <v/>
      </c>
      <c r="BA97" s="30">
        <v>57491.691699913143</v>
      </c>
      <c r="BB97" s="36">
        <f t="shared" si="34"/>
        <v>0</v>
      </c>
      <c r="BC97" s="38" t="str">
        <f t="shared" si="53"/>
        <v/>
      </c>
    </row>
    <row r="98" spans="1:55" x14ac:dyDescent="0.35">
      <c r="A98" s="44">
        <v>52962</v>
      </c>
      <c r="B98" s="27">
        <f>'Benefit-Cost'!G94</f>
        <v>0</v>
      </c>
      <c r="C98" s="38" t="str">
        <f t="shared" si="35"/>
        <v/>
      </c>
      <c r="E98" s="30">
        <v>37119.75801538417</v>
      </c>
      <c r="F98" s="48">
        <f t="shared" si="27"/>
        <v>0</v>
      </c>
      <c r="G98" s="38" t="str">
        <f t="shared" si="36"/>
        <v/>
      </c>
      <c r="H98" s="27">
        <f>'Benefit-Cost'!M94</f>
        <v>0</v>
      </c>
      <c r="I98" s="38" t="str">
        <f t="shared" si="37"/>
        <v/>
      </c>
      <c r="K98" s="30">
        <v>39207.760118719845</v>
      </c>
      <c r="L98" s="31">
        <f t="shared" si="28"/>
        <v>0</v>
      </c>
      <c r="M98" s="38" t="str">
        <f t="shared" si="38"/>
        <v/>
      </c>
      <c r="N98" s="27">
        <f>'Benefit-Cost'!S94</f>
        <v>0</v>
      </c>
      <c r="O98" s="38" t="str">
        <f t="shared" si="39"/>
        <v/>
      </c>
      <c r="Q98" s="30">
        <v>39356.615989687845</v>
      </c>
      <c r="R98" s="31">
        <f t="shared" si="29"/>
        <v>0</v>
      </c>
      <c r="S98" s="39" t="str">
        <f t="shared" si="40"/>
        <v/>
      </c>
      <c r="T98" s="27">
        <f>'Benefit-Cost'!Y94</f>
        <v>0</v>
      </c>
      <c r="U98" s="38" t="str">
        <f t="shared" si="41"/>
        <v/>
      </c>
      <c r="W98" s="30">
        <v>39348.582855998786</v>
      </c>
      <c r="X98" s="31">
        <f t="shared" si="30"/>
        <v>0</v>
      </c>
      <c r="Y98" s="39" t="str">
        <f t="shared" si="42"/>
        <v/>
      </c>
      <c r="Z98" s="27">
        <f>'Benefit-Cost'!AE94</f>
        <v>0</v>
      </c>
      <c r="AA98" s="38" t="str">
        <f t="shared" si="43"/>
        <v/>
      </c>
      <c r="AC98" s="30">
        <v>39308.222719927682</v>
      </c>
      <c r="AD98" s="36">
        <f t="shared" si="44"/>
        <v>0</v>
      </c>
      <c r="AE98" s="39" t="str">
        <f t="shared" si="45"/>
        <v/>
      </c>
      <c r="AF98" s="11">
        <v>0</v>
      </c>
      <c r="AG98" s="38" t="str">
        <f t="shared" si="46"/>
        <v/>
      </c>
      <c r="AI98" s="30">
        <v>39095.701232850428</v>
      </c>
      <c r="AJ98" s="36">
        <f t="shared" si="31"/>
        <v>0</v>
      </c>
      <c r="AK98" s="38" t="str">
        <f t="shared" si="47"/>
        <v/>
      </c>
      <c r="AL98" s="11">
        <v>0</v>
      </c>
      <c r="AM98" s="38" t="str">
        <f t="shared" si="48"/>
        <v/>
      </c>
      <c r="AO98" s="30">
        <v>39256.469571473142</v>
      </c>
      <c r="AP98" s="36">
        <f t="shared" si="32"/>
        <v>0</v>
      </c>
      <c r="AQ98" s="38" t="str">
        <f t="shared" si="49"/>
        <v/>
      </c>
      <c r="AR98" s="11">
        <v>0</v>
      </c>
      <c r="AS98" s="38" t="str">
        <f t="shared" si="50"/>
        <v/>
      </c>
      <c r="AU98" s="30">
        <v>39323.602960097298</v>
      </c>
      <c r="AV98" s="36">
        <f t="shared" si="33"/>
        <v>0</v>
      </c>
      <c r="AW98" s="38" t="str">
        <f t="shared" si="51"/>
        <v/>
      </c>
      <c r="AX98" s="11">
        <v>0</v>
      </c>
      <c r="AY98" s="38" t="str">
        <f t="shared" si="52"/>
        <v/>
      </c>
      <c r="BA98" s="30">
        <v>39343.045158273482</v>
      </c>
      <c r="BB98" s="36">
        <f t="shared" si="34"/>
        <v>0</v>
      </c>
      <c r="BC98" s="38" t="str">
        <f t="shared" si="53"/>
        <v/>
      </c>
    </row>
    <row r="99" spans="1:55" x14ac:dyDescent="0.35">
      <c r="A99" s="44">
        <v>53052</v>
      </c>
      <c r="B99" s="27">
        <f>'Benefit-Cost'!G95</f>
        <v>0</v>
      </c>
      <c r="C99" s="38" t="str">
        <f t="shared" si="35"/>
        <v/>
      </c>
      <c r="E99" s="30">
        <v>38035.194502955717</v>
      </c>
      <c r="F99" s="48">
        <f t="shared" si="27"/>
        <v>0</v>
      </c>
      <c r="G99" s="38" t="str">
        <f t="shared" si="36"/>
        <v/>
      </c>
      <c r="H99" s="27">
        <f>'Benefit-Cost'!M95</f>
        <v>0</v>
      </c>
      <c r="I99" s="38" t="str">
        <f t="shared" si="37"/>
        <v/>
      </c>
      <c r="K99" s="30">
        <v>41384.171402478394</v>
      </c>
      <c r="L99" s="31">
        <f t="shared" si="28"/>
        <v>0</v>
      </c>
      <c r="M99" s="38" t="str">
        <f t="shared" si="38"/>
        <v/>
      </c>
      <c r="N99" s="27">
        <f>'Benefit-Cost'!S95</f>
        <v>0</v>
      </c>
      <c r="O99" s="38" t="str">
        <f t="shared" si="39"/>
        <v/>
      </c>
      <c r="Q99" s="30">
        <v>42023.661726124672</v>
      </c>
      <c r="R99" s="31">
        <f t="shared" si="29"/>
        <v>0</v>
      </c>
      <c r="S99" s="39" t="str">
        <f t="shared" si="40"/>
        <v/>
      </c>
      <c r="T99" s="27">
        <f>'Benefit-Cost'!Y95</f>
        <v>0</v>
      </c>
      <c r="U99" s="38" t="str">
        <f t="shared" si="41"/>
        <v/>
      </c>
      <c r="W99" s="30">
        <v>42508.438478207099</v>
      </c>
      <c r="X99" s="31">
        <f t="shared" si="30"/>
        <v>0</v>
      </c>
      <c r="Y99" s="39" t="str">
        <f t="shared" si="42"/>
        <v/>
      </c>
      <c r="Z99" s="27">
        <f>'Benefit-Cost'!AE95</f>
        <v>0</v>
      </c>
      <c r="AA99" s="38" t="str">
        <f t="shared" si="43"/>
        <v/>
      </c>
      <c r="AC99" s="30">
        <v>42823.148328939802</v>
      </c>
      <c r="AD99" s="36">
        <f t="shared" si="44"/>
        <v>0</v>
      </c>
      <c r="AE99" s="39" t="str">
        <f t="shared" si="45"/>
        <v/>
      </c>
      <c r="AF99" s="11">
        <v>0</v>
      </c>
      <c r="AG99" s="38" t="str">
        <f t="shared" si="46"/>
        <v/>
      </c>
      <c r="AI99" s="30">
        <v>41101.946839177312</v>
      </c>
      <c r="AJ99" s="36">
        <f t="shared" si="31"/>
        <v>0</v>
      </c>
      <c r="AK99" s="38" t="str">
        <f t="shared" si="47"/>
        <v/>
      </c>
      <c r="AL99" s="11">
        <v>0</v>
      </c>
      <c r="AM99" s="38" t="str">
        <f t="shared" si="48"/>
        <v/>
      </c>
      <c r="AO99" s="30">
        <v>41490.972086753522</v>
      </c>
      <c r="AP99" s="36">
        <f t="shared" si="32"/>
        <v>0</v>
      </c>
      <c r="AQ99" s="38" t="str">
        <f t="shared" si="49"/>
        <v/>
      </c>
      <c r="AR99" s="11">
        <v>0</v>
      </c>
      <c r="AS99" s="38" t="str">
        <f t="shared" si="50"/>
        <v/>
      </c>
      <c r="AU99" s="30">
        <v>41815.361243132909</v>
      </c>
      <c r="AV99" s="36">
        <f t="shared" si="33"/>
        <v>0</v>
      </c>
      <c r="AW99" s="38" t="str">
        <f t="shared" si="51"/>
        <v/>
      </c>
      <c r="AX99" s="11">
        <v>0</v>
      </c>
      <c r="AY99" s="38" t="str">
        <f t="shared" si="52"/>
        <v/>
      </c>
      <c r="BA99" s="30">
        <v>42103.354231241072</v>
      </c>
      <c r="BB99" s="36">
        <f t="shared" si="34"/>
        <v>0</v>
      </c>
      <c r="BC99" s="38" t="str">
        <f t="shared" si="53"/>
        <v/>
      </c>
    </row>
    <row r="100" spans="1:55" x14ac:dyDescent="0.35">
      <c r="A100" s="44">
        <v>53143</v>
      </c>
      <c r="B100" s="27">
        <f>'Benefit-Cost'!G96</f>
        <v>0</v>
      </c>
      <c r="C100" s="38" t="str">
        <f t="shared" si="35"/>
        <v/>
      </c>
      <c r="E100" s="30">
        <v>53922.677736686252</v>
      </c>
      <c r="F100" s="48">
        <f t="shared" si="27"/>
        <v>0</v>
      </c>
      <c r="G100" s="38" t="str">
        <f t="shared" si="36"/>
        <v/>
      </c>
      <c r="H100" s="27">
        <f>'Benefit-Cost'!M96</f>
        <v>0</v>
      </c>
      <c r="I100" s="38" t="str">
        <f t="shared" si="37"/>
        <v/>
      </c>
      <c r="K100" s="30">
        <v>60097.353240616336</v>
      </c>
      <c r="L100" s="31">
        <f t="shared" si="28"/>
        <v>0</v>
      </c>
      <c r="M100" s="38" t="str">
        <f t="shared" si="38"/>
        <v/>
      </c>
      <c r="N100" s="27">
        <f>'Benefit-Cost'!S96</f>
        <v>0</v>
      </c>
      <c r="O100" s="38" t="str">
        <f t="shared" si="39"/>
        <v/>
      </c>
      <c r="Q100" s="30">
        <v>61599.252000856737</v>
      </c>
      <c r="R100" s="31">
        <f t="shared" si="29"/>
        <v>0</v>
      </c>
      <c r="S100" s="39" t="str">
        <f t="shared" si="40"/>
        <v/>
      </c>
      <c r="T100" s="27">
        <f>'Benefit-Cost'!Y96</f>
        <v>0</v>
      </c>
      <c r="U100" s="38" t="str">
        <f t="shared" si="41"/>
        <v/>
      </c>
      <c r="W100" s="30">
        <v>63003.861435619023</v>
      </c>
      <c r="X100" s="31">
        <f t="shared" si="30"/>
        <v>0</v>
      </c>
      <c r="Y100" s="39" t="str">
        <f t="shared" si="42"/>
        <v/>
      </c>
      <c r="Z100" s="27">
        <f>'Benefit-Cost'!AE96</f>
        <v>0</v>
      </c>
      <c r="AA100" s="38" t="str">
        <f t="shared" si="43"/>
        <v/>
      </c>
      <c r="AC100" s="30">
        <v>64320.22477428498</v>
      </c>
      <c r="AD100" s="36">
        <f t="shared" si="44"/>
        <v>0</v>
      </c>
      <c r="AE100" s="39" t="str">
        <f t="shared" si="45"/>
        <v/>
      </c>
      <c r="AF100" s="11">
        <v>0</v>
      </c>
      <c r="AG100" s="38" t="str">
        <f t="shared" si="46"/>
        <v/>
      </c>
      <c r="AI100" s="30">
        <v>59453.362598414576</v>
      </c>
      <c r="AJ100" s="36">
        <f t="shared" si="31"/>
        <v>0</v>
      </c>
      <c r="AK100" s="38" t="str">
        <f t="shared" si="47"/>
        <v/>
      </c>
      <c r="AL100" s="11">
        <v>0</v>
      </c>
      <c r="AM100" s="38" t="str">
        <f t="shared" si="48"/>
        <v/>
      </c>
      <c r="AO100" s="30">
        <v>60327.434439267236</v>
      </c>
      <c r="AP100" s="36">
        <f t="shared" si="32"/>
        <v>0</v>
      </c>
      <c r="AQ100" s="38" t="str">
        <f t="shared" si="49"/>
        <v/>
      </c>
      <c r="AR100" s="11">
        <v>0</v>
      </c>
      <c r="AS100" s="38" t="str">
        <f t="shared" si="50"/>
        <v/>
      </c>
      <c r="AU100" s="30">
        <v>61135.788891865763</v>
      </c>
      <c r="AV100" s="36">
        <f t="shared" si="33"/>
        <v>0</v>
      </c>
      <c r="AW100" s="38" t="str">
        <f t="shared" si="51"/>
        <v/>
      </c>
      <c r="AX100" s="11">
        <v>0</v>
      </c>
      <c r="AY100" s="38" t="str">
        <f t="shared" si="52"/>
        <v/>
      </c>
      <c r="BA100" s="30">
        <v>61905.91477544832</v>
      </c>
      <c r="BB100" s="36">
        <f t="shared" si="34"/>
        <v>0</v>
      </c>
      <c r="BC100" s="38" t="str">
        <f t="shared" si="53"/>
        <v/>
      </c>
    </row>
    <row r="101" spans="1:55" x14ac:dyDescent="0.35">
      <c r="A101" s="44">
        <v>53235</v>
      </c>
      <c r="B101" s="27">
        <f>'Benefit-Cost'!G97</f>
        <v>0</v>
      </c>
      <c r="C101" s="38" t="str">
        <f t="shared" si="35"/>
        <v/>
      </c>
      <c r="E101" s="30">
        <v>50722.203263524258</v>
      </c>
      <c r="F101" s="48">
        <f t="shared" si="27"/>
        <v>0</v>
      </c>
      <c r="G101" s="38" t="str">
        <f t="shared" si="36"/>
        <v/>
      </c>
      <c r="H101" s="27">
        <f>'Benefit-Cost'!M97</f>
        <v>0</v>
      </c>
      <c r="I101" s="38" t="str">
        <f t="shared" si="37"/>
        <v/>
      </c>
      <c r="K101" s="30">
        <v>55775.782002763095</v>
      </c>
      <c r="L101" s="31">
        <f t="shared" si="28"/>
        <v>0</v>
      </c>
      <c r="M101" s="38" t="str">
        <f t="shared" si="38"/>
        <v/>
      </c>
      <c r="N101" s="27">
        <f>'Benefit-Cost'!S97</f>
        <v>0</v>
      </c>
      <c r="O101" s="38" t="str">
        <f t="shared" si="39"/>
        <v/>
      </c>
      <c r="Q101" s="30">
        <v>57011.664110626909</v>
      </c>
      <c r="R101" s="31">
        <f t="shared" si="29"/>
        <v>0</v>
      </c>
      <c r="S101" s="39" t="str">
        <f t="shared" si="40"/>
        <v/>
      </c>
      <c r="T101" s="27">
        <f>'Benefit-Cost'!Y97</f>
        <v>0</v>
      </c>
      <c r="U101" s="38" t="str">
        <f t="shared" si="41"/>
        <v/>
      </c>
      <c r="W101" s="30">
        <v>58105.234459938896</v>
      </c>
      <c r="X101" s="31">
        <f t="shared" si="30"/>
        <v>0</v>
      </c>
      <c r="Y101" s="39" t="str">
        <f t="shared" si="42"/>
        <v/>
      </c>
      <c r="Z101" s="27">
        <f>'Benefit-Cost'!AE97</f>
        <v>0</v>
      </c>
      <c r="AA101" s="38" t="str">
        <f t="shared" si="43"/>
        <v/>
      </c>
      <c r="AC101" s="30">
        <v>59020.22598709671</v>
      </c>
      <c r="AD101" s="36">
        <f t="shared" si="44"/>
        <v>0</v>
      </c>
      <c r="AE101" s="39" t="str">
        <f t="shared" si="45"/>
        <v/>
      </c>
      <c r="AF101" s="11">
        <v>0</v>
      </c>
      <c r="AG101" s="38" t="str">
        <f t="shared" si="46"/>
        <v/>
      </c>
      <c r="AI101" s="30">
        <v>55278.725916023854</v>
      </c>
      <c r="AJ101" s="36">
        <f t="shared" si="31"/>
        <v>0</v>
      </c>
      <c r="AK101" s="38" t="str">
        <f t="shared" si="47"/>
        <v/>
      </c>
      <c r="AL101" s="11">
        <v>0</v>
      </c>
      <c r="AM101" s="38" t="str">
        <f t="shared" si="48"/>
        <v/>
      </c>
      <c r="AO101" s="30">
        <v>56052.456422492003</v>
      </c>
      <c r="AP101" s="36">
        <f t="shared" si="32"/>
        <v>0</v>
      </c>
      <c r="AQ101" s="38" t="str">
        <f t="shared" si="49"/>
        <v/>
      </c>
      <c r="AR101" s="11">
        <v>0</v>
      </c>
      <c r="AS101" s="38" t="str">
        <f t="shared" si="50"/>
        <v/>
      </c>
      <c r="AU101" s="30">
        <v>56737.194335777371</v>
      </c>
      <c r="AV101" s="36">
        <f t="shared" si="33"/>
        <v>0</v>
      </c>
      <c r="AW101" s="38" t="str">
        <f t="shared" si="51"/>
        <v/>
      </c>
      <c r="AX101" s="11">
        <v>0</v>
      </c>
      <c r="AY101" s="38" t="str">
        <f t="shared" si="52"/>
        <v/>
      </c>
      <c r="BA101" s="30">
        <v>57344.562518523853</v>
      </c>
      <c r="BB101" s="36">
        <f t="shared" si="34"/>
        <v>0</v>
      </c>
      <c r="BC101" s="38" t="str">
        <f t="shared" si="53"/>
        <v/>
      </c>
    </row>
    <row r="102" spans="1:55" x14ac:dyDescent="0.35">
      <c r="A102" s="44">
        <v>53327</v>
      </c>
      <c r="B102" s="27">
        <f>'Benefit-Cost'!G98</f>
        <v>0</v>
      </c>
      <c r="C102" s="38" t="str">
        <f t="shared" si="35"/>
        <v/>
      </c>
      <c r="E102" s="30">
        <v>36934.159225307114</v>
      </c>
      <c r="F102" s="48">
        <f t="shared" si="27"/>
        <v>0</v>
      </c>
      <c r="G102" s="38" t="str">
        <f t="shared" si="36"/>
        <v/>
      </c>
      <c r="H102" s="27">
        <f>'Benefit-Cost'!M98</f>
        <v>0</v>
      </c>
      <c r="I102" s="38" t="str">
        <f t="shared" si="37"/>
        <v/>
      </c>
      <c r="K102" s="30">
        <v>39043.36068058759</v>
      </c>
      <c r="L102" s="31">
        <f t="shared" si="28"/>
        <v>0</v>
      </c>
      <c r="M102" s="38" t="str">
        <f t="shared" si="38"/>
        <v/>
      </c>
      <c r="N102" s="27">
        <f>'Benefit-Cost'!S98</f>
        <v>0</v>
      </c>
      <c r="O102" s="38" t="str">
        <f t="shared" si="39"/>
        <v/>
      </c>
      <c r="Q102" s="30">
        <v>39170.417997497963</v>
      </c>
      <c r="R102" s="31">
        <f t="shared" si="29"/>
        <v>0</v>
      </c>
      <c r="S102" s="39" t="str">
        <f t="shared" si="40"/>
        <v/>
      </c>
      <c r="T102" s="27">
        <f>'Benefit-Cost'!Y98</f>
        <v>0</v>
      </c>
      <c r="U102" s="38" t="str">
        <f t="shared" si="41"/>
        <v/>
      </c>
      <c r="W102" s="30">
        <v>39156.14925686684</v>
      </c>
      <c r="X102" s="31">
        <f t="shared" si="30"/>
        <v>0</v>
      </c>
      <c r="Y102" s="39" t="str">
        <f t="shared" si="42"/>
        <v/>
      </c>
      <c r="Z102" s="27">
        <f>'Benefit-Cost'!AE98</f>
        <v>0</v>
      </c>
      <c r="AA102" s="38" t="str">
        <f t="shared" si="43"/>
        <v/>
      </c>
      <c r="AC102" s="30">
        <v>39107.617622366459</v>
      </c>
      <c r="AD102" s="36">
        <f t="shared" si="44"/>
        <v>0</v>
      </c>
      <c r="AE102" s="39" t="str">
        <f t="shared" si="45"/>
        <v/>
      </c>
      <c r="AF102" s="11">
        <v>0</v>
      </c>
      <c r="AG102" s="38" t="str">
        <f t="shared" si="46"/>
        <v/>
      </c>
      <c r="AI102" s="30">
        <v>38939.003252482522</v>
      </c>
      <c r="AJ102" s="36">
        <f t="shared" si="31"/>
        <v>0</v>
      </c>
      <c r="AK102" s="38" t="str">
        <f t="shared" si="47"/>
        <v/>
      </c>
      <c r="AL102" s="11">
        <v>0</v>
      </c>
      <c r="AM102" s="38" t="str">
        <f t="shared" si="48"/>
        <v/>
      </c>
      <c r="AO102" s="30">
        <v>39084.074461627039</v>
      </c>
      <c r="AP102" s="36">
        <f t="shared" si="32"/>
        <v>0</v>
      </c>
      <c r="AQ102" s="38" t="str">
        <f t="shared" si="49"/>
        <v/>
      </c>
      <c r="AR102" s="11">
        <v>0</v>
      </c>
      <c r="AS102" s="38" t="str">
        <f t="shared" si="50"/>
        <v/>
      </c>
      <c r="AU102" s="30">
        <v>39142.261661971577</v>
      </c>
      <c r="AV102" s="36">
        <f t="shared" si="33"/>
        <v>0</v>
      </c>
      <c r="AW102" s="38" t="str">
        <f t="shared" si="51"/>
        <v/>
      </c>
      <c r="AX102" s="11">
        <v>0</v>
      </c>
      <c r="AY102" s="38" t="str">
        <f t="shared" si="52"/>
        <v/>
      </c>
      <c r="BA102" s="30">
        <v>39156.025261615367</v>
      </c>
      <c r="BB102" s="36">
        <f t="shared" si="34"/>
        <v>0</v>
      </c>
      <c r="BC102" s="38" t="str">
        <f t="shared" si="53"/>
        <v/>
      </c>
    </row>
    <row r="103" spans="1:55" x14ac:dyDescent="0.35">
      <c r="A103" s="44">
        <v>53417</v>
      </c>
      <c r="B103" s="27">
        <f>'Benefit-Cost'!G99</f>
        <v>0</v>
      </c>
      <c r="C103" s="38" t="str">
        <f t="shared" si="35"/>
        <v/>
      </c>
      <c r="E103" s="30">
        <v>37845.018530440881</v>
      </c>
      <c r="F103" s="48">
        <f t="shared" si="27"/>
        <v>0</v>
      </c>
      <c r="G103" s="38" t="str">
        <f t="shared" si="36"/>
        <v/>
      </c>
      <c r="H103" s="27">
        <f>'Benefit-Cost'!M99</f>
        <v>0</v>
      </c>
      <c r="I103" s="38" t="str">
        <f t="shared" si="37"/>
        <v/>
      </c>
      <c r="K103" s="30">
        <v>41400.152584451629</v>
      </c>
      <c r="L103" s="31">
        <f t="shared" si="28"/>
        <v>0</v>
      </c>
      <c r="M103" s="38" t="str">
        <f t="shared" si="38"/>
        <v/>
      </c>
      <c r="N103" s="27">
        <f>'Benefit-Cost'!S99</f>
        <v>0</v>
      </c>
      <c r="O103" s="38" t="str">
        <f t="shared" si="39"/>
        <v/>
      </c>
      <c r="Q103" s="30">
        <v>42106.172269938397</v>
      </c>
      <c r="R103" s="31">
        <f t="shared" si="29"/>
        <v>0</v>
      </c>
      <c r="S103" s="39" t="str">
        <f t="shared" si="40"/>
        <v/>
      </c>
      <c r="T103" s="27">
        <f>'Benefit-Cost'!Y99</f>
        <v>0</v>
      </c>
      <c r="U103" s="38" t="str">
        <f t="shared" si="41"/>
        <v/>
      </c>
      <c r="W103" s="30">
        <v>42578.247856694099</v>
      </c>
      <c r="X103" s="31">
        <f t="shared" si="30"/>
        <v>0</v>
      </c>
      <c r="Y103" s="39" t="str">
        <f t="shared" si="42"/>
        <v/>
      </c>
      <c r="Z103" s="27">
        <f>'Benefit-Cost'!AE99</f>
        <v>0</v>
      </c>
      <c r="AA103" s="38" t="str">
        <f t="shared" si="43"/>
        <v/>
      </c>
      <c r="AC103" s="30">
        <v>42836.710596930767</v>
      </c>
      <c r="AD103" s="36">
        <f t="shared" si="44"/>
        <v>0</v>
      </c>
      <c r="AE103" s="39" t="str">
        <f t="shared" si="45"/>
        <v/>
      </c>
      <c r="AF103" s="11">
        <v>0</v>
      </c>
      <c r="AG103" s="38" t="str">
        <f t="shared" si="46"/>
        <v/>
      </c>
      <c r="AI103" s="30">
        <v>41089.710818487962</v>
      </c>
      <c r="AJ103" s="36">
        <f t="shared" si="31"/>
        <v>0</v>
      </c>
      <c r="AK103" s="38" t="str">
        <f t="shared" si="47"/>
        <v/>
      </c>
      <c r="AL103" s="11">
        <v>0</v>
      </c>
      <c r="AM103" s="38" t="str">
        <f t="shared" si="48"/>
        <v/>
      </c>
      <c r="AO103" s="30">
        <v>41553.806573550639</v>
      </c>
      <c r="AP103" s="36">
        <f t="shared" si="32"/>
        <v>0</v>
      </c>
      <c r="AQ103" s="38" t="str">
        <f t="shared" si="49"/>
        <v/>
      </c>
      <c r="AR103" s="11">
        <v>0</v>
      </c>
      <c r="AS103" s="38" t="str">
        <f t="shared" si="50"/>
        <v/>
      </c>
      <c r="AU103" s="30">
        <v>41942.22529111708</v>
      </c>
      <c r="AV103" s="36">
        <f t="shared" si="33"/>
        <v>0</v>
      </c>
      <c r="AW103" s="38" t="str">
        <f t="shared" si="51"/>
        <v/>
      </c>
      <c r="AX103" s="11">
        <v>0</v>
      </c>
      <c r="AY103" s="38" t="str">
        <f t="shared" si="52"/>
        <v/>
      </c>
      <c r="BA103" s="30">
        <v>42251.23601036967</v>
      </c>
      <c r="BB103" s="36">
        <f t="shared" si="34"/>
        <v>0</v>
      </c>
      <c r="BC103" s="38" t="str">
        <f t="shared" si="53"/>
        <v/>
      </c>
    </row>
    <row r="104" spans="1:55" x14ac:dyDescent="0.35">
      <c r="A104" s="44">
        <v>53508</v>
      </c>
      <c r="B104" s="27">
        <f>'Benefit-Cost'!G100</f>
        <v>0</v>
      </c>
      <c r="C104" s="38" t="str">
        <f t="shared" si="35"/>
        <v/>
      </c>
      <c r="E104" s="30">
        <v>53653.064348002794</v>
      </c>
      <c r="F104" s="48">
        <f t="shared" si="27"/>
        <v>0</v>
      </c>
      <c r="G104" s="38" t="str">
        <f t="shared" si="36"/>
        <v/>
      </c>
      <c r="H104" s="27">
        <f>'Benefit-Cost'!M100</f>
        <v>0</v>
      </c>
      <c r="I104" s="38" t="str">
        <f t="shared" si="37"/>
        <v/>
      </c>
      <c r="K104" s="30">
        <v>60293.438877762252</v>
      </c>
      <c r="L104" s="31">
        <f t="shared" si="28"/>
        <v>0</v>
      </c>
      <c r="M104" s="38" t="str">
        <f t="shared" si="38"/>
        <v/>
      </c>
      <c r="N104" s="27">
        <f>'Benefit-Cost'!S100</f>
        <v>0</v>
      </c>
      <c r="O104" s="38" t="str">
        <f t="shared" si="39"/>
        <v/>
      </c>
      <c r="Q104" s="30">
        <v>62070.128101854505</v>
      </c>
      <c r="R104" s="31">
        <f t="shared" si="29"/>
        <v>0</v>
      </c>
      <c r="S104" s="39" t="str">
        <f t="shared" si="40"/>
        <v/>
      </c>
      <c r="T104" s="27">
        <f>'Benefit-Cost'!Y100</f>
        <v>0</v>
      </c>
      <c r="U104" s="38" t="str">
        <f t="shared" si="41"/>
        <v/>
      </c>
      <c r="W104" s="30">
        <v>63743.794008844576</v>
      </c>
      <c r="X104" s="31">
        <f t="shared" si="30"/>
        <v>0</v>
      </c>
      <c r="Y104" s="39" t="str">
        <f t="shared" si="42"/>
        <v/>
      </c>
      <c r="Z104" s="27">
        <f>'Benefit-Cost'!AE100</f>
        <v>0</v>
      </c>
      <c r="AA104" s="38" t="str">
        <f t="shared" si="43"/>
        <v/>
      </c>
      <c r="AC104" s="30">
        <v>65304.814708372127</v>
      </c>
      <c r="AD104" s="36">
        <f t="shared" si="44"/>
        <v>0</v>
      </c>
      <c r="AE104" s="39" t="str">
        <f t="shared" si="45"/>
        <v/>
      </c>
      <c r="AF104" s="11">
        <v>0</v>
      </c>
      <c r="AG104" s="38" t="str">
        <f t="shared" si="46"/>
        <v/>
      </c>
      <c r="AI104" s="30">
        <v>59590.32207465019</v>
      </c>
      <c r="AJ104" s="36">
        <f t="shared" si="31"/>
        <v>0</v>
      </c>
      <c r="AK104" s="38" t="str">
        <f t="shared" si="47"/>
        <v/>
      </c>
      <c r="AL104" s="11">
        <v>0</v>
      </c>
      <c r="AM104" s="38" t="str">
        <f t="shared" si="48"/>
        <v/>
      </c>
      <c r="AO104" s="30">
        <v>60686.579838612015</v>
      </c>
      <c r="AP104" s="36">
        <f t="shared" si="32"/>
        <v>0</v>
      </c>
      <c r="AQ104" s="38" t="str">
        <f t="shared" si="49"/>
        <v/>
      </c>
      <c r="AR104" s="11">
        <v>0</v>
      </c>
      <c r="AS104" s="38" t="str">
        <f t="shared" si="50"/>
        <v/>
      </c>
      <c r="AU104" s="30">
        <v>61701.682075427001</v>
      </c>
      <c r="AV104" s="36">
        <f t="shared" si="33"/>
        <v>0</v>
      </c>
      <c r="AW104" s="38" t="str">
        <f t="shared" si="51"/>
        <v/>
      </c>
      <c r="AX104" s="11">
        <v>0</v>
      </c>
      <c r="AY104" s="38" t="str">
        <f t="shared" si="52"/>
        <v/>
      </c>
      <c r="BA104" s="30">
        <v>62649.72214160602</v>
      </c>
      <c r="BB104" s="36">
        <f t="shared" si="34"/>
        <v>0</v>
      </c>
      <c r="BC104" s="38" t="str">
        <f t="shared" si="53"/>
        <v/>
      </c>
    </row>
    <row r="105" spans="1:55" x14ac:dyDescent="0.35">
      <c r="A105" s="44">
        <v>53600</v>
      </c>
      <c r="B105" s="27">
        <f>'Benefit-Cost'!G101</f>
        <v>0</v>
      </c>
      <c r="C105" s="38" t="str">
        <f t="shared" si="35"/>
        <v/>
      </c>
      <c r="E105" s="30">
        <v>50468.592247206623</v>
      </c>
      <c r="F105" s="48">
        <f t="shared" si="27"/>
        <v>0</v>
      </c>
      <c r="G105" s="38" t="str">
        <f t="shared" si="36"/>
        <v/>
      </c>
      <c r="H105" s="27">
        <f>'Benefit-Cost'!M101</f>
        <v>0</v>
      </c>
      <c r="I105" s="38" t="str">
        <f t="shared" si="37"/>
        <v/>
      </c>
      <c r="K105" s="30">
        <v>55859.487188196494</v>
      </c>
      <c r="L105" s="31">
        <f t="shared" si="28"/>
        <v>0</v>
      </c>
      <c r="M105" s="38" t="str">
        <f t="shared" si="38"/>
        <v/>
      </c>
      <c r="N105" s="27">
        <f>'Benefit-Cost'!S101</f>
        <v>0</v>
      </c>
      <c r="O105" s="38" t="str">
        <f t="shared" si="39"/>
        <v/>
      </c>
      <c r="Q105" s="30">
        <v>57277.553511611884</v>
      </c>
      <c r="R105" s="31">
        <f t="shared" si="29"/>
        <v>0</v>
      </c>
      <c r="S105" s="39" t="str">
        <f t="shared" si="40"/>
        <v/>
      </c>
      <c r="T105" s="27">
        <f>'Benefit-Cost'!Y101</f>
        <v>0</v>
      </c>
      <c r="U105" s="38" t="str">
        <f t="shared" si="41"/>
        <v/>
      </c>
      <c r="W105" s="30">
        <v>58502.890869469804</v>
      </c>
      <c r="X105" s="31">
        <f t="shared" si="30"/>
        <v>0</v>
      </c>
      <c r="Y105" s="39" t="str">
        <f t="shared" si="42"/>
        <v/>
      </c>
      <c r="Z105" s="27">
        <f>'Benefit-Cost'!AE101</f>
        <v>0</v>
      </c>
      <c r="AA105" s="38" t="str">
        <f t="shared" si="43"/>
        <v/>
      </c>
      <c r="AC105" s="30">
        <v>59492.813616215397</v>
      </c>
      <c r="AD105" s="36">
        <f t="shared" si="44"/>
        <v>0</v>
      </c>
      <c r="AE105" s="39" t="str">
        <f t="shared" si="45"/>
        <v/>
      </c>
      <c r="AF105" s="11">
        <v>0</v>
      </c>
      <c r="AG105" s="38" t="str">
        <f t="shared" si="46"/>
        <v/>
      </c>
      <c r="AI105" s="30">
        <v>55330.956822213811</v>
      </c>
      <c r="AJ105" s="36">
        <f t="shared" si="31"/>
        <v>0</v>
      </c>
      <c r="AK105" s="38" t="str">
        <f t="shared" si="47"/>
        <v/>
      </c>
      <c r="AL105" s="11">
        <v>0</v>
      </c>
      <c r="AM105" s="38" t="str">
        <f t="shared" si="48"/>
        <v/>
      </c>
      <c r="AO105" s="30">
        <v>56271.312565190732</v>
      </c>
      <c r="AP105" s="36">
        <f t="shared" si="32"/>
        <v>0</v>
      </c>
      <c r="AQ105" s="38" t="str">
        <f t="shared" si="49"/>
        <v/>
      </c>
      <c r="AR105" s="11">
        <v>0</v>
      </c>
      <c r="AS105" s="38" t="str">
        <f t="shared" si="50"/>
        <v/>
      </c>
      <c r="AU105" s="30">
        <v>57104.730862741228</v>
      </c>
      <c r="AV105" s="36">
        <f t="shared" si="33"/>
        <v>0</v>
      </c>
      <c r="AW105" s="38" t="str">
        <f t="shared" si="51"/>
        <v/>
      </c>
      <c r="AX105" s="11">
        <v>0</v>
      </c>
      <c r="AY105" s="38" t="str">
        <f t="shared" si="52"/>
        <v/>
      </c>
      <c r="BA105" s="30">
        <v>57827.938877530723</v>
      </c>
      <c r="BB105" s="36">
        <f t="shared" si="34"/>
        <v>0</v>
      </c>
      <c r="BC105" s="38" t="str">
        <f t="shared" si="53"/>
        <v/>
      </c>
    </row>
    <row r="106" spans="1:55" x14ac:dyDescent="0.35">
      <c r="A106" s="44">
        <v>53692</v>
      </c>
      <c r="B106" s="27">
        <f>'Benefit-Cost'!G102</f>
        <v>0</v>
      </c>
      <c r="C106" s="38" t="str">
        <f t="shared" si="35"/>
        <v/>
      </c>
      <c r="E106" s="30">
        <v>36749.488429180557</v>
      </c>
      <c r="F106" s="48">
        <f t="shared" si="27"/>
        <v>0</v>
      </c>
      <c r="G106" s="38" t="str">
        <f t="shared" si="36"/>
        <v/>
      </c>
      <c r="H106" s="27">
        <f>'Benefit-Cost'!M102</f>
        <v>0</v>
      </c>
      <c r="I106" s="38" t="str">
        <f t="shared" si="37"/>
        <v/>
      </c>
      <c r="K106" s="30">
        <v>38913.486555466683</v>
      </c>
      <c r="L106" s="31">
        <f t="shared" si="28"/>
        <v>0</v>
      </c>
      <c r="M106" s="38" t="str">
        <f t="shared" si="38"/>
        <v/>
      </c>
      <c r="N106" s="27">
        <f>'Benefit-Cost'!S102</f>
        <v>0</v>
      </c>
      <c r="O106" s="38" t="str">
        <f t="shared" si="39"/>
        <v/>
      </c>
      <c r="Q106" s="30">
        <v>39001.692770793255</v>
      </c>
      <c r="R106" s="31">
        <f t="shared" si="29"/>
        <v>0</v>
      </c>
      <c r="S106" s="39" t="str">
        <f t="shared" si="40"/>
        <v/>
      </c>
      <c r="T106" s="27">
        <f>'Benefit-Cost'!Y102</f>
        <v>0</v>
      </c>
      <c r="U106" s="38" t="str">
        <f t="shared" si="41"/>
        <v/>
      </c>
      <c r="W106" s="30">
        <v>38957.95779107717</v>
      </c>
      <c r="X106" s="31">
        <f t="shared" si="30"/>
        <v>0</v>
      </c>
      <c r="Y106" s="39" t="str">
        <f t="shared" si="42"/>
        <v/>
      </c>
      <c r="Z106" s="27">
        <f>'Benefit-Cost'!AE102</f>
        <v>0</v>
      </c>
      <c r="AA106" s="38" t="str">
        <f t="shared" si="43"/>
        <v/>
      </c>
      <c r="AC106" s="30">
        <v>38807.288178354385</v>
      </c>
      <c r="AD106" s="36">
        <f t="shared" si="44"/>
        <v>0</v>
      </c>
      <c r="AE106" s="39" t="str">
        <f t="shared" si="45"/>
        <v/>
      </c>
      <c r="AF106" s="11">
        <v>0</v>
      </c>
      <c r="AG106" s="38" t="str">
        <f t="shared" si="46"/>
        <v/>
      </c>
      <c r="AI106" s="30">
        <v>38823.930025591158</v>
      </c>
      <c r="AJ106" s="36">
        <f t="shared" si="31"/>
        <v>0</v>
      </c>
      <c r="AK106" s="38" t="str">
        <f t="shared" si="47"/>
        <v/>
      </c>
      <c r="AL106" s="11">
        <v>0</v>
      </c>
      <c r="AM106" s="38" t="str">
        <f t="shared" si="48"/>
        <v/>
      </c>
      <c r="AO106" s="30">
        <v>38958.297508814234</v>
      </c>
      <c r="AP106" s="36">
        <f t="shared" si="32"/>
        <v>0</v>
      </c>
      <c r="AQ106" s="38" t="str">
        <f t="shared" si="49"/>
        <v/>
      </c>
      <c r="AR106" s="11">
        <v>0</v>
      </c>
      <c r="AS106" s="38" t="str">
        <f t="shared" si="50"/>
        <v/>
      </c>
      <c r="AU106" s="30">
        <v>38976.103537134812</v>
      </c>
      <c r="AV106" s="36">
        <f t="shared" si="33"/>
        <v>0</v>
      </c>
      <c r="AW106" s="38" t="str">
        <f t="shared" si="51"/>
        <v/>
      </c>
      <c r="AX106" s="11">
        <v>0</v>
      </c>
      <c r="AY106" s="38" t="str">
        <f t="shared" si="52"/>
        <v/>
      </c>
      <c r="BA106" s="30">
        <v>38957.693884561842</v>
      </c>
      <c r="BB106" s="36">
        <f t="shared" si="34"/>
        <v>0</v>
      </c>
      <c r="BC106" s="38" t="str">
        <f t="shared" si="53"/>
        <v/>
      </c>
    </row>
    <row r="107" spans="1:55" x14ac:dyDescent="0.35">
      <c r="A107" s="44">
        <v>53782</v>
      </c>
      <c r="B107" s="27">
        <f>'Benefit-Cost'!G103</f>
        <v>0</v>
      </c>
      <c r="C107" s="38" t="str">
        <f t="shared" si="35"/>
        <v/>
      </c>
      <c r="E107" s="30">
        <v>37655.793437788656</v>
      </c>
      <c r="F107" s="48">
        <f t="shared" si="27"/>
        <v>0</v>
      </c>
      <c r="G107" s="38" t="str">
        <f t="shared" si="36"/>
        <v/>
      </c>
      <c r="H107" s="27">
        <f>'Benefit-Cost'!M103</f>
        <v>0</v>
      </c>
      <c r="I107" s="38" t="str">
        <f t="shared" si="37"/>
        <v/>
      </c>
      <c r="K107" s="30">
        <v>41244.700247618966</v>
      </c>
      <c r="L107" s="31">
        <f t="shared" si="28"/>
        <v>0</v>
      </c>
      <c r="M107" s="38" t="str">
        <f t="shared" si="38"/>
        <v/>
      </c>
      <c r="N107" s="27">
        <f>'Benefit-Cost'!S103</f>
        <v>0</v>
      </c>
      <c r="O107" s="38" t="str">
        <f t="shared" si="39"/>
        <v/>
      </c>
      <c r="Q107" s="30">
        <v>41905.120422218723</v>
      </c>
      <c r="R107" s="31">
        <f t="shared" si="29"/>
        <v>0</v>
      </c>
      <c r="S107" s="39" t="str">
        <f t="shared" si="40"/>
        <v/>
      </c>
      <c r="T107" s="27">
        <f>'Benefit-Cost'!Y103</f>
        <v>0</v>
      </c>
      <c r="U107" s="38" t="str">
        <f t="shared" si="41"/>
        <v/>
      </c>
      <c r="W107" s="30">
        <v>42348.365913531961</v>
      </c>
      <c r="X107" s="31">
        <f t="shared" si="30"/>
        <v>0</v>
      </c>
      <c r="Y107" s="39" t="str">
        <f t="shared" si="42"/>
        <v/>
      </c>
      <c r="Z107" s="27">
        <f>'Benefit-Cost'!AE103</f>
        <v>0</v>
      </c>
      <c r="AA107" s="38" t="str">
        <f t="shared" si="43"/>
        <v/>
      </c>
      <c r="AC107" s="30">
        <v>42567.960944321516</v>
      </c>
      <c r="AD107" s="36">
        <f t="shared" si="44"/>
        <v>0</v>
      </c>
      <c r="AE107" s="39" t="str">
        <f t="shared" si="45"/>
        <v/>
      </c>
      <c r="AF107" s="11">
        <v>0</v>
      </c>
      <c r="AG107" s="38" t="str">
        <f t="shared" si="46"/>
        <v/>
      </c>
      <c r="AI107" s="30">
        <v>40954.827608461768</v>
      </c>
      <c r="AJ107" s="36">
        <f t="shared" si="31"/>
        <v>0</v>
      </c>
      <c r="AK107" s="38" t="str">
        <f t="shared" si="47"/>
        <v/>
      </c>
      <c r="AL107" s="11">
        <v>0</v>
      </c>
      <c r="AM107" s="38" t="str">
        <f t="shared" si="48"/>
        <v/>
      </c>
      <c r="AO107" s="30">
        <v>41394.048894705775</v>
      </c>
      <c r="AP107" s="36">
        <f t="shared" si="32"/>
        <v>0</v>
      </c>
      <c r="AQ107" s="38" t="str">
        <f t="shared" si="49"/>
        <v/>
      </c>
      <c r="AR107" s="11">
        <v>0</v>
      </c>
      <c r="AS107" s="38" t="str">
        <f t="shared" si="50"/>
        <v/>
      </c>
      <c r="AU107" s="30">
        <v>41759.334324412281</v>
      </c>
      <c r="AV107" s="36">
        <f t="shared" si="33"/>
        <v>0</v>
      </c>
      <c r="AW107" s="38" t="str">
        <f t="shared" si="51"/>
        <v/>
      </c>
      <c r="AX107" s="11">
        <v>0</v>
      </c>
      <c r="AY107" s="38" t="str">
        <f t="shared" si="52"/>
        <v/>
      </c>
      <c r="BA107" s="30">
        <v>42054.333319411598</v>
      </c>
      <c r="BB107" s="36">
        <f t="shared" si="34"/>
        <v>0</v>
      </c>
      <c r="BC107" s="38" t="str">
        <f t="shared" si="53"/>
        <v/>
      </c>
    </row>
    <row r="108" spans="1:55" x14ac:dyDescent="0.35">
      <c r="A108" s="44">
        <v>53873</v>
      </c>
      <c r="B108" s="27">
        <f>'Benefit-Cost'!G104</f>
        <v>0</v>
      </c>
      <c r="C108" s="38" t="str">
        <f t="shared" si="35"/>
        <v/>
      </c>
      <c r="E108" s="30">
        <v>53384.799026262684</v>
      </c>
      <c r="F108" s="48">
        <f t="shared" si="27"/>
        <v>0</v>
      </c>
      <c r="G108" s="38" t="str">
        <f t="shared" si="36"/>
        <v/>
      </c>
      <c r="H108" s="27">
        <f>'Benefit-Cost'!M104</f>
        <v>0</v>
      </c>
      <c r="I108" s="38" t="str">
        <f t="shared" si="37"/>
        <v/>
      </c>
      <c r="K108" s="30">
        <v>60119.806220064114</v>
      </c>
      <c r="L108" s="31">
        <f t="shared" si="28"/>
        <v>0</v>
      </c>
      <c r="M108" s="38" t="str">
        <f t="shared" si="38"/>
        <v/>
      </c>
      <c r="N108" s="27">
        <f>'Benefit-Cost'!S104</f>
        <v>0</v>
      </c>
      <c r="O108" s="38" t="str">
        <f t="shared" si="39"/>
        <v/>
      </c>
      <c r="Q108" s="30">
        <v>61798.587062654973</v>
      </c>
      <c r="R108" s="31">
        <f t="shared" si="29"/>
        <v>0</v>
      </c>
      <c r="S108" s="39" t="str">
        <f t="shared" si="40"/>
        <v/>
      </c>
      <c r="T108" s="27">
        <f>'Benefit-Cost'!Y104</f>
        <v>0</v>
      </c>
      <c r="U108" s="38" t="str">
        <f t="shared" si="41"/>
        <v/>
      </c>
      <c r="W108" s="30">
        <v>63361.517342896565</v>
      </c>
      <c r="X108" s="31">
        <f t="shared" si="30"/>
        <v>0</v>
      </c>
      <c r="Y108" s="39" t="str">
        <f t="shared" si="42"/>
        <v/>
      </c>
      <c r="Z108" s="27">
        <f>'Benefit-Cost'!AE104</f>
        <v>0</v>
      </c>
      <c r="AA108" s="38" t="str">
        <f t="shared" si="43"/>
        <v/>
      </c>
      <c r="AC108" s="30">
        <v>64825.051308681926</v>
      </c>
      <c r="AD108" s="36">
        <f t="shared" si="44"/>
        <v>0</v>
      </c>
      <c r="AE108" s="39" t="str">
        <f t="shared" si="45"/>
        <v/>
      </c>
      <c r="AF108" s="11">
        <v>0</v>
      </c>
      <c r="AG108" s="38" t="str">
        <f t="shared" si="46"/>
        <v/>
      </c>
      <c r="AI108" s="30">
        <v>59422.327011246976</v>
      </c>
      <c r="AJ108" s="36">
        <f t="shared" si="31"/>
        <v>0</v>
      </c>
      <c r="AK108" s="38" t="str">
        <f t="shared" si="47"/>
        <v/>
      </c>
      <c r="AL108" s="11">
        <v>0</v>
      </c>
      <c r="AM108" s="38" t="str">
        <f t="shared" si="48"/>
        <v/>
      </c>
      <c r="AO108" s="30">
        <v>60434.360744047182</v>
      </c>
      <c r="AP108" s="36">
        <f t="shared" si="32"/>
        <v>0</v>
      </c>
      <c r="AQ108" s="38" t="str">
        <f t="shared" si="49"/>
        <v/>
      </c>
      <c r="AR108" s="11">
        <v>0</v>
      </c>
      <c r="AS108" s="38" t="str">
        <f t="shared" si="50"/>
        <v/>
      </c>
      <c r="AU108" s="30">
        <v>61370.507190424891</v>
      </c>
      <c r="AV108" s="36">
        <f t="shared" si="33"/>
        <v>0</v>
      </c>
      <c r="AW108" s="38" t="str">
        <f t="shared" si="51"/>
        <v/>
      </c>
      <c r="AX108" s="11">
        <v>0</v>
      </c>
      <c r="AY108" s="38" t="str">
        <f t="shared" si="52"/>
        <v/>
      </c>
      <c r="BA108" s="30">
        <v>62264.118206483719</v>
      </c>
      <c r="BB108" s="36">
        <f t="shared" si="34"/>
        <v>0</v>
      </c>
      <c r="BC108" s="38" t="str">
        <f t="shared" si="53"/>
        <v/>
      </c>
    </row>
    <row r="109" spans="1:55" x14ac:dyDescent="0.35">
      <c r="A109" s="44">
        <v>53965</v>
      </c>
      <c r="B109" s="27">
        <f>'Benefit-Cost'!G105</f>
        <v>0</v>
      </c>
      <c r="C109" s="38" t="str">
        <f t="shared" si="35"/>
        <v/>
      </c>
      <c r="E109" s="30">
        <v>50216.249285970494</v>
      </c>
      <c r="F109" s="48">
        <f t="shared" si="27"/>
        <v>0</v>
      </c>
      <c r="G109" s="38" t="str">
        <f t="shared" si="36"/>
        <v/>
      </c>
      <c r="H109" s="27">
        <f>'Benefit-Cost'!M105</f>
        <v>0</v>
      </c>
      <c r="I109" s="38" t="str">
        <f t="shared" si="37"/>
        <v/>
      </c>
      <c r="K109" s="30">
        <v>55695.044257711124</v>
      </c>
      <c r="L109" s="31">
        <f t="shared" si="28"/>
        <v>0</v>
      </c>
      <c r="M109" s="38" t="str">
        <f t="shared" si="38"/>
        <v/>
      </c>
      <c r="N109" s="27">
        <f>'Benefit-Cost'!S105</f>
        <v>0</v>
      </c>
      <c r="O109" s="38" t="str">
        <f t="shared" si="39"/>
        <v/>
      </c>
      <c r="Q109" s="30">
        <v>57069.237644383917</v>
      </c>
      <c r="R109" s="31">
        <f t="shared" si="29"/>
        <v>0</v>
      </c>
      <c r="S109" s="39" t="str">
        <f t="shared" si="40"/>
        <v/>
      </c>
      <c r="T109" s="27">
        <f>'Benefit-Cost'!Y105</f>
        <v>0</v>
      </c>
      <c r="U109" s="38" t="str">
        <f t="shared" si="41"/>
        <v/>
      </c>
      <c r="W109" s="30">
        <v>58266.970124146152</v>
      </c>
      <c r="X109" s="31">
        <f t="shared" si="30"/>
        <v>0</v>
      </c>
      <c r="Y109" s="39" t="str">
        <f t="shared" si="42"/>
        <v/>
      </c>
      <c r="Z109" s="27">
        <f>'Benefit-Cost'!AE105</f>
        <v>0</v>
      </c>
      <c r="AA109" s="38" t="str">
        <f t="shared" si="43"/>
        <v/>
      </c>
      <c r="AC109" s="30">
        <v>59226.126806021697</v>
      </c>
      <c r="AD109" s="36">
        <f t="shared" si="44"/>
        <v>0</v>
      </c>
      <c r="AE109" s="39" t="str">
        <f t="shared" si="45"/>
        <v/>
      </c>
      <c r="AF109" s="11">
        <v>0</v>
      </c>
      <c r="AG109" s="38" t="str">
        <f t="shared" si="46"/>
        <v/>
      </c>
      <c r="AI109" s="30">
        <v>55170.574072460062</v>
      </c>
      <c r="AJ109" s="36">
        <f t="shared" si="31"/>
        <v>0</v>
      </c>
      <c r="AK109" s="38" t="str">
        <f t="shared" si="47"/>
        <v/>
      </c>
      <c r="AL109" s="11">
        <v>0</v>
      </c>
      <c r="AM109" s="38" t="str">
        <f t="shared" si="48"/>
        <v/>
      </c>
      <c r="AO109" s="30">
        <v>56058.913053274213</v>
      </c>
      <c r="AP109" s="36">
        <f t="shared" si="32"/>
        <v>0</v>
      </c>
      <c r="AQ109" s="38" t="str">
        <f t="shared" si="49"/>
        <v/>
      </c>
      <c r="AR109" s="11">
        <v>0</v>
      </c>
      <c r="AS109" s="38" t="str">
        <f t="shared" si="50"/>
        <v/>
      </c>
      <c r="AU109" s="30">
        <v>56852.395420046741</v>
      </c>
      <c r="AV109" s="36">
        <f t="shared" si="33"/>
        <v>0</v>
      </c>
      <c r="AW109" s="38" t="str">
        <f t="shared" si="51"/>
        <v/>
      </c>
      <c r="AX109" s="11">
        <v>0</v>
      </c>
      <c r="AY109" s="38" t="str">
        <f t="shared" si="52"/>
        <v/>
      </c>
      <c r="BA109" s="30">
        <v>57539.030660380537</v>
      </c>
      <c r="BB109" s="36">
        <f t="shared" si="34"/>
        <v>0</v>
      </c>
      <c r="BC109" s="38" t="str">
        <f t="shared" si="53"/>
        <v/>
      </c>
    </row>
    <row r="110" spans="1:55" x14ac:dyDescent="0.35">
      <c r="A110" s="44">
        <v>54057</v>
      </c>
      <c r="B110" s="27">
        <f>'Benefit-Cost'!G106</f>
        <v>0</v>
      </c>
      <c r="C110" s="38" t="str">
        <f t="shared" si="35"/>
        <v/>
      </c>
      <c r="E110" s="30">
        <v>36565.740987034609</v>
      </c>
      <c r="F110" s="48">
        <f t="shared" si="27"/>
        <v>0</v>
      </c>
      <c r="G110" s="38" t="str">
        <f t="shared" si="36"/>
        <v/>
      </c>
      <c r="H110" s="27">
        <f>'Benefit-Cost'!M106</f>
        <v>0</v>
      </c>
      <c r="I110" s="38" t="str">
        <f t="shared" si="37"/>
        <v/>
      </c>
      <c r="K110" s="30">
        <v>38735.432158260126</v>
      </c>
      <c r="L110" s="31">
        <f t="shared" si="28"/>
        <v>0</v>
      </c>
      <c r="M110" s="38" t="str">
        <f t="shared" si="38"/>
        <v/>
      </c>
      <c r="N110" s="27">
        <f>'Benefit-Cost'!S106</f>
        <v>0</v>
      </c>
      <c r="O110" s="38" t="str">
        <f t="shared" si="39"/>
        <v/>
      </c>
      <c r="Q110" s="30">
        <v>38803.851176445176</v>
      </c>
      <c r="R110" s="31">
        <f t="shared" si="29"/>
        <v>0</v>
      </c>
      <c r="S110" s="39" t="str">
        <f t="shared" si="40"/>
        <v/>
      </c>
      <c r="T110" s="27">
        <f>'Benefit-Cost'!Y106</f>
        <v>0</v>
      </c>
      <c r="U110" s="38" t="str">
        <f t="shared" si="41"/>
        <v/>
      </c>
      <c r="W110" s="30">
        <v>38765.908776740762</v>
      </c>
      <c r="X110" s="31">
        <f t="shared" si="30"/>
        <v>0</v>
      </c>
      <c r="Y110" s="39" t="str">
        <f t="shared" si="42"/>
        <v/>
      </c>
      <c r="Z110" s="27">
        <f>'Benefit-Cost'!AE106</f>
        <v>0</v>
      </c>
      <c r="AA110" s="38" t="str">
        <f t="shared" si="43"/>
        <v/>
      </c>
      <c r="AC110" s="30">
        <v>38639.451952329226</v>
      </c>
      <c r="AD110" s="36">
        <f t="shared" si="44"/>
        <v>0</v>
      </c>
      <c r="AE110" s="39" t="str">
        <f t="shared" si="45"/>
        <v/>
      </c>
      <c r="AF110" s="11">
        <v>0</v>
      </c>
      <c r="AG110" s="38" t="str">
        <f t="shared" si="46"/>
        <v/>
      </c>
      <c r="AI110" s="30">
        <v>38656.896347394628</v>
      </c>
      <c r="AJ110" s="36">
        <f t="shared" si="31"/>
        <v>0</v>
      </c>
      <c r="AK110" s="38" t="str">
        <f t="shared" si="47"/>
        <v/>
      </c>
      <c r="AL110" s="11">
        <v>0</v>
      </c>
      <c r="AM110" s="38" t="str">
        <f t="shared" si="48"/>
        <v/>
      </c>
      <c r="AO110" s="30">
        <v>38771.925767902874</v>
      </c>
      <c r="AP110" s="36">
        <f t="shared" si="32"/>
        <v>0</v>
      </c>
      <c r="AQ110" s="38" t="str">
        <f t="shared" si="49"/>
        <v/>
      </c>
      <c r="AR110" s="11">
        <v>0</v>
      </c>
      <c r="AS110" s="38" t="str">
        <f t="shared" si="50"/>
        <v/>
      </c>
      <c r="AU110" s="30">
        <v>38785.222273282809</v>
      </c>
      <c r="AV110" s="36">
        <f t="shared" si="33"/>
        <v>0</v>
      </c>
      <c r="AW110" s="38" t="str">
        <f t="shared" si="51"/>
        <v/>
      </c>
      <c r="AX110" s="11">
        <v>0</v>
      </c>
      <c r="AY110" s="38" t="str">
        <f t="shared" si="52"/>
        <v/>
      </c>
      <c r="BA110" s="30">
        <v>38765.762229955093</v>
      </c>
      <c r="BB110" s="36">
        <f t="shared" si="34"/>
        <v>0</v>
      </c>
      <c r="BC110" s="38" t="str">
        <f t="shared" si="53"/>
        <v/>
      </c>
    </row>
    <row r="111" spans="1:55" x14ac:dyDescent="0.35">
      <c r="A111" s="44">
        <v>54148</v>
      </c>
      <c r="B111" s="27">
        <f>'Benefit-Cost'!G107</f>
        <v>0</v>
      </c>
      <c r="C111" s="38" t="str">
        <f t="shared" si="35"/>
        <v/>
      </c>
      <c r="E111" s="30">
        <v>37945.58830284069</v>
      </c>
      <c r="F111" s="48">
        <f t="shared" si="27"/>
        <v>0</v>
      </c>
      <c r="G111" s="38" t="str">
        <f t="shared" si="36"/>
        <v/>
      </c>
      <c r="H111" s="27">
        <f>'Benefit-Cost'!M107</f>
        <v>0</v>
      </c>
      <c r="I111" s="38" t="str">
        <f t="shared" si="37"/>
        <v/>
      </c>
      <c r="K111" s="30">
        <v>41639.359985619085</v>
      </c>
      <c r="L111" s="31">
        <f t="shared" si="28"/>
        <v>0</v>
      </c>
      <c r="M111" s="38" t="str">
        <f t="shared" si="38"/>
        <v/>
      </c>
      <c r="N111" s="27">
        <f>'Benefit-Cost'!S107</f>
        <v>0</v>
      </c>
      <c r="O111" s="38" t="str">
        <f t="shared" si="39"/>
        <v/>
      </c>
      <c r="Q111" s="30">
        <v>42290.751769658113</v>
      </c>
      <c r="R111" s="31">
        <f t="shared" si="29"/>
        <v>0</v>
      </c>
      <c r="S111" s="39" t="str">
        <f t="shared" si="40"/>
        <v/>
      </c>
      <c r="T111" s="27">
        <f>'Benefit-Cost'!Y107</f>
        <v>0</v>
      </c>
      <c r="U111" s="38" t="str">
        <f t="shared" si="41"/>
        <v/>
      </c>
      <c r="W111" s="30">
        <v>42716.058755847043</v>
      </c>
      <c r="X111" s="31">
        <f t="shared" si="30"/>
        <v>0</v>
      </c>
      <c r="Y111" s="39" t="str">
        <f t="shared" si="42"/>
        <v/>
      </c>
      <c r="Z111" s="27">
        <f>'Benefit-Cost'!AE107</f>
        <v>0</v>
      </c>
      <c r="AA111" s="38" t="str">
        <f t="shared" si="43"/>
        <v/>
      </c>
      <c r="AC111" s="30">
        <v>42934.395071321793</v>
      </c>
      <c r="AD111" s="36">
        <f t="shared" si="44"/>
        <v>0</v>
      </c>
      <c r="AE111" s="39" t="str">
        <f t="shared" si="45"/>
        <v/>
      </c>
      <c r="AF111" s="11">
        <v>0</v>
      </c>
      <c r="AG111" s="38" t="str">
        <f t="shared" si="46"/>
        <v/>
      </c>
      <c r="AI111" s="30">
        <v>41345.037083081283</v>
      </c>
      <c r="AJ111" s="36">
        <f t="shared" si="31"/>
        <v>0</v>
      </c>
      <c r="AK111" s="38" t="str">
        <f t="shared" si="47"/>
        <v/>
      </c>
      <c r="AL111" s="11">
        <v>0</v>
      </c>
      <c r="AM111" s="38" t="str">
        <f t="shared" si="48"/>
        <v/>
      </c>
      <c r="AO111" s="30">
        <v>41773.61311014479</v>
      </c>
      <c r="AP111" s="36">
        <f t="shared" si="32"/>
        <v>0</v>
      </c>
      <c r="AQ111" s="38" t="str">
        <f t="shared" si="49"/>
        <v/>
      </c>
      <c r="AR111" s="11">
        <v>0</v>
      </c>
      <c r="AS111" s="38" t="str">
        <f t="shared" si="50"/>
        <v/>
      </c>
      <c r="AU111" s="30">
        <v>42119.532082782884</v>
      </c>
      <c r="AV111" s="36">
        <f t="shared" si="33"/>
        <v>0</v>
      </c>
      <c r="AW111" s="38" t="str">
        <f t="shared" si="51"/>
        <v/>
      </c>
      <c r="AX111" s="11">
        <v>0</v>
      </c>
      <c r="AY111" s="38" t="str">
        <f t="shared" si="52"/>
        <v/>
      </c>
      <c r="BA111" s="30">
        <v>42402.293150362486</v>
      </c>
      <c r="BB111" s="36">
        <f t="shared" si="34"/>
        <v>0</v>
      </c>
      <c r="BC111" s="38" t="str">
        <f t="shared" si="53"/>
        <v/>
      </c>
    </row>
    <row r="112" spans="1:55" x14ac:dyDescent="0.35">
      <c r="A112" s="44">
        <v>54239</v>
      </c>
      <c r="B112" s="27">
        <f>'Benefit-Cost'!G108</f>
        <v>0</v>
      </c>
      <c r="C112" s="38" t="str">
        <f t="shared" si="35"/>
        <v/>
      </c>
      <c r="E112" s="30">
        <v>53117.875031131764</v>
      </c>
      <c r="F112" s="48">
        <f t="shared" si="27"/>
        <v>0</v>
      </c>
      <c r="G112" s="38" t="str">
        <f t="shared" si="36"/>
        <v/>
      </c>
      <c r="H112" s="27">
        <f>'Benefit-Cost'!M108</f>
        <v>0</v>
      </c>
      <c r="I112" s="38" t="str">
        <f t="shared" si="37"/>
        <v/>
      </c>
      <c r="K112" s="30">
        <v>59996.156711087926</v>
      </c>
      <c r="L112" s="31">
        <f t="shared" si="28"/>
        <v>0</v>
      </c>
      <c r="M112" s="38" t="str">
        <f t="shared" si="38"/>
        <v/>
      </c>
      <c r="N112" s="27">
        <f>'Benefit-Cost'!S108</f>
        <v>0</v>
      </c>
      <c r="O112" s="38" t="str">
        <f t="shared" si="39"/>
        <v/>
      </c>
      <c r="Q112" s="30">
        <v>61637.688778811367</v>
      </c>
      <c r="R112" s="31">
        <f t="shared" si="29"/>
        <v>0</v>
      </c>
      <c r="S112" s="39" t="str">
        <f t="shared" si="40"/>
        <v/>
      </c>
      <c r="T112" s="27">
        <f>'Benefit-Cost'!Y108</f>
        <v>0</v>
      </c>
      <c r="U112" s="38" t="str">
        <f t="shared" si="41"/>
        <v/>
      </c>
      <c r="W112" s="30">
        <v>63166.296955107493</v>
      </c>
      <c r="X112" s="31">
        <f t="shared" si="30"/>
        <v>0</v>
      </c>
      <c r="Y112" s="39" t="str">
        <f t="shared" si="42"/>
        <v/>
      </c>
      <c r="Z112" s="27">
        <f>'Benefit-Cost'!AE108</f>
        <v>0</v>
      </c>
      <c r="AA112" s="38" t="str">
        <f t="shared" si="43"/>
        <v/>
      </c>
      <c r="AC112" s="30">
        <v>64591.176427300714</v>
      </c>
      <c r="AD112" s="36">
        <f t="shared" si="44"/>
        <v>0</v>
      </c>
      <c r="AE112" s="39" t="str">
        <f t="shared" si="45"/>
        <v/>
      </c>
      <c r="AF112" s="11">
        <v>0</v>
      </c>
      <c r="AG112" s="38" t="str">
        <f t="shared" si="46"/>
        <v/>
      </c>
      <c r="AI112" s="30">
        <v>59308.456210276956</v>
      </c>
      <c r="AJ112" s="36">
        <f t="shared" si="31"/>
        <v>0</v>
      </c>
      <c r="AK112" s="38" t="str">
        <f t="shared" si="47"/>
        <v/>
      </c>
      <c r="AL112" s="11">
        <v>0</v>
      </c>
      <c r="AM112" s="38" t="str">
        <f t="shared" si="48"/>
        <v/>
      </c>
      <c r="AO112" s="30">
        <v>60297.665848741352</v>
      </c>
      <c r="AP112" s="36">
        <f t="shared" si="32"/>
        <v>0</v>
      </c>
      <c r="AQ112" s="38" t="str">
        <f t="shared" si="49"/>
        <v/>
      </c>
      <c r="AR112" s="11">
        <v>0</v>
      </c>
      <c r="AS112" s="38" t="str">
        <f t="shared" si="50"/>
        <v/>
      </c>
      <c r="AU112" s="30">
        <v>61211.141080235248</v>
      </c>
      <c r="AV112" s="36">
        <f t="shared" si="33"/>
        <v>0</v>
      </c>
      <c r="AW112" s="38" t="str">
        <f t="shared" si="51"/>
        <v/>
      </c>
      <c r="AX112" s="11">
        <v>0</v>
      </c>
      <c r="AY112" s="38" t="str">
        <f t="shared" si="52"/>
        <v/>
      </c>
      <c r="BA112" s="30">
        <v>62083.807515379653</v>
      </c>
      <c r="BB112" s="36">
        <f t="shared" si="34"/>
        <v>0</v>
      </c>
      <c r="BC112" s="38" t="str">
        <f t="shared" si="53"/>
        <v/>
      </c>
    </row>
    <row r="113" spans="1:55" x14ac:dyDescent="0.35">
      <c r="A113" s="44">
        <v>54331</v>
      </c>
      <c r="B113" s="27">
        <f>'Benefit-Cost'!G109</f>
        <v>0</v>
      </c>
      <c r="C113" s="38" t="str">
        <f t="shared" si="35"/>
        <v/>
      </c>
      <c r="E113" s="30">
        <v>49965.168039540978</v>
      </c>
      <c r="F113" s="48">
        <f t="shared" si="27"/>
        <v>0</v>
      </c>
      <c r="G113" s="38" t="str">
        <f t="shared" si="36"/>
        <v/>
      </c>
      <c r="H113" s="27">
        <f>'Benefit-Cost'!M109</f>
        <v>0</v>
      </c>
      <c r="I113" s="38" t="str">
        <f t="shared" si="37"/>
        <v/>
      </c>
      <c r="K113" s="30">
        <v>55492.702755264836</v>
      </c>
      <c r="L113" s="31">
        <f t="shared" si="28"/>
        <v>0</v>
      </c>
      <c r="M113" s="38" t="str">
        <f t="shared" si="38"/>
        <v/>
      </c>
      <c r="N113" s="27">
        <f>'Benefit-Cost'!S109</f>
        <v>0</v>
      </c>
      <c r="O113" s="38" t="str">
        <f t="shared" si="39"/>
        <v/>
      </c>
      <c r="Q113" s="30">
        <v>56786.584586296049</v>
      </c>
      <c r="R113" s="31">
        <f t="shared" si="29"/>
        <v>0</v>
      </c>
      <c r="S113" s="39" t="str">
        <f t="shared" si="40"/>
        <v/>
      </c>
      <c r="T113" s="27">
        <f>'Benefit-Cost'!Y109</f>
        <v>0</v>
      </c>
      <c r="U113" s="38" t="str">
        <f t="shared" si="41"/>
        <v/>
      </c>
      <c r="W113" s="30">
        <v>57910.395388829027</v>
      </c>
      <c r="X113" s="31">
        <f t="shared" si="30"/>
        <v>0</v>
      </c>
      <c r="Y113" s="39" t="str">
        <f t="shared" si="42"/>
        <v/>
      </c>
      <c r="Z113" s="27">
        <f>'Benefit-Cost'!AE109</f>
        <v>0</v>
      </c>
      <c r="AA113" s="38" t="str">
        <f t="shared" si="43"/>
        <v/>
      </c>
      <c r="AC113" s="30">
        <v>58789.83552139088</v>
      </c>
      <c r="AD113" s="36">
        <f t="shared" si="44"/>
        <v>0</v>
      </c>
      <c r="AE113" s="39" t="str">
        <f t="shared" si="45"/>
        <v/>
      </c>
      <c r="AF113" s="11">
        <v>0</v>
      </c>
      <c r="AG113" s="38" t="str">
        <f t="shared" si="46"/>
        <v/>
      </c>
      <c r="AI113" s="30">
        <v>54997.578353536759</v>
      </c>
      <c r="AJ113" s="36">
        <f t="shared" si="31"/>
        <v>0</v>
      </c>
      <c r="AK113" s="38" t="str">
        <f t="shared" si="47"/>
        <v/>
      </c>
      <c r="AL113" s="11">
        <v>0</v>
      </c>
      <c r="AM113" s="38" t="str">
        <f t="shared" si="48"/>
        <v/>
      </c>
      <c r="AO113" s="30">
        <v>55834.552752794545</v>
      </c>
      <c r="AP113" s="36">
        <f t="shared" si="32"/>
        <v>0</v>
      </c>
      <c r="AQ113" s="38" t="str">
        <f t="shared" si="49"/>
        <v/>
      </c>
      <c r="AR113" s="11">
        <v>0</v>
      </c>
      <c r="AS113" s="38" t="str">
        <f t="shared" si="50"/>
        <v/>
      </c>
      <c r="AU113" s="30">
        <v>56582.352598136029</v>
      </c>
      <c r="AV113" s="36">
        <f t="shared" si="33"/>
        <v>0</v>
      </c>
      <c r="AW113" s="38" t="str">
        <f t="shared" si="51"/>
        <v/>
      </c>
      <c r="AX113" s="11">
        <v>0</v>
      </c>
      <c r="AY113" s="38" t="str">
        <f t="shared" si="52"/>
        <v/>
      </c>
      <c r="BA113" s="30">
        <v>57222.5133275396</v>
      </c>
      <c r="BB113" s="36">
        <f t="shared" si="34"/>
        <v>0</v>
      </c>
      <c r="BC113" s="38" t="str">
        <f t="shared" si="53"/>
        <v/>
      </c>
    </row>
    <row r="114" spans="1:55" x14ac:dyDescent="0.35">
      <c r="A114" s="44">
        <v>54423</v>
      </c>
      <c r="B114" s="27">
        <f>'Benefit-Cost'!G110</f>
        <v>0</v>
      </c>
      <c r="C114" s="38" t="str">
        <f t="shared" si="35"/>
        <v/>
      </c>
      <c r="E114" s="30">
        <v>36382.912282099634</v>
      </c>
      <c r="F114" s="48">
        <f t="shared" si="27"/>
        <v>0</v>
      </c>
      <c r="G114" s="38" t="str">
        <f t="shared" si="36"/>
        <v/>
      </c>
      <c r="H114" s="27">
        <f>'Benefit-Cost'!M110</f>
        <v>0</v>
      </c>
      <c r="I114" s="38" t="str">
        <f t="shared" si="37"/>
        <v/>
      </c>
      <c r="K114" s="30">
        <v>38571.723421366769</v>
      </c>
      <c r="L114" s="31">
        <f t="shared" si="28"/>
        <v>0</v>
      </c>
      <c r="M114" s="38" t="str">
        <f t="shared" si="38"/>
        <v/>
      </c>
      <c r="N114" s="27">
        <f>'Benefit-Cost'!S110</f>
        <v>0</v>
      </c>
      <c r="O114" s="38" t="str">
        <f t="shared" si="39"/>
        <v/>
      </c>
      <c r="Q114" s="30">
        <v>38624.477784795032</v>
      </c>
      <c r="R114" s="31">
        <f t="shared" si="29"/>
        <v>0</v>
      </c>
      <c r="S114" s="39" t="str">
        <f t="shared" si="40"/>
        <v/>
      </c>
      <c r="T114" s="27">
        <f>'Benefit-Cost'!Y110</f>
        <v>0</v>
      </c>
      <c r="U114" s="38" t="str">
        <f t="shared" si="41"/>
        <v/>
      </c>
      <c r="W114" s="30">
        <v>38581.584931456193</v>
      </c>
      <c r="X114" s="31">
        <f t="shared" si="30"/>
        <v>0</v>
      </c>
      <c r="Y114" s="39" t="str">
        <f t="shared" si="42"/>
        <v/>
      </c>
      <c r="Z114" s="27">
        <f>'Benefit-Cost'!AE110</f>
        <v>0</v>
      </c>
      <c r="AA114" s="38" t="str">
        <f t="shared" si="43"/>
        <v/>
      </c>
      <c r="AC114" s="30">
        <v>38455.218715407391</v>
      </c>
      <c r="AD114" s="36">
        <f t="shared" si="44"/>
        <v>0</v>
      </c>
      <c r="AE114" s="39" t="str">
        <f t="shared" si="45"/>
        <v/>
      </c>
      <c r="AF114" s="11">
        <v>0</v>
      </c>
      <c r="AG114" s="38" t="str">
        <f t="shared" si="46"/>
        <v/>
      </c>
      <c r="AI114" s="30">
        <v>38500.364418801255</v>
      </c>
      <c r="AJ114" s="36">
        <f t="shared" si="31"/>
        <v>0</v>
      </c>
      <c r="AK114" s="38" t="str">
        <f t="shared" si="47"/>
        <v/>
      </c>
      <c r="AL114" s="11">
        <v>0</v>
      </c>
      <c r="AM114" s="38" t="str">
        <f t="shared" si="48"/>
        <v/>
      </c>
      <c r="AO114" s="30">
        <v>38602.860905592061</v>
      </c>
      <c r="AP114" s="36">
        <f t="shared" si="32"/>
        <v>0</v>
      </c>
      <c r="AQ114" s="38" t="str">
        <f t="shared" si="49"/>
        <v/>
      </c>
      <c r="AR114" s="11">
        <v>0</v>
      </c>
      <c r="AS114" s="38" t="str">
        <f t="shared" si="50"/>
        <v/>
      </c>
      <c r="AU114" s="30">
        <v>38612.511015283169</v>
      </c>
      <c r="AV114" s="36">
        <f t="shared" si="33"/>
        <v>0</v>
      </c>
      <c r="AW114" s="38" t="str">
        <f t="shared" si="51"/>
        <v/>
      </c>
      <c r="AX114" s="11">
        <v>0</v>
      </c>
      <c r="AY114" s="38" t="str">
        <f t="shared" si="52"/>
        <v/>
      </c>
      <c r="BA114" s="30">
        <v>38593.289378790018</v>
      </c>
      <c r="BB114" s="36">
        <f t="shared" si="34"/>
        <v>0</v>
      </c>
      <c r="BC114" s="38" t="str">
        <f t="shared" si="53"/>
        <v/>
      </c>
    </row>
    <row r="115" spans="1:55" x14ac:dyDescent="0.35">
      <c r="A115" s="44">
        <v>54513</v>
      </c>
      <c r="B115" s="27">
        <f>'Benefit-Cost'!G111</f>
        <v>0</v>
      </c>
      <c r="C115" s="38" t="str">
        <f t="shared" si="35"/>
        <v/>
      </c>
      <c r="E115" s="30">
        <v>37280.17689824682</v>
      </c>
      <c r="F115" s="48">
        <f t="shared" si="27"/>
        <v>0</v>
      </c>
      <c r="G115" s="38" t="str">
        <f t="shared" si="36"/>
        <v/>
      </c>
      <c r="H115" s="27">
        <f>'Benefit-Cost'!M111</f>
        <v>0</v>
      </c>
      <c r="I115" s="38" t="str">
        <f t="shared" si="37"/>
        <v/>
      </c>
      <c r="K115" s="30">
        <v>40993.727584378088</v>
      </c>
      <c r="L115" s="31">
        <f t="shared" si="28"/>
        <v>0</v>
      </c>
      <c r="M115" s="38" t="str">
        <f t="shared" si="38"/>
        <v/>
      </c>
      <c r="N115" s="27">
        <f>'Benefit-Cost'!S111</f>
        <v>0</v>
      </c>
      <c r="O115" s="38" t="str">
        <f t="shared" si="39"/>
        <v/>
      </c>
      <c r="Q115" s="30">
        <v>41622.359067291211</v>
      </c>
      <c r="R115" s="31">
        <f t="shared" si="29"/>
        <v>0</v>
      </c>
      <c r="S115" s="39" t="str">
        <f t="shared" si="40"/>
        <v/>
      </c>
      <c r="T115" s="27">
        <f>'Benefit-Cost'!Y111</f>
        <v>0</v>
      </c>
      <c r="U115" s="38" t="str">
        <f t="shared" si="41"/>
        <v/>
      </c>
      <c r="W115" s="30">
        <v>42021.79817877616</v>
      </c>
      <c r="X115" s="31">
        <f t="shared" si="30"/>
        <v>0</v>
      </c>
      <c r="Y115" s="39" t="str">
        <f t="shared" si="42"/>
        <v/>
      </c>
      <c r="Z115" s="27">
        <f>'Benefit-Cost'!AE111</f>
        <v>0</v>
      </c>
      <c r="AA115" s="38" t="str">
        <f t="shared" si="43"/>
        <v/>
      </c>
      <c r="AC115" s="30">
        <v>42233.280856916637</v>
      </c>
      <c r="AD115" s="36">
        <f t="shared" si="44"/>
        <v>0</v>
      </c>
      <c r="AE115" s="39" t="str">
        <f t="shared" si="45"/>
        <v/>
      </c>
      <c r="AF115" s="11">
        <v>0</v>
      </c>
      <c r="AG115" s="38" t="str">
        <f t="shared" si="46"/>
        <v/>
      </c>
      <c r="AI115" s="30">
        <v>40705.606741831478</v>
      </c>
      <c r="AJ115" s="36">
        <f t="shared" si="31"/>
        <v>0</v>
      </c>
      <c r="AK115" s="38" t="str">
        <f t="shared" si="47"/>
        <v/>
      </c>
      <c r="AL115" s="11">
        <v>0</v>
      </c>
      <c r="AM115" s="38" t="str">
        <f t="shared" si="48"/>
        <v/>
      </c>
      <c r="AO115" s="30">
        <v>41117.506860397778</v>
      </c>
      <c r="AP115" s="36">
        <f t="shared" si="32"/>
        <v>0</v>
      </c>
      <c r="AQ115" s="38" t="str">
        <f t="shared" si="49"/>
        <v/>
      </c>
      <c r="AR115" s="11">
        <v>0</v>
      </c>
      <c r="AS115" s="38" t="str">
        <f t="shared" si="50"/>
        <v/>
      </c>
      <c r="AU115" s="30">
        <v>41451.798607494115</v>
      </c>
      <c r="AV115" s="36">
        <f t="shared" si="33"/>
        <v>0</v>
      </c>
      <c r="AW115" s="38" t="str">
        <f t="shared" si="51"/>
        <v/>
      </c>
      <c r="AX115" s="11">
        <v>0</v>
      </c>
      <c r="AY115" s="38" t="str">
        <f t="shared" si="52"/>
        <v/>
      </c>
      <c r="BA115" s="30">
        <v>41724.382070746593</v>
      </c>
      <c r="BB115" s="36">
        <f t="shared" si="34"/>
        <v>0</v>
      </c>
      <c r="BC115" s="38" t="str">
        <f t="shared" si="53"/>
        <v/>
      </c>
    </row>
    <row r="116" spans="1:55" x14ac:dyDescent="0.35">
      <c r="A116" s="44">
        <v>54604</v>
      </c>
      <c r="B116" s="27">
        <f>'Benefit-Cost'!G112</f>
        <v>0</v>
      </c>
      <c r="C116" s="38" t="str">
        <f t="shared" si="35"/>
        <v/>
      </c>
      <c r="E116" s="30">
        <v>52852.285655975938</v>
      </c>
      <c r="F116" s="48">
        <f t="shared" si="27"/>
        <v>0</v>
      </c>
      <c r="G116" s="38" t="str">
        <f t="shared" si="36"/>
        <v/>
      </c>
      <c r="H116" s="27">
        <f>'Benefit-Cost'!M112</f>
        <v>0</v>
      </c>
      <c r="I116" s="38" t="str">
        <f t="shared" si="37"/>
        <v/>
      </c>
      <c r="K116" s="30">
        <v>59874.150177863979</v>
      </c>
      <c r="L116" s="31">
        <f t="shared" si="28"/>
        <v>0</v>
      </c>
      <c r="M116" s="38" t="str">
        <f t="shared" si="38"/>
        <v/>
      </c>
      <c r="N116" s="27">
        <f>'Benefit-Cost'!S112</f>
        <v>0</v>
      </c>
      <c r="O116" s="38" t="str">
        <f t="shared" si="39"/>
        <v/>
      </c>
      <c r="Q116" s="30">
        <v>61491.431452066819</v>
      </c>
      <c r="R116" s="31">
        <f t="shared" si="29"/>
        <v>0</v>
      </c>
      <c r="S116" s="39" t="str">
        <f t="shared" si="40"/>
        <v/>
      </c>
      <c r="T116" s="27">
        <f>'Benefit-Cost'!Y112</f>
        <v>0</v>
      </c>
      <c r="U116" s="38" t="str">
        <f t="shared" si="41"/>
        <v/>
      </c>
      <c r="W116" s="30">
        <v>62988.919787260718</v>
      </c>
      <c r="X116" s="31">
        <f t="shared" si="30"/>
        <v>0</v>
      </c>
      <c r="Y116" s="39" t="str">
        <f t="shared" si="42"/>
        <v/>
      </c>
      <c r="Z116" s="27">
        <f>'Benefit-Cost'!AE112</f>
        <v>0</v>
      </c>
      <c r="AA116" s="38" t="str">
        <f t="shared" si="43"/>
        <v/>
      </c>
      <c r="AC116" s="30">
        <v>64391.519256383392</v>
      </c>
      <c r="AD116" s="36">
        <f t="shared" si="44"/>
        <v>0</v>
      </c>
      <c r="AE116" s="39" t="str">
        <f t="shared" si="45"/>
        <v/>
      </c>
      <c r="AF116" s="11">
        <v>0</v>
      </c>
      <c r="AG116" s="38" t="str">
        <f t="shared" si="46"/>
        <v/>
      </c>
      <c r="AI116" s="30">
        <v>59196.522684022231</v>
      </c>
      <c r="AJ116" s="36">
        <f t="shared" si="31"/>
        <v>0</v>
      </c>
      <c r="AK116" s="38" t="str">
        <f t="shared" si="47"/>
        <v/>
      </c>
      <c r="AL116" s="11">
        <v>0</v>
      </c>
      <c r="AM116" s="38" t="str">
        <f t="shared" si="48"/>
        <v/>
      </c>
      <c r="AO116" s="30">
        <v>60168.029334098406</v>
      </c>
      <c r="AP116" s="36">
        <f t="shared" si="32"/>
        <v>0</v>
      </c>
      <c r="AQ116" s="38" t="str">
        <f t="shared" si="49"/>
        <v/>
      </c>
      <c r="AR116" s="11">
        <v>0</v>
      </c>
      <c r="AS116" s="38" t="str">
        <f t="shared" si="50"/>
        <v/>
      </c>
      <c r="AU116" s="30">
        <v>61058.739083802633</v>
      </c>
      <c r="AV116" s="36">
        <f t="shared" si="33"/>
        <v>0</v>
      </c>
      <c r="AW116" s="38" t="str">
        <f t="shared" si="51"/>
        <v/>
      </c>
      <c r="AX116" s="11">
        <v>0</v>
      </c>
      <c r="AY116" s="38" t="str">
        <f t="shared" si="52"/>
        <v/>
      </c>
      <c r="BA116" s="30">
        <v>61911.011916681091</v>
      </c>
      <c r="BB116" s="36">
        <f t="shared" si="34"/>
        <v>0</v>
      </c>
      <c r="BC116" s="38" t="str">
        <f t="shared" si="53"/>
        <v/>
      </c>
    </row>
    <row r="117" spans="1:55" x14ac:dyDescent="0.35">
      <c r="A117" s="44">
        <v>54696</v>
      </c>
      <c r="B117" s="27">
        <f>'Benefit-Cost'!G113</f>
        <v>0</v>
      </c>
      <c r="C117" s="38" t="str">
        <f t="shared" si="35"/>
        <v/>
      </c>
      <c r="E117" s="30">
        <v>49715.34219934314</v>
      </c>
      <c r="F117" s="48">
        <f t="shared" si="27"/>
        <v>0</v>
      </c>
      <c r="G117" s="38" t="str">
        <f t="shared" si="36"/>
        <v/>
      </c>
      <c r="H117" s="27">
        <f>'Benefit-Cost'!M113</f>
        <v>0</v>
      </c>
      <c r="I117" s="38" t="str">
        <f t="shared" si="37"/>
        <v/>
      </c>
      <c r="K117" s="30">
        <v>55341.400602804104</v>
      </c>
      <c r="L117" s="31">
        <f t="shared" si="28"/>
        <v>0</v>
      </c>
      <c r="M117" s="38" t="str">
        <f t="shared" si="38"/>
        <v/>
      </c>
      <c r="N117" s="27">
        <f>'Benefit-Cost'!S113</f>
        <v>0</v>
      </c>
      <c r="O117" s="38" t="str">
        <f t="shared" si="39"/>
        <v/>
      </c>
      <c r="Q117" s="30">
        <v>56607.142029357208</v>
      </c>
      <c r="R117" s="31">
        <f t="shared" si="29"/>
        <v>0</v>
      </c>
      <c r="S117" s="39" t="str">
        <f t="shared" si="40"/>
        <v/>
      </c>
      <c r="T117" s="27">
        <f>'Benefit-Cost'!Y113</f>
        <v>0</v>
      </c>
      <c r="U117" s="38" t="str">
        <f t="shared" si="41"/>
        <v/>
      </c>
      <c r="W117" s="30">
        <v>57706.39175313944</v>
      </c>
      <c r="X117" s="31">
        <f t="shared" si="30"/>
        <v>0</v>
      </c>
      <c r="Y117" s="39" t="str">
        <f t="shared" si="42"/>
        <v/>
      </c>
      <c r="Z117" s="27">
        <f>'Benefit-Cost'!AE113</f>
        <v>0</v>
      </c>
      <c r="AA117" s="38" t="str">
        <f t="shared" si="43"/>
        <v/>
      </c>
      <c r="AC117" s="30">
        <v>58551.924413666515</v>
      </c>
      <c r="AD117" s="36">
        <f t="shared" si="44"/>
        <v>0</v>
      </c>
      <c r="AE117" s="39" t="str">
        <f t="shared" si="45"/>
        <v/>
      </c>
      <c r="AF117" s="11">
        <v>0</v>
      </c>
      <c r="AG117" s="38" t="str">
        <f t="shared" si="46"/>
        <v/>
      </c>
      <c r="AI117" s="30">
        <v>54854.532286683796</v>
      </c>
      <c r="AJ117" s="36">
        <f t="shared" si="31"/>
        <v>0</v>
      </c>
      <c r="AK117" s="38" t="str">
        <f t="shared" si="47"/>
        <v/>
      </c>
      <c r="AL117" s="11">
        <v>0</v>
      </c>
      <c r="AM117" s="38" t="str">
        <f t="shared" si="48"/>
        <v/>
      </c>
      <c r="AO117" s="30">
        <v>55669.721423050556</v>
      </c>
      <c r="AP117" s="36">
        <f t="shared" si="32"/>
        <v>0</v>
      </c>
      <c r="AQ117" s="38" t="str">
        <f t="shared" si="49"/>
        <v/>
      </c>
      <c r="AR117" s="11">
        <v>0</v>
      </c>
      <c r="AS117" s="38" t="str">
        <f t="shared" si="50"/>
        <v/>
      </c>
      <c r="AU117" s="30">
        <v>56398.229040149025</v>
      </c>
      <c r="AV117" s="36">
        <f t="shared" si="33"/>
        <v>0</v>
      </c>
      <c r="AW117" s="38" t="str">
        <f t="shared" si="51"/>
        <v/>
      </c>
      <c r="AX117" s="11">
        <v>0</v>
      </c>
      <c r="AY117" s="38" t="str">
        <f t="shared" si="52"/>
        <v/>
      </c>
      <c r="BA117" s="30">
        <v>57017.090139329521</v>
      </c>
      <c r="BB117" s="36">
        <f t="shared" si="34"/>
        <v>0</v>
      </c>
      <c r="BC117" s="38" t="str">
        <f t="shared" si="53"/>
        <v/>
      </c>
    </row>
    <row r="118" spans="1:55" x14ac:dyDescent="0.35">
      <c r="A118" s="44">
        <v>54788</v>
      </c>
      <c r="B118" s="27">
        <f>'Benefit-Cost'!G114</f>
        <v>0</v>
      </c>
      <c r="C118" s="38" t="str">
        <f t="shared" si="35"/>
        <v/>
      </c>
      <c r="E118" s="30">
        <v>36200.997720689069</v>
      </c>
      <c r="F118" s="48">
        <f t="shared" si="27"/>
        <v>0</v>
      </c>
      <c r="G118" s="38" t="str">
        <f t="shared" si="36"/>
        <v/>
      </c>
      <c r="H118" s="27">
        <f>'Benefit-Cost'!M114</f>
        <v>0</v>
      </c>
      <c r="I118" s="38" t="str">
        <f t="shared" si="37"/>
        <v/>
      </c>
      <c r="K118" s="30">
        <v>38396.839163911834</v>
      </c>
      <c r="L118" s="31">
        <f t="shared" si="28"/>
        <v>0</v>
      </c>
      <c r="M118" s="38" t="str">
        <f t="shared" si="38"/>
        <v/>
      </c>
      <c r="N118" s="27">
        <f>'Benefit-Cost'!S114</f>
        <v>0</v>
      </c>
      <c r="O118" s="38" t="str">
        <f t="shared" si="39"/>
        <v/>
      </c>
      <c r="Q118" s="30">
        <v>38427.387403360051</v>
      </c>
      <c r="R118" s="31">
        <f t="shared" si="29"/>
        <v>0</v>
      </c>
      <c r="S118" s="39" t="str">
        <f t="shared" si="40"/>
        <v/>
      </c>
      <c r="T118" s="27">
        <f>'Benefit-Cost'!Y114</f>
        <v>0</v>
      </c>
      <c r="U118" s="38" t="str">
        <f t="shared" si="41"/>
        <v/>
      </c>
      <c r="W118" s="30">
        <v>38369.418587203676</v>
      </c>
      <c r="X118" s="31">
        <f t="shared" si="30"/>
        <v>0</v>
      </c>
      <c r="Y118" s="39" t="str">
        <f t="shared" si="42"/>
        <v/>
      </c>
      <c r="Z118" s="27">
        <f>'Benefit-Cost'!AE114</f>
        <v>0</v>
      </c>
      <c r="AA118" s="38" t="str">
        <f t="shared" si="43"/>
        <v/>
      </c>
      <c r="AC118" s="30">
        <v>38232.203901245746</v>
      </c>
      <c r="AD118" s="36">
        <f t="shared" si="44"/>
        <v>0</v>
      </c>
      <c r="AE118" s="39" t="str">
        <f t="shared" si="45"/>
        <v/>
      </c>
      <c r="AF118" s="11">
        <v>0</v>
      </c>
      <c r="AG118" s="38" t="str">
        <f t="shared" si="46"/>
        <v/>
      </c>
      <c r="AI118" s="30">
        <v>38336.742166434036</v>
      </c>
      <c r="AJ118" s="36">
        <f t="shared" si="31"/>
        <v>0</v>
      </c>
      <c r="AK118" s="38" t="str">
        <f t="shared" si="47"/>
        <v/>
      </c>
      <c r="AL118" s="11">
        <v>0</v>
      </c>
      <c r="AM118" s="38" t="str">
        <f t="shared" si="48"/>
        <v/>
      </c>
      <c r="AO118" s="30">
        <v>38418.249682880443</v>
      </c>
      <c r="AP118" s="36">
        <f t="shared" si="32"/>
        <v>0</v>
      </c>
      <c r="AQ118" s="38" t="str">
        <f t="shared" si="49"/>
        <v/>
      </c>
      <c r="AR118" s="11">
        <v>0</v>
      </c>
      <c r="AS118" s="38" t="str">
        <f t="shared" si="50"/>
        <v/>
      </c>
      <c r="AU118" s="30">
        <v>38420.414573747134</v>
      </c>
      <c r="AV118" s="36">
        <f t="shared" si="33"/>
        <v>0</v>
      </c>
      <c r="AW118" s="38" t="str">
        <f t="shared" si="51"/>
        <v/>
      </c>
      <c r="AX118" s="11">
        <v>0</v>
      </c>
      <c r="AY118" s="38" t="str">
        <f t="shared" si="52"/>
        <v/>
      </c>
      <c r="BA118" s="30">
        <v>38396.00402986884</v>
      </c>
      <c r="BB118" s="36">
        <f t="shared" si="34"/>
        <v>0</v>
      </c>
      <c r="BC118" s="38" t="str">
        <f t="shared" si="53"/>
        <v/>
      </c>
    </row>
    <row r="119" spans="1:55" x14ac:dyDescent="0.35">
      <c r="A119" s="44">
        <v>54878</v>
      </c>
      <c r="B119" s="27">
        <f>'Benefit-Cost'!G115</f>
        <v>0</v>
      </c>
      <c r="C119" s="38" t="str">
        <f t="shared" si="35"/>
        <v/>
      </c>
      <c r="E119" s="30">
        <v>37093.776013755662</v>
      </c>
      <c r="F119" s="48">
        <f t="shared" si="27"/>
        <v>0</v>
      </c>
      <c r="G119" s="38" t="str">
        <f t="shared" si="36"/>
        <v/>
      </c>
      <c r="H119" s="27">
        <f>'Benefit-Cost'!M115</f>
        <v>0</v>
      </c>
      <c r="I119" s="38" t="str">
        <f t="shared" si="37"/>
        <v/>
      </c>
      <c r="K119" s="30">
        <v>40864.90092320821</v>
      </c>
      <c r="L119" s="31">
        <f t="shared" si="28"/>
        <v>0</v>
      </c>
      <c r="M119" s="38" t="str">
        <f t="shared" si="38"/>
        <v/>
      </c>
      <c r="N119" s="27">
        <f>'Benefit-Cost'!S115</f>
        <v>0</v>
      </c>
      <c r="O119" s="38" t="str">
        <f t="shared" si="39"/>
        <v/>
      </c>
      <c r="Q119" s="30">
        <v>41474.655561601423</v>
      </c>
      <c r="R119" s="31">
        <f t="shared" si="29"/>
        <v>0</v>
      </c>
      <c r="S119" s="39" t="str">
        <f t="shared" si="40"/>
        <v/>
      </c>
      <c r="T119" s="27">
        <f>'Benefit-Cost'!Y115</f>
        <v>0</v>
      </c>
      <c r="U119" s="38" t="str">
        <f t="shared" si="41"/>
        <v/>
      </c>
      <c r="W119" s="30">
        <v>41847.181794747594</v>
      </c>
      <c r="X119" s="31">
        <f t="shared" si="30"/>
        <v>0</v>
      </c>
      <c r="Y119" s="39" t="str">
        <f t="shared" si="42"/>
        <v/>
      </c>
      <c r="Z119" s="27">
        <f>'Benefit-Cost'!AE115</f>
        <v>0</v>
      </c>
      <c r="AA119" s="38" t="str">
        <f t="shared" si="43"/>
        <v/>
      </c>
      <c r="AC119" s="30">
        <v>42048.169535286586</v>
      </c>
      <c r="AD119" s="36">
        <f t="shared" si="44"/>
        <v>0</v>
      </c>
      <c r="AE119" s="39" t="str">
        <f t="shared" si="45"/>
        <v/>
      </c>
      <c r="AF119" s="11">
        <v>0</v>
      </c>
      <c r="AG119" s="38" t="str">
        <f t="shared" si="46"/>
        <v/>
      </c>
      <c r="AI119" s="30">
        <v>40585.885928711767</v>
      </c>
      <c r="AJ119" s="36">
        <f t="shared" si="31"/>
        <v>0</v>
      </c>
      <c r="AK119" s="38" t="str">
        <f t="shared" si="47"/>
        <v/>
      </c>
      <c r="AL119" s="11">
        <v>0</v>
      </c>
      <c r="AM119" s="38" t="str">
        <f t="shared" si="48"/>
        <v/>
      </c>
      <c r="AO119" s="30">
        <v>40984.741929458891</v>
      </c>
      <c r="AP119" s="36">
        <f t="shared" si="32"/>
        <v>0</v>
      </c>
      <c r="AQ119" s="38" t="str">
        <f t="shared" si="49"/>
        <v/>
      </c>
      <c r="AR119" s="11">
        <v>0</v>
      </c>
      <c r="AS119" s="38" t="str">
        <f t="shared" si="50"/>
        <v/>
      </c>
      <c r="AU119" s="30">
        <v>41304.579423755626</v>
      </c>
      <c r="AV119" s="36">
        <f t="shared" si="33"/>
        <v>0</v>
      </c>
      <c r="AW119" s="38" t="str">
        <f t="shared" si="51"/>
        <v/>
      </c>
      <c r="AX119" s="11">
        <v>0</v>
      </c>
      <c r="AY119" s="38" t="str">
        <f t="shared" si="52"/>
        <v/>
      </c>
      <c r="BA119" s="30">
        <v>41568.072616218691</v>
      </c>
      <c r="BB119" s="36">
        <f t="shared" si="34"/>
        <v>0</v>
      </c>
      <c r="BC119" s="38" t="str">
        <f t="shared" si="53"/>
        <v/>
      </c>
    </row>
    <row r="120" spans="1:55" x14ac:dyDescent="0.35">
      <c r="A120" s="44">
        <v>54969</v>
      </c>
      <c r="B120" s="27">
        <f>'Benefit-Cost'!G116</f>
        <v>0</v>
      </c>
      <c r="C120" s="38" t="str">
        <f t="shared" si="35"/>
        <v/>
      </c>
      <c r="E120" s="30">
        <v>52588.024227696165</v>
      </c>
      <c r="F120" s="48">
        <f t="shared" si="27"/>
        <v>0</v>
      </c>
      <c r="G120" s="38" t="str">
        <f t="shared" si="36"/>
        <v/>
      </c>
      <c r="H120" s="27">
        <f>'Benefit-Cost'!M116</f>
        <v>0</v>
      </c>
      <c r="I120" s="38" t="str">
        <f t="shared" si="37"/>
        <v/>
      </c>
      <c r="K120" s="30">
        <v>59760.048053672566</v>
      </c>
      <c r="L120" s="31">
        <f t="shared" si="28"/>
        <v>0</v>
      </c>
      <c r="M120" s="38" t="str">
        <f t="shared" si="38"/>
        <v/>
      </c>
      <c r="N120" s="27">
        <f>'Benefit-Cost'!S116</f>
        <v>0</v>
      </c>
      <c r="O120" s="38" t="str">
        <f t="shared" si="39"/>
        <v/>
      </c>
      <c r="Q120" s="30">
        <v>61351.596713058418</v>
      </c>
      <c r="R120" s="31">
        <f t="shared" si="29"/>
        <v>0</v>
      </c>
      <c r="S120" s="39" t="str">
        <f t="shared" si="40"/>
        <v/>
      </c>
      <c r="T120" s="27">
        <f>'Benefit-Cost'!Y116</f>
        <v>0</v>
      </c>
      <c r="U120" s="38" t="str">
        <f t="shared" si="41"/>
        <v/>
      </c>
      <c r="W120" s="30">
        <v>62836.426758829635</v>
      </c>
      <c r="X120" s="31">
        <f t="shared" si="30"/>
        <v>0</v>
      </c>
      <c r="Y120" s="39" t="str">
        <f t="shared" si="42"/>
        <v/>
      </c>
      <c r="Z120" s="27">
        <f>'Benefit-Cost'!AE116</f>
        <v>0</v>
      </c>
      <c r="AA120" s="38" t="str">
        <f t="shared" si="43"/>
        <v/>
      </c>
      <c r="AC120" s="30">
        <v>64223.637768422326</v>
      </c>
      <c r="AD120" s="36">
        <f t="shared" si="44"/>
        <v>0</v>
      </c>
      <c r="AE120" s="39" t="str">
        <f t="shared" si="45"/>
        <v/>
      </c>
      <c r="AF120" s="11">
        <v>0</v>
      </c>
      <c r="AG120" s="38" t="str">
        <f t="shared" si="46"/>
        <v/>
      </c>
      <c r="AI120" s="30">
        <v>59081.674660556557</v>
      </c>
      <c r="AJ120" s="36">
        <f t="shared" si="31"/>
        <v>0</v>
      </c>
      <c r="AK120" s="38" t="str">
        <f t="shared" si="47"/>
        <v/>
      </c>
      <c r="AL120" s="11">
        <v>0</v>
      </c>
      <c r="AM120" s="38" t="str">
        <f t="shared" si="48"/>
        <v/>
      </c>
      <c r="AO120" s="30">
        <v>60033.336996114216</v>
      </c>
      <c r="AP120" s="36">
        <f t="shared" si="32"/>
        <v>0</v>
      </c>
      <c r="AQ120" s="38" t="str">
        <f t="shared" si="49"/>
        <v/>
      </c>
      <c r="AR120" s="11">
        <v>0</v>
      </c>
      <c r="AS120" s="38" t="str">
        <f t="shared" si="50"/>
        <v/>
      </c>
      <c r="AU120" s="30">
        <v>60908.62977477313</v>
      </c>
      <c r="AV120" s="36">
        <f t="shared" si="33"/>
        <v>0</v>
      </c>
      <c r="AW120" s="38" t="str">
        <f t="shared" si="51"/>
        <v/>
      </c>
      <c r="AX120" s="11">
        <v>0</v>
      </c>
      <c r="AY120" s="38" t="str">
        <f t="shared" si="52"/>
        <v/>
      </c>
      <c r="BA120" s="30">
        <v>61744.715423852715</v>
      </c>
      <c r="BB120" s="36">
        <f t="shared" si="34"/>
        <v>0</v>
      </c>
      <c r="BC120" s="38" t="str">
        <f t="shared" si="53"/>
        <v/>
      </c>
    </row>
    <row r="121" spans="1:55" x14ac:dyDescent="0.35">
      <c r="A121" s="44">
        <v>55061</v>
      </c>
      <c r="B121" s="27">
        <f>'Benefit-Cost'!G117</f>
        <v>0</v>
      </c>
      <c r="C121" s="38" t="str">
        <f t="shared" si="35"/>
        <v/>
      </c>
      <c r="E121" s="30">
        <v>49466.765488346529</v>
      </c>
      <c r="F121" s="48">
        <f t="shared" si="27"/>
        <v>0</v>
      </c>
      <c r="G121" s="38" t="str">
        <f t="shared" si="36"/>
        <v/>
      </c>
      <c r="H121" s="27">
        <f>'Benefit-Cost'!M117</f>
        <v>0</v>
      </c>
      <c r="I121" s="38" t="str">
        <f t="shared" si="37"/>
        <v/>
      </c>
      <c r="K121" s="30">
        <v>55196.013422519696</v>
      </c>
      <c r="L121" s="31">
        <f t="shared" si="28"/>
        <v>0</v>
      </c>
      <c r="M121" s="38" t="str">
        <f t="shared" si="38"/>
        <v/>
      </c>
      <c r="N121" s="27">
        <f>'Benefit-Cost'!S117</f>
        <v>0</v>
      </c>
      <c r="O121" s="38" t="str">
        <f t="shared" si="39"/>
        <v/>
      </c>
      <c r="Q121" s="30">
        <v>56441.187325221996</v>
      </c>
      <c r="R121" s="31">
        <f t="shared" si="29"/>
        <v>0</v>
      </c>
      <c r="S121" s="39" t="str">
        <f t="shared" si="40"/>
        <v/>
      </c>
      <c r="T121" s="27">
        <f>'Benefit-Cost'!Y117</f>
        <v>0</v>
      </c>
      <c r="U121" s="38" t="str">
        <f t="shared" si="41"/>
        <v/>
      </c>
      <c r="W121" s="30">
        <v>57521.720606000599</v>
      </c>
      <c r="X121" s="31">
        <f t="shared" si="30"/>
        <v>0</v>
      </c>
      <c r="Y121" s="39" t="str">
        <f t="shared" si="42"/>
        <v/>
      </c>
      <c r="Z121" s="27">
        <f>'Benefit-Cost'!AE117</f>
        <v>0</v>
      </c>
      <c r="AA121" s="38" t="str">
        <f t="shared" si="43"/>
        <v/>
      </c>
      <c r="AC121" s="30">
        <v>58344.205284435033</v>
      </c>
      <c r="AD121" s="36">
        <f t="shared" si="44"/>
        <v>0</v>
      </c>
      <c r="AE121" s="39" t="str">
        <f t="shared" si="45"/>
        <v/>
      </c>
      <c r="AF121" s="11">
        <v>0</v>
      </c>
      <c r="AG121" s="38" t="str">
        <f t="shared" si="46"/>
        <v/>
      </c>
      <c r="AI121" s="30">
        <v>54713.110680804748</v>
      </c>
      <c r="AJ121" s="36">
        <f t="shared" si="31"/>
        <v>0</v>
      </c>
      <c r="AK121" s="38" t="str">
        <f t="shared" si="47"/>
        <v/>
      </c>
      <c r="AL121" s="11">
        <v>0</v>
      </c>
      <c r="AM121" s="38" t="str">
        <f t="shared" si="48"/>
        <v/>
      </c>
      <c r="AO121" s="30">
        <v>55514.400646718379</v>
      </c>
      <c r="AP121" s="36">
        <f t="shared" si="32"/>
        <v>0</v>
      </c>
      <c r="AQ121" s="38" t="str">
        <f t="shared" si="49"/>
        <v/>
      </c>
      <c r="AR121" s="11">
        <v>0</v>
      </c>
      <c r="AS121" s="38" t="str">
        <f t="shared" si="50"/>
        <v/>
      </c>
      <c r="AU121" s="30">
        <v>56226.213297943774</v>
      </c>
      <c r="AV121" s="36">
        <f t="shared" si="33"/>
        <v>0</v>
      </c>
      <c r="AW121" s="38" t="str">
        <f t="shared" si="51"/>
        <v/>
      </c>
      <c r="AX121" s="11">
        <v>0</v>
      </c>
      <c r="AY121" s="38" t="str">
        <f t="shared" si="52"/>
        <v/>
      </c>
      <c r="BA121" s="30">
        <v>56828.809038797444</v>
      </c>
      <c r="BB121" s="36">
        <f t="shared" si="34"/>
        <v>0</v>
      </c>
      <c r="BC121" s="38" t="str">
        <f t="shared" si="53"/>
        <v/>
      </c>
    </row>
    <row r="122" spans="1:55" x14ac:dyDescent="0.35">
      <c r="A122" s="44">
        <v>55153</v>
      </c>
      <c r="B122" s="27">
        <f>'Benefit-Cost'!G118</f>
        <v>0</v>
      </c>
      <c r="C122" s="38" t="str">
        <f t="shared" si="35"/>
        <v/>
      </c>
      <c r="E122" s="30">
        <v>36019.992732085666</v>
      </c>
      <c r="F122" s="48">
        <f t="shared" si="27"/>
        <v>0</v>
      </c>
      <c r="G122" s="38" t="str">
        <f t="shared" si="36"/>
        <v/>
      </c>
      <c r="H122" s="27">
        <f>'Benefit-Cost'!M118</f>
        <v>0</v>
      </c>
      <c r="I122" s="38" t="str">
        <f t="shared" si="37"/>
        <v/>
      </c>
      <c r="K122" s="30">
        <v>38226.4350381435</v>
      </c>
      <c r="L122" s="31">
        <f t="shared" si="28"/>
        <v>0</v>
      </c>
      <c r="M122" s="38" t="str">
        <f t="shared" si="38"/>
        <v/>
      </c>
      <c r="N122" s="27">
        <f>'Benefit-Cost'!S118</f>
        <v>0</v>
      </c>
      <c r="O122" s="38" t="str">
        <f t="shared" si="39"/>
        <v/>
      </c>
      <c r="Q122" s="30">
        <v>38245.344842449231</v>
      </c>
      <c r="R122" s="31">
        <f t="shared" si="29"/>
        <v>0</v>
      </c>
      <c r="S122" s="39" t="str">
        <f t="shared" si="40"/>
        <v/>
      </c>
      <c r="T122" s="27">
        <f>'Benefit-Cost'!Y118</f>
        <v>0</v>
      </c>
      <c r="U122" s="38" t="str">
        <f t="shared" si="41"/>
        <v/>
      </c>
      <c r="W122" s="30">
        <v>38187.901284145788</v>
      </c>
      <c r="X122" s="31">
        <f t="shared" si="30"/>
        <v>0</v>
      </c>
      <c r="Y122" s="39" t="str">
        <f t="shared" si="42"/>
        <v/>
      </c>
      <c r="Z122" s="27">
        <f>'Benefit-Cost'!AE118</f>
        <v>0</v>
      </c>
      <c r="AA122" s="38" t="str">
        <f t="shared" si="43"/>
        <v/>
      </c>
      <c r="AC122" s="30">
        <v>38055.756394389326</v>
      </c>
      <c r="AD122" s="36">
        <f t="shared" si="44"/>
        <v>0</v>
      </c>
      <c r="AE122" s="39" t="str">
        <f t="shared" si="45"/>
        <v/>
      </c>
      <c r="AF122" s="11">
        <v>0</v>
      </c>
      <c r="AG122" s="38" t="str">
        <f t="shared" si="46"/>
        <v/>
      </c>
      <c r="AI122" s="30">
        <v>38177.427238079734</v>
      </c>
      <c r="AJ122" s="36">
        <f t="shared" si="31"/>
        <v>0</v>
      </c>
      <c r="AK122" s="38" t="str">
        <f t="shared" si="47"/>
        <v/>
      </c>
      <c r="AL122" s="11">
        <v>0</v>
      </c>
      <c r="AM122" s="38" t="str">
        <f t="shared" si="48"/>
        <v/>
      </c>
      <c r="AO122" s="30">
        <v>38245.827312137728</v>
      </c>
      <c r="AP122" s="36">
        <f t="shared" si="32"/>
        <v>0</v>
      </c>
      <c r="AQ122" s="38" t="str">
        <f t="shared" si="49"/>
        <v/>
      </c>
      <c r="AR122" s="11">
        <v>0</v>
      </c>
      <c r="AS122" s="38" t="str">
        <f t="shared" si="50"/>
        <v/>
      </c>
      <c r="AU122" s="30">
        <v>38244.719832702343</v>
      </c>
      <c r="AV122" s="36">
        <f t="shared" si="33"/>
        <v>0</v>
      </c>
      <c r="AW122" s="38" t="str">
        <f t="shared" si="51"/>
        <v/>
      </c>
      <c r="AX122" s="11">
        <v>0</v>
      </c>
      <c r="AY122" s="38" t="str">
        <f t="shared" si="52"/>
        <v/>
      </c>
      <c r="BA122" s="30">
        <v>38221.514522438185</v>
      </c>
      <c r="BB122" s="36">
        <f t="shared" si="34"/>
        <v>0</v>
      </c>
      <c r="BC122" s="38" t="str">
        <f t="shared" si="53"/>
        <v/>
      </c>
    </row>
    <row r="123" spans="1:55" x14ac:dyDescent="0.35">
      <c r="A123" s="44">
        <v>55243</v>
      </c>
      <c r="B123" s="27">
        <f>'Benefit-Cost'!G119</f>
        <v>0</v>
      </c>
      <c r="C123" s="38" t="str">
        <f t="shared" si="35"/>
        <v/>
      </c>
      <c r="E123" s="30">
        <v>36908.307133686809</v>
      </c>
      <c r="F123" s="48">
        <f t="shared" si="27"/>
        <v>0</v>
      </c>
      <c r="G123" s="38" t="str">
        <f t="shared" si="36"/>
        <v/>
      </c>
      <c r="H123" s="27">
        <f>'Benefit-Cost'!M119</f>
        <v>0</v>
      </c>
      <c r="I123" s="38" t="str">
        <f t="shared" si="37"/>
        <v/>
      </c>
      <c r="K123" s="30">
        <v>40737.349826529811</v>
      </c>
      <c r="L123" s="31">
        <f t="shared" si="28"/>
        <v>0</v>
      </c>
      <c r="M123" s="38" t="str">
        <f t="shared" si="38"/>
        <v/>
      </c>
      <c r="N123" s="27">
        <f>'Benefit-Cost'!S119</f>
        <v>0</v>
      </c>
      <c r="O123" s="38" t="str">
        <f t="shared" si="39"/>
        <v/>
      </c>
      <c r="Q123" s="30">
        <v>41325.799511351215</v>
      </c>
      <c r="R123" s="31">
        <f t="shared" si="29"/>
        <v>0</v>
      </c>
      <c r="S123" s="39" t="str">
        <f t="shared" si="40"/>
        <v/>
      </c>
      <c r="T123" s="27">
        <f>'Benefit-Cost'!Y119</f>
        <v>0</v>
      </c>
      <c r="U123" s="38" t="str">
        <f t="shared" si="41"/>
        <v/>
      </c>
      <c r="W123" s="30">
        <v>41670.345496905793</v>
      </c>
      <c r="X123" s="31">
        <f t="shared" si="30"/>
        <v>0</v>
      </c>
      <c r="Y123" s="39" t="str">
        <f t="shared" si="42"/>
        <v/>
      </c>
      <c r="Z123" s="27">
        <f>'Benefit-Cost'!AE119</f>
        <v>0</v>
      </c>
      <c r="AA123" s="38" t="str">
        <f t="shared" si="43"/>
        <v/>
      </c>
      <c r="AC123" s="30">
        <v>41863.23068292065</v>
      </c>
      <c r="AD123" s="36">
        <f t="shared" si="44"/>
        <v>0</v>
      </c>
      <c r="AE123" s="39" t="str">
        <f t="shared" si="45"/>
        <v/>
      </c>
      <c r="AF123" s="11">
        <v>0</v>
      </c>
      <c r="AG123" s="38" t="str">
        <f t="shared" si="46"/>
        <v/>
      </c>
      <c r="AI123" s="30">
        <v>40466.035703729664</v>
      </c>
      <c r="AJ123" s="36">
        <f t="shared" si="31"/>
        <v>0</v>
      </c>
      <c r="AK123" s="38" t="str">
        <f t="shared" si="47"/>
        <v/>
      </c>
      <c r="AL123" s="11">
        <v>0</v>
      </c>
      <c r="AM123" s="38" t="str">
        <f t="shared" si="48"/>
        <v/>
      </c>
      <c r="AO123" s="30">
        <v>40852.180107192878</v>
      </c>
      <c r="AP123" s="36">
        <f t="shared" si="32"/>
        <v>0</v>
      </c>
      <c r="AQ123" s="38" t="str">
        <f t="shared" si="49"/>
        <v/>
      </c>
      <c r="AR123" s="11">
        <v>0</v>
      </c>
      <c r="AS123" s="38" t="str">
        <f t="shared" si="50"/>
        <v/>
      </c>
      <c r="AU123" s="30">
        <v>41157.446678462657</v>
      </c>
      <c r="AV123" s="36">
        <f t="shared" si="33"/>
        <v>0</v>
      </c>
      <c r="AW123" s="38" t="str">
        <f t="shared" si="51"/>
        <v/>
      </c>
      <c r="AX123" s="11">
        <v>0</v>
      </c>
      <c r="AY123" s="38" t="str">
        <f t="shared" si="52"/>
        <v/>
      </c>
      <c r="BA123" s="30">
        <v>41411.4697184736</v>
      </c>
      <c r="BB123" s="36">
        <f t="shared" si="34"/>
        <v>0</v>
      </c>
      <c r="BC123" s="38" t="str">
        <f t="shared" si="53"/>
        <v/>
      </c>
    </row>
    <row r="124" spans="1:55" x14ac:dyDescent="0.35">
      <c r="A124" s="44">
        <v>55334</v>
      </c>
      <c r="B124" s="27">
        <f>'Benefit-Cost'!G120</f>
        <v>0</v>
      </c>
      <c r="C124" s="38" t="str">
        <f t="shared" si="35"/>
        <v/>
      </c>
      <c r="E124" s="30">
        <v>52325.084106557595</v>
      </c>
      <c r="F124" s="48">
        <f t="shared" si="27"/>
        <v>0</v>
      </c>
      <c r="G124" s="38" t="str">
        <f t="shared" si="36"/>
        <v/>
      </c>
      <c r="H124" s="27">
        <f>'Benefit-Cost'!M120</f>
        <v>0</v>
      </c>
      <c r="I124" s="38" t="str">
        <f t="shared" si="37"/>
        <v/>
      </c>
      <c r="K124" s="30">
        <v>59625.766800366458</v>
      </c>
      <c r="L124" s="31">
        <f t="shared" si="28"/>
        <v>0</v>
      </c>
      <c r="M124" s="38" t="str">
        <f t="shared" si="38"/>
        <v/>
      </c>
      <c r="N124" s="27">
        <f>'Benefit-Cost'!S120</f>
        <v>0</v>
      </c>
      <c r="O124" s="38" t="str">
        <f t="shared" si="39"/>
        <v/>
      </c>
      <c r="Q124" s="30">
        <v>61185.298842383054</v>
      </c>
      <c r="R124" s="31">
        <f t="shared" si="29"/>
        <v>0</v>
      </c>
      <c r="S124" s="39" t="str">
        <f t="shared" si="40"/>
        <v/>
      </c>
      <c r="T124" s="27">
        <f>'Benefit-Cost'!Y120</f>
        <v>0</v>
      </c>
      <c r="U124" s="38" t="str">
        <f t="shared" si="41"/>
        <v/>
      </c>
      <c r="W124" s="30">
        <v>62617.551917237375</v>
      </c>
      <c r="X124" s="31">
        <f t="shared" si="30"/>
        <v>0</v>
      </c>
      <c r="Y124" s="39" t="str">
        <f t="shared" si="42"/>
        <v/>
      </c>
      <c r="Z124" s="27">
        <f>'Benefit-Cost'!AE120</f>
        <v>0</v>
      </c>
      <c r="AA124" s="38" t="str">
        <f t="shared" si="43"/>
        <v/>
      </c>
      <c r="AC124" s="30">
        <v>63972.017463589014</v>
      </c>
      <c r="AD124" s="36">
        <f t="shared" si="44"/>
        <v>0</v>
      </c>
      <c r="AE124" s="39" t="str">
        <f t="shared" si="45"/>
        <v/>
      </c>
      <c r="AF124" s="11">
        <v>0</v>
      </c>
      <c r="AG124" s="38" t="str">
        <f t="shared" si="46"/>
        <v/>
      </c>
      <c r="AI124" s="30">
        <v>58961.29380707386</v>
      </c>
      <c r="AJ124" s="36">
        <f t="shared" si="31"/>
        <v>0</v>
      </c>
      <c r="AK124" s="38" t="str">
        <f t="shared" si="47"/>
        <v/>
      </c>
      <c r="AL124" s="11">
        <v>0</v>
      </c>
      <c r="AM124" s="38" t="str">
        <f t="shared" si="48"/>
        <v/>
      </c>
      <c r="AO124" s="30">
        <v>59887.472107416746</v>
      </c>
      <c r="AP124" s="36">
        <f t="shared" si="32"/>
        <v>0</v>
      </c>
      <c r="AQ124" s="38" t="str">
        <f t="shared" si="49"/>
        <v/>
      </c>
      <c r="AR124" s="11">
        <v>0</v>
      </c>
      <c r="AS124" s="38" t="str">
        <f t="shared" si="50"/>
        <v/>
      </c>
      <c r="AU124" s="30">
        <v>60735.600195646242</v>
      </c>
      <c r="AV124" s="36">
        <f t="shared" si="33"/>
        <v>0</v>
      </c>
      <c r="AW124" s="38" t="str">
        <f t="shared" si="51"/>
        <v/>
      </c>
      <c r="AX124" s="11">
        <v>0</v>
      </c>
      <c r="AY124" s="38" t="str">
        <f t="shared" si="52"/>
        <v/>
      </c>
      <c r="BA124" s="30">
        <v>61545.245969730429</v>
      </c>
      <c r="BB124" s="36">
        <f t="shared" si="34"/>
        <v>0</v>
      </c>
      <c r="BC124" s="38" t="str">
        <f t="shared" si="53"/>
        <v/>
      </c>
    </row>
    <row r="125" spans="1:55" x14ac:dyDescent="0.35">
      <c r="A125" s="44">
        <v>55426</v>
      </c>
      <c r="B125" s="27">
        <f>'Benefit-Cost'!G121</f>
        <v>0</v>
      </c>
      <c r="C125" s="38" t="str">
        <f t="shared" si="35"/>
        <v/>
      </c>
      <c r="E125" s="30">
        <v>49219.431660904687</v>
      </c>
      <c r="F125" s="48">
        <f t="shared" si="27"/>
        <v>0</v>
      </c>
      <c r="G125" s="38" t="str">
        <f t="shared" si="36"/>
        <v/>
      </c>
      <c r="H125" s="27">
        <f>'Benefit-Cost'!M121</f>
        <v>0</v>
      </c>
      <c r="I125" s="38" t="str">
        <f t="shared" si="37"/>
        <v/>
      </c>
      <c r="K125" s="30">
        <v>55062.081279256323</v>
      </c>
      <c r="L125" s="31">
        <f t="shared" si="28"/>
        <v>0</v>
      </c>
      <c r="M125" s="38" t="str">
        <f t="shared" si="38"/>
        <v/>
      </c>
      <c r="N125" s="27">
        <f>'Benefit-Cost'!S121</f>
        <v>0</v>
      </c>
      <c r="O125" s="38" t="str">
        <f t="shared" si="39"/>
        <v/>
      </c>
      <c r="Q125" s="30">
        <v>56294.478268327519</v>
      </c>
      <c r="R125" s="31">
        <f t="shared" si="29"/>
        <v>0</v>
      </c>
      <c r="S125" s="39" t="str">
        <f t="shared" si="40"/>
        <v/>
      </c>
      <c r="T125" s="27">
        <f>'Benefit-Cost'!Y121</f>
        <v>0</v>
      </c>
      <c r="U125" s="38" t="str">
        <f t="shared" si="41"/>
        <v/>
      </c>
      <c r="W125" s="30">
        <v>57351.803320793508</v>
      </c>
      <c r="X125" s="31">
        <f t="shared" si="30"/>
        <v>0</v>
      </c>
      <c r="Y125" s="39" t="str">
        <f t="shared" si="42"/>
        <v/>
      </c>
      <c r="Z125" s="27">
        <f>'Benefit-Cost'!AE121</f>
        <v>0</v>
      </c>
      <c r="AA125" s="38" t="str">
        <f t="shared" si="43"/>
        <v/>
      </c>
      <c r="AC125" s="30">
        <v>58147.246640089928</v>
      </c>
      <c r="AD125" s="36">
        <f t="shared" si="44"/>
        <v>0</v>
      </c>
      <c r="AE125" s="39" t="str">
        <f t="shared" si="45"/>
        <v/>
      </c>
      <c r="AF125" s="11">
        <v>0</v>
      </c>
      <c r="AG125" s="38" t="str">
        <f t="shared" si="46"/>
        <v/>
      </c>
      <c r="AI125" s="30">
        <v>54580.226596745721</v>
      </c>
      <c r="AJ125" s="36">
        <f t="shared" si="31"/>
        <v>0</v>
      </c>
      <c r="AK125" s="38" t="str">
        <f t="shared" si="47"/>
        <v/>
      </c>
      <c r="AL125" s="11">
        <v>0</v>
      </c>
      <c r="AM125" s="38" t="str">
        <f t="shared" si="48"/>
        <v/>
      </c>
      <c r="AO125" s="30">
        <v>55370.962804214912</v>
      </c>
      <c r="AP125" s="36">
        <f t="shared" si="32"/>
        <v>0</v>
      </c>
      <c r="AQ125" s="38" t="str">
        <f t="shared" si="49"/>
        <v/>
      </c>
      <c r="AR125" s="11">
        <v>0</v>
      </c>
      <c r="AS125" s="38" t="str">
        <f t="shared" si="50"/>
        <v/>
      </c>
      <c r="AU125" s="30">
        <v>56066.318946896288</v>
      </c>
      <c r="AV125" s="36">
        <f t="shared" si="33"/>
        <v>0</v>
      </c>
      <c r="AW125" s="38" t="str">
        <f t="shared" si="51"/>
        <v/>
      </c>
      <c r="AX125" s="11">
        <v>0</v>
      </c>
      <c r="AY125" s="38" t="str">
        <f t="shared" si="52"/>
        <v/>
      </c>
      <c r="BA125" s="30">
        <v>56658.021984218372</v>
      </c>
      <c r="BB125" s="36">
        <f t="shared" si="34"/>
        <v>0</v>
      </c>
      <c r="BC125" s="38" t="str">
        <f t="shared" si="53"/>
        <v/>
      </c>
    </row>
    <row r="126" spans="1:55" x14ac:dyDescent="0.35">
      <c r="A126" s="44">
        <v>55518</v>
      </c>
      <c r="B126" s="27">
        <f>'Benefit-Cost'!G122</f>
        <v>0</v>
      </c>
      <c r="C126" s="38" t="str">
        <f t="shared" si="35"/>
        <v/>
      </c>
      <c r="E126" s="30">
        <v>35839.892768425176</v>
      </c>
      <c r="F126" s="48">
        <f t="shared" si="27"/>
        <v>0</v>
      </c>
      <c r="G126" s="38" t="str">
        <f t="shared" si="36"/>
        <v/>
      </c>
      <c r="H126" s="27">
        <f>'Benefit-Cost'!M122</f>
        <v>0</v>
      </c>
      <c r="I126" s="38" t="str">
        <f t="shared" si="37"/>
        <v/>
      </c>
      <c r="K126" s="30">
        <v>38055.655422964533</v>
      </c>
      <c r="L126" s="31">
        <f t="shared" si="28"/>
        <v>0</v>
      </c>
      <c r="M126" s="38" t="str">
        <f t="shared" si="38"/>
        <v/>
      </c>
      <c r="N126" s="27">
        <f>'Benefit-Cost'!S122</f>
        <v>0</v>
      </c>
      <c r="O126" s="38" t="str">
        <f t="shared" si="39"/>
        <v/>
      </c>
      <c r="Q126" s="30">
        <v>38063.997044526295</v>
      </c>
      <c r="R126" s="31">
        <f t="shared" si="29"/>
        <v>0</v>
      </c>
      <c r="S126" s="39" t="str">
        <f t="shared" si="40"/>
        <v/>
      </c>
      <c r="T126" s="27">
        <f>'Benefit-Cost'!Y122</f>
        <v>0</v>
      </c>
      <c r="U126" s="38" t="str">
        <f t="shared" si="41"/>
        <v/>
      </c>
      <c r="W126" s="30">
        <v>37998.210648292945</v>
      </c>
      <c r="X126" s="31">
        <f t="shared" si="30"/>
        <v>0</v>
      </c>
      <c r="Y126" s="39" t="str">
        <f t="shared" si="42"/>
        <v/>
      </c>
      <c r="Z126" s="27">
        <f>'Benefit-Cost'!AE122</f>
        <v>0</v>
      </c>
      <c r="AA126" s="38" t="str">
        <f t="shared" si="43"/>
        <v/>
      </c>
      <c r="AC126" s="30">
        <v>37862.160041606199</v>
      </c>
      <c r="AD126" s="36">
        <f t="shared" si="44"/>
        <v>0</v>
      </c>
      <c r="AE126" s="39" t="str">
        <f t="shared" si="45"/>
        <v/>
      </c>
      <c r="AF126" s="11">
        <v>0</v>
      </c>
      <c r="AG126" s="38" t="str">
        <f t="shared" si="46"/>
        <v/>
      </c>
      <c r="AI126" s="30">
        <v>38013.533581551659</v>
      </c>
      <c r="AJ126" s="36">
        <f t="shared" si="31"/>
        <v>0</v>
      </c>
      <c r="AK126" s="38" t="str">
        <f t="shared" si="47"/>
        <v/>
      </c>
      <c r="AL126" s="11">
        <v>0</v>
      </c>
      <c r="AM126" s="38" t="str">
        <f t="shared" si="48"/>
        <v/>
      </c>
      <c r="AO126" s="30">
        <v>38070.461539494252</v>
      </c>
      <c r="AP126" s="36">
        <f t="shared" si="32"/>
        <v>0</v>
      </c>
      <c r="AQ126" s="38" t="str">
        <f t="shared" si="49"/>
        <v/>
      </c>
      <c r="AR126" s="11">
        <v>0</v>
      </c>
      <c r="AS126" s="38" t="str">
        <f t="shared" si="50"/>
        <v/>
      </c>
      <c r="AU126" s="30">
        <v>38063.356785830554</v>
      </c>
      <c r="AV126" s="36">
        <f t="shared" si="33"/>
        <v>0</v>
      </c>
      <c r="AW126" s="38" t="str">
        <f t="shared" si="51"/>
        <v/>
      </c>
      <c r="AX126" s="11">
        <v>0</v>
      </c>
      <c r="AY126" s="38" t="str">
        <f t="shared" si="52"/>
        <v/>
      </c>
      <c r="BA126" s="30">
        <v>38041.052224259314</v>
      </c>
      <c r="BB126" s="36">
        <f t="shared" si="34"/>
        <v>0</v>
      </c>
      <c r="BC126" s="38" t="str">
        <f t="shared" si="53"/>
        <v/>
      </c>
    </row>
    <row r="127" spans="1:55" x14ac:dyDescent="0.35">
      <c r="A127" s="44">
        <v>55609</v>
      </c>
      <c r="B127" s="27">
        <f>'Benefit-Cost'!G123</f>
        <v>0</v>
      </c>
      <c r="C127" s="38" t="str">
        <f t="shared" si="35"/>
        <v/>
      </c>
      <c r="E127" s="30">
        <v>37192.349425951099</v>
      </c>
      <c r="F127" s="48">
        <f t="shared" si="27"/>
        <v>0</v>
      </c>
      <c r="G127" s="38" t="str">
        <f t="shared" si="36"/>
        <v/>
      </c>
      <c r="H127" s="27">
        <f>'Benefit-Cost'!M123</f>
        <v>0</v>
      </c>
      <c r="I127" s="38" t="str">
        <f t="shared" si="37"/>
        <v/>
      </c>
      <c r="K127" s="30">
        <v>41107.356098728545</v>
      </c>
      <c r="L127" s="31">
        <f t="shared" si="28"/>
        <v>0</v>
      </c>
      <c r="M127" s="38" t="str">
        <f t="shared" si="38"/>
        <v/>
      </c>
      <c r="N127" s="27">
        <f>'Benefit-Cost'!S123</f>
        <v>0</v>
      </c>
      <c r="O127" s="38" t="str">
        <f t="shared" si="39"/>
        <v/>
      </c>
      <c r="Q127" s="30">
        <v>41666.262529711574</v>
      </c>
      <c r="R127" s="31">
        <f t="shared" si="29"/>
        <v>0</v>
      </c>
      <c r="S127" s="39" t="str">
        <f t="shared" si="40"/>
        <v/>
      </c>
      <c r="T127" s="27">
        <f>'Benefit-Cost'!Y123</f>
        <v>0</v>
      </c>
      <c r="U127" s="38" t="str">
        <f t="shared" si="41"/>
        <v/>
      </c>
      <c r="W127" s="30">
        <v>41974.317148393595</v>
      </c>
      <c r="X127" s="31">
        <f t="shared" si="30"/>
        <v>0</v>
      </c>
      <c r="Y127" s="39" t="str">
        <f t="shared" si="42"/>
        <v/>
      </c>
      <c r="Z127" s="27">
        <f>'Benefit-Cost'!AE123</f>
        <v>0</v>
      </c>
      <c r="AA127" s="38" t="str">
        <f t="shared" si="43"/>
        <v/>
      </c>
      <c r="AC127" s="30">
        <v>42144.446204706081</v>
      </c>
      <c r="AD127" s="36">
        <f t="shared" si="44"/>
        <v>0</v>
      </c>
      <c r="AE127" s="39" t="str">
        <f t="shared" si="45"/>
        <v/>
      </c>
      <c r="AF127" s="11">
        <v>0</v>
      </c>
      <c r="AG127" s="38" t="str">
        <f t="shared" si="46"/>
        <v/>
      </c>
      <c r="AI127" s="30">
        <v>40853.07150769986</v>
      </c>
      <c r="AJ127" s="36">
        <f t="shared" si="31"/>
        <v>0</v>
      </c>
      <c r="AK127" s="38" t="str">
        <f t="shared" si="47"/>
        <v/>
      </c>
      <c r="AL127" s="11">
        <v>0</v>
      </c>
      <c r="AM127" s="38" t="str">
        <f t="shared" si="48"/>
        <v/>
      </c>
      <c r="AO127" s="30">
        <v>41230.280938733224</v>
      </c>
      <c r="AP127" s="36">
        <f t="shared" si="32"/>
        <v>0</v>
      </c>
      <c r="AQ127" s="38" t="str">
        <f t="shared" si="49"/>
        <v/>
      </c>
      <c r="AR127" s="11">
        <v>0</v>
      </c>
      <c r="AS127" s="38" t="str">
        <f t="shared" si="50"/>
        <v/>
      </c>
      <c r="AU127" s="30">
        <v>41520.026189763506</v>
      </c>
      <c r="AV127" s="36">
        <f t="shared" si="33"/>
        <v>0</v>
      </c>
      <c r="AW127" s="38" t="str">
        <f t="shared" si="51"/>
        <v/>
      </c>
      <c r="AX127" s="11">
        <v>0</v>
      </c>
      <c r="AY127" s="38" t="str">
        <f t="shared" si="52"/>
        <v/>
      </c>
      <c r="BA127" s="30">
        <v>41762.680063950975</v>
      </c>
      <c r="BB127" s="36">
        <f t="shared" si="34"/>
        <v>0</v>
      </c>
      <c r="BC127" s="38" t="str">
        <f t="shared" si="53"/>
        <v/>
      </c>
    </row>
    <row r="128" spans="1:55" x14ac:dyDescent="0.35">
      <c r="A128" s="44">
        <v>55700</v>
      </c>
      <c r="B128" s="27">
        <f>'Benefit-Cost'!G124</f>
        <v>0</v>
      </c>
      <c r="C128" s="38" t="str">
        <f t="shared" si="35"/>
        <v/>
      </c>
      <c r="E128" s="30">
        <v>52063.458686024882</v>
      </c>
      <c r="F128" s="48">
        <f t="shared" si="27"/>
        <v>0</v>
      </c>
      <c r="G128" s="38" t="str">
        <f t="shared" si="36"/>
        <v/>
      </c>
      <c r="H128" s="27">
        <f>'Benefit-Cost'!M124</f>
        <v>0</v>
      </c>
      <c r="I128" s="38" t="str">
        <f t="shared" si="37"/>
        <v/>
      </c>
      <c r="K128" s="30">
        <v>59492.572954567768</v>
      </c>
      <c r="L128" s="31">
        <f t="shared" si="28"/>
        <v>0</v>
      </c>
      <c r="M128" s="38" t="str">
        <f t="shared" si="38"/>
        <v/>
      </c>
      <c r="N128" s="27">
        <f>'Benefit-Cost'!S124</f>
        <v>0</v>
      </c>
      <c r="O128" s="38" t="str">
        <f t="shared" si="39"/>
        <v/>
      </c>
      <c r="Q128" s="30">
        <v>61014.339613204778</v>
      </c>
      <c r="R128" s="31">
        <f t="shared" si="29"/>
        <v>0</v>
      </c>
      <c r="S128" s="39" t="str">
        <f t="shared" si="40"/>
        <v/>
      </c>
      <c r="T128" s="27">
        <f>'Benefit-Cost'!Y124</f>
        <v>0</v>
      </c>
      <c r="U128" s="38" t="str">
        <f t="shared" si="41"/>
        <v/>
      </c>
      <c r="W128" s="30">
        <v>62418.403290822207</v>
      </c>
      <c r="X128" s="31">
        <f t="shared" si="30"/>
        <v>0</v>
      </c>
      <c r="Y128" s="39" t="str">
        <f t="shared" si="42"/>
        <v/>
      </c>
      <c r="Z128" s="27">
        <f>'Benefit-Cost'!AE124</f>
        <v>0</v>
      </c>
      <c r="AA128" s="38" t="str">
        <f t="shared" si="43"/>
        <v/>
      </c>
      <c r="AC128" s="30">
        <v>63717.203622158377</v>
      </c>
      <c r="AD128" s="36">
        <f t="shared" si="44"/>
        <v>0</v>
      </c>
      <c r="AE128" s="39" t="str">
        <f t="shared" si="45"/>
        <v/>
      </c>
      <c r="AF128" s="11">
        <v>0</v>
      </c>
      <c r="AG128" s="38" t="str">
        <f t="shared" si="46"/>
        <v/>
      </c>
      <c r="AI128" s="30">
        <v>58840.612433956194</v>
      </c>
      <c r="AJ128" s="36">
        <f t="shared" si="31"/>
        <v>0</v>
      </c>
      <c r="AK128" s="38" t="str">
        <f t="shared" si="47"/>
        <v/>
      </c>
      <c r="AL128" s="11">
        <v>0</v>
      </c>
      <c r="AM128" s="38" t="str">
        <f t="shared" si="48"/>
        <v/>
      </c>
      <c r="AO128" s="30">
        <v>59740.389296089787</v>
      </c>
      <c r="AP128" s="36">
        <f t="shared" si="32"/>
        <v>0</v>
      </c>
      <c r="AQ128" s="38" t="str">
        <f t="shared" si="49"/>
        <v/>
      </c>
      <c r="AR128" s="11">
        <v>0</v>
      </c>
      <c r="AS128" s="38" t="str">
        <f t="shared" si="50"/>
        <v/>
      </c>
      <c r="AU128" s="30">
        <v>60561.307692444097</v>
      </c>
      <c r="AV128" s="36">
        <f t="shared" si="33"/>
        <v>0</v>
      </c>
      <c r="AW128" s="38" t="str">
        <f t="shared" si="51"/>
        <v/>
      </c>
      <c r="AX128" s="11">
        <v>0</v>
      </c>
      <c r="AY128" s="38" t="str">
        <f t="shared" si="52"/>
        <v/>
      </c>
      <c r="BA128" s="30">
        <v>61344.429498987069</v>
      </c>
      <c r="BB128" s="36">
        <f t="shared" si="34"/>
        <v>0</v>
      </c>
      <c r="BC128" s="38" t="str">
        <f t="shared" si="53"/>
        <v/>
      </c>
    </row>
    <row r="129" spans="1:55" x14ac:dyDescent="0.35">
      <c r="A129" s="44">
        <v>55792</v>
      </c>
      <c r="B129" s="27">
        <f>'Benefit-Cost'!G125</f>
        <v>0</v>
      </c>
      <c r="C129" s="38" t="str">
        <f t="shared" si="35"/>
        <v/>
      </c>
      <c r="E129" s="30">
        <v>48973.334502600257</v>
      </c>
      <c r="F129" s="48">
        <f t="shared" si="27"/>
        <v>0</v>
      </c>
      <c r="G129" s="38" t="str">
        <f t="shared" si="36"/>
        <v/>
      </c>
      <c r="H129" s="27">
        <f>'Benefit-Cost'!M125</f>
        <v>0</v>
      </c>
      <c r="I129" s="38" t="str">
        <f t="shared" si="37"/>
        <v/>
      </c>
      <c r="K129" s="30">
        <v>54938.149497384751</v>
      </c>
      <c r="L129" s="31">
        <f t="shared" si="28"/>
        <v>0</v>
      </c>
      <c r="M129" s="38" t="str">
        <f t="shared" si="38"/>
        <v/>
      </c>
      <c r="N129" s="27">
        <f>'Benefit-Cost'!S125</f>
        <v>0</v>
      </c>
      <c r="O129" s="38" t="str">
        <f t="shared" si="39"/>
        <v/>
      </c>
      <c r="Q129" s="30">
        <v>56162.445143567304</v>
      </c>
      <c r="R129" s="31">
        <f t="shared" si="29"/>
        <v>0</v>
      </c>
      <c r="S129" s="39" t="str">
        <f t="shared" si="40"/>
        <v/>
      </c>
      <c r="T129" s="27">
        <f>'Benefit-Cost'!Y125</f>
        <v>0</v>
      </c>
      <c r="U129" s="38" t="str">
        <f t="shared" si="41"/>
        <v/>
      </c>
      <c r="W129" s="30">
        <v>57212.448351519015</v>
      </c>
      <c r="X129" s="31">
        <f t="shared" si="30"/>
        <v>0</v>
      </c>
      <c r="Y129" s="39" t="str">
        <f t="shared" si="42"/>
        <v/>
      </c>
      <c r="Z129" s="27">
        <f>'Benefit-Cost'!AE125</f>
        <v>0</v>
      </c>
      <c r="AA129" s="38" t="str">
        <f t="shared" si="43"/>
        <v/>
      </c>
      <c r="AC129" s="30">
        <v>57994.87372066058</v>
      </c>
      <c r="AD129" s="36">
        <f t="shared" si="44"/>
        <v>0</v>
      </c>
      <c r="AE129" s="39" t="str">
        <f t="shared" si="45"/>
        <v/>
      </c>
      <c r="AF129" s="11">
        <v>0</v>
      </c>
      <c r="AG129" s="38" t="str">
        <f t="shared" si="46"/>
        <v/>
      </c>
      <c r="AI129" s="30">
        <v>54448.456911211804</v>
      </c>
      <c r="AJ129" s="36">
        <f t="shared" si="31"/>
        <v>0</v>
      </c>
      <c r="AK129" s="38" t="str">
        <f t="shared" si="47"/>
        <v/>
      </c>
      <c r="AL129" s="11">
        <v>0</v>
      </c>
      <c r="AM129" s="38" t="str">
        <f t="shared" si="48"/>
        <v/>
      </c>
      <c r="AO129" s="30">
        <v>55231.453047621071</v>
      </c>
      <c r="AP129" s="36">
        <f t="shared" si="32"/>
        <v>0</v>
      </c>
      <c r="AQ129" s="38" t="str">
        <f t="shared" si="49"/>
        <v/>
      </c>
      <c r="AR129" s="11">
        <v>0</v>
      </c>
      <c r="AS129" s="38" t="str">
        <f t="shared" si="50"/>
        <v/>
      </c>
      <c r="AU129" s="30">
        <v>55918.734751918601</v>
      </c>
      <c r="AV129" s="36">
        <f t="shared" si="33"/>
        <v>0</v>
      </c>
      <c r="AW129" s="38" t="str">
        <f t="shared" si="51"/>
        <v/>
      </c>
      <c r="AX129" s="11">
        <v>0</v>
      </c>
      <c r="AY129" s="38" t="str">
        <f t="shared" si="52"/>
        <v/>
      </c>
      <c r="BA129" s="30">
        <v>56507.157335418146</v>
      </c>
      <c r="BB129" s="36">
        <f t="shared" si="34"/>
        <v>0</v>
      </c>
      <c r="BC129" s="38" t="str">
        <f t="shared" si="53"/>
        <v/>
      </c>
    </row>
    <row r="130" spans="1:55" x14ac:dyDescent="0.35">
      <c r="A130" s="44">
        <v>55884</v>
      </c>
      <c r="B130" s="27">
        <f>'Benefit-Cost'!G126</f>
        <v>0</v>
      </c>
      <c r="C130" s="38" t="str">
        <f t="shared" si="35"/>
        <v/>
      </c>
      <c r="E130" s="30">
        <v>35660.693304583096</v>
      </c>
      <c r="F130" s="48">
        <f t="shared" si="27"/>
        <v>0</v>
      </c>
      <c r="G130" s="38" t="str">
        <f t="shared" si="36"/>
        <v/>
      </c>
      <c r="H130" s="27">
        <f>'Benefit-Cost'!M126</f>
        <v>0</v>
      </c>
      <c r="I130" s="38" t="str">
        <f t="shared" si="37"/>
        <v/>
      </c>
      <c r="K130" s="30">
        <v>37881.543568844645</v>
      </c>
      <c r="L130" s="31">
        <f t="shared" si="28"/>
        <v>0</v>
      </c>
      <c r="M130" s="38" t="str">
        <f t="shared" si="38"/>
        <v/>
      </c>
      <c r="N130" s="27">
        <f>'Benefit-Cost'!S126</f>
        <v>0</v>
      </c>
      <c r="O130" s="38" t="str">
        <f t="shared" si="39"/>
        <v/>
      </c>
      <c r="Q130" s="30">
        <v>37883.144730271044</v>
      </c>
      <c r="R130" s="31">
        <f t="shared" si="29"/>
        <v>0</v>
      </c>
      <c r="S130" s="39" t="str">
        <f t="shared" si="40"/>
        <v/>
      </c>
      <c r="T130" s="27">
        <f>'Benefit-Cost'!Y126</f>
        <v>0</v>
      </c>
      <c r="U130" s="38" t="str">
        <f t="shared" si="41"/>
        <v/>
      </c>
      <c r="W130" s="30">
        <v>37816.832519801726</v>
      </c>
      <c r="X130" s="31">
        <f t="shared" si="30"/>
        <v>0</v>
      </c>
      <c r="Y130" s="39" t="str">
        <f t="shared" si="42"/>
        <v/>
      </c>
      <c r="Z130" s="27">
        <f>'Benefit-Cost'!AE126</f>
        <v>0</v>
      </c>
      <c r="AA130" s="38" t="str">
        <f t="shared" si="43"/>
        <v/>
      </c>
      <c r="AC130" s="30">
        <v>37684.435520038453</v>
      </c>
      <c r="AD130" s="36">
        <f t="shared" si="44"/>
        <v>0</v>
      </c>
      <c r="AE130" s="39" t="str">
        <f t="shared" si="45"/>
        <v/>
      </c>
      <c r="AF130" s="11">
        <v>0</v>
      </c>
      <c r="AG130" s="38" t="str">
        <f t="shared" si="46"/>
        <v/>
      </c>
      <c r="AI130" s="30">
        <v>37848.207304297568</v>
      </c>
      <c r="AJ130" s="36">
        <f t="shared" si="31"/>
        <v>0</v>
      </c>
      <c r="AK130" s="38" t="str">
        <f t="shared" si="47"/>
        <v/>
      </c>
      <c r="AL130" s="11">
        <v>0</v>
      </c>
      <c r="AM130" s="38" t="str">
        <f t="shared" si="48"/>
        <v/>
      </c>
      <c r="AO130" s="30">
        <v>37892.434942890526</v>
      </c>
      <c r="AP130" s="36">
        <f t="shared" si="32"/>
        <v>0</v>
      </c>
      <c r="AQ130" s="38" t="str">
        <f t="shared" si="49"/>
        <v/>
      </c>
      <c r="AR130" s="11">
        <v>0</v>
      </c>
      <c r="AS130" s="38" t="str">
        <f t="shared" si="50"/>
        <v/>
      </c>
      <c r="AU130" s="30">
        <v>37879.517048684807</v>
      </c>
      <c r="AV130" s="36">
        <f t="shared" si="33"/>
        <v>0</v>
      </c>
      <c r="AW130" s="38" t="str">
        <f t="shared" si="51"/>
        <v/>
      </c>
      <c r="AX130" s="11">
        <v>0</v>
      </c>
      <c r="AY130" s="38" t="str">
        <f t="shared" si="52"/>
        <v/>
      </c>
      <c r="BA130" s="30">
        <v>37857.446816400596</v>
      </c>
      <c r="BB130" s="36">
        <f t="shared" si="34"/>
        <v>0</v>
      </c>
      <c r="BC130" s="38" t="str">
        <f t="shared" si="53"/>
        <v/>
      </c>
    </row>
    <row r="131" spans="1:55" x14ac:dyDescent="0.35">
      <c r="A131" s="44">
        <v>55974</v>
      </c>
      <c r="B131" s="27">
        <f>'Benefit-Cost'!G127</f>
        <v>0</v>
      </c>
      <c r="C131" s="38" t="str">
        <f t="shared" si="35"/>
        <v/>
      </c>
      <c r="E131" s="30">
        <v>36540.146770028252</v>
      </c>
      <c r="F131" s="48">
        <f t="shared" si="27"/>
        <v>0</v>
      </c>
      <c r="G131" s="38" t="str">
        <f t="shared" si="36"/>
        <v/>
      </c>
      <c r="H131" s="27">
        <f>'Benefit-Cost'!M127</f>
        <v>0</v>
      </c>
      <c r="I131" s="38" t="str">
        <f t="shared" si="37"/>
        <v/>
      </c>
      <c r="K131" s="30">
        <v>40479.076580952809</v>
      </c>
      <c r="L131" s="31">
        <f t="shared" si="28"/>
        <v>0</v>
      </c>
      <c r="M131" s="38" t="str">
        <f t="shared" si="38"/>
        <v/>
      </c>
      <c r="N131" s="27">
        <f>'Benefit-Cost'!S127</f>
        <v>0</v>
      </c>
      <c r="O131" s="38" t="str">
        <f t="shared" si="39"/>
        <v/>
      </c>
      <c r="Q131" s="30">
        <v>41026.532847297043</v>
      </c>
      <c r="R131" s="31">
        <f t="shared" si="29"/>
        <v>0</v>
      </c>
      <c r="S131" s="39" t="str">
        <f t="shared" si="40"/>
        <v/>
      </c>
      <c r="T131" s="27">
        <f>'Benefit-Cost'!Y127</f>
        <v>0</v>
      </c>
      <c r="U131" s="38" t="str">
        <f t="shared" si="41"/>
        <v/>
      </c>
      <c r="W131" s="30">
        <v>41321.166917552648</v>
      </c>
      <c r="X131" s="31">
        <f t="shared" si="30"/>
        <v>0</v>
      </c>
      <c r="Y131" s="39" t="str">
        <f t="shared" si="42"/>
        <v/>
      </c>
      <c r="Z131" s="27">
        <f>'Benefit-Cost'!AE127</f>
        <v>0</v>
      </c>
      <c r="AA131" s="38" t="str">
        <f t="shared" si="43"/>
        <v/>
      </c>
      <c r="AC131" s="30">
        <v>41493.118135471741</v>
      </c>
      <c r="AD131" s="36">
        <f t="shared" si="44"/>
        <v>0</v>
      </c>
      <c r="AE131" s="39" t="str">
        <f t="shared" si="45"/>
        <v/>
      </c>
      <c r="AF131" s="11">
        <v>0</v>
      </c>
      <c r="AG131" s="38" t="str">
        <f t="shared" si="46"/>
        <v/>
      </c>
      <c r="AI131" s="30">
        <v>40219.548319176261</v>
      </c>
      <c r="AJ131" s="36">
        <f t="shared" si="31"/>
        <v>0</v>
      </c>
      <c r="AK131" s="38" t="str">
        <f t="shared" si="47"/>
        <v/>
      </c>
      <c r="AL131" s="11">
        <v>0</v>
      </c>
      <c r="AM131" s="38" t="str">
        <f t="shared" si="48"/>
        <v/>
      </c>
      <c r="AO131" s="30">
        <v>40588.398292778897</v>
      </c>
      <c r="AP131" s="36">
        <f t="shared" si="32"/>
        <v>0</v>
      </c>
      <c r="AQ131" s="38" t="str">
        <f t="shared" si="49"/>
        <v/>
      </c>
      <c r="AR131" s="11">
        <v>0</v>
      </c>
      <c r="AS131" s="38" t="str">
        <f t="shared" si="50"/>
        <v/>
      </c>
      <c r="AU131" s="30">
        <v>40863.706013685551</v>
      </c>
      <c r="AV131" s="36">
        <f t="shared" si="33"/>
        <v>0</v>
      </c>
      <c r="AW131" s="38" t="str">
        <f t="shared" si="51"/>
        <v/>
      </c>
      <c r="AX131" s="11">
        <v>0</v>
      </c>
      <c r="AY131" s="38" t="str">
        <f t="shared" si="52"/>
        <v/>
      </c>
      <c r="BA131" s="30">
        <v>41099.678003655412</v>
      </c>
      <c r="BB131" s="36">
        <f t="shared" si="34"/>
        <v>0</v>
      </c>
      <c r="BC131" s="38" t="str">
        <f t="shared" si="53"/>
        <v/>
      </c>
    </row>
    <row r="132" spans="1:55" x14ac:dyDescent="0.35">
      <c r="A132" s="44">
        <v>56065</v>
      </c>
      <c r="B132" s="27">
        <f>'Benefit-Cost'!G128</f>
        <v>0</v>
      </c>
      <c r="C132" s="38" t="str">
        <f t="shared" si="35"/>
        <v/>
      </c>
      <c r="E132" s="30">
        <v>51803.141392594531</v>
      </c>
      <c r="F132" s="48">
        <f t="shared" si="27"/>
        <v>0</v>
      </c>
      <c r="G132" s="38" t="str">
        <f t="shared" si="36"/>
        <v/>
      </c>
      <c r="H132" s="27">
        <f>'Benefit-Cost'!M128</f>
        <v>0</v>
      </c>
      <c r="I132" s="38" t="str">
        <f t="shared" si="37"/>
        <v/>
      </c>
      <c r="K132" s="30">
        <v>59386.068658175951</v>
      </c>
      <c r="L132" s="31">
        <f t="shared" si="28"/>
        <v>0</v>
      </c>
      <c r="M132" s="38" t="str">
        <f t="shared" si="38"/>
        <v/>
      </c>
      <c r="N132" s="27">
        <f>'Benefit-Cost'!S128</f>
        <v>0</v>
      </c>
      <c r="O132" s="38" t="str">
        <f t="shared" si="39"/>
        <v/>
      </c>
      <c r="Q132" s="30">
        <v>60896.147448925345</v>
      </c>
      <c r="R132" s="31">
        <f t="shared" si="29"/>
        <v>0</v>
      </c>
      <c r="S132" s="39" t="str">
        <f t="shared" si="40"/>
        <v/>
      </c>
      <c r="T132" s="27">
        <f>'Benefit-Cost'!Y128</f>
        <v>0</v>
      </c>
      <c r="U132" s="38" t="str">
        <f t="shared" si="41"/>
        <v/>
      </c>
      <c r="W132" s="30">
        <v>62274.321095945867</v>
      </c>
      <c r="X132" s="31">
        <f t="shared" si="30"/>
        <v>0</v>
      </c>
      <c r="Y132" s="39" t="str">
        <f t="shared" si="42"/>
        <v/>
      </c>
      <c r="Z132" s="27">
        <f>'Benefit-Cost'!AE128</f>
        <v>0</v>
      </c>
      <c r="AA132" s="38" t="str">
        <f t="shared" si="43"/>
        <v/>
      </c>
      <c r="AC132" s="30">
        <v>63565.077278491706</v>
      </c>
      <c r="AD132" s="36">
        <f t="shared" si="44"/>
        <v>0</v>
      </c>
      <c r="AE132" s="39" t="str">
        <f t="shared" si="45"/>
        <v/>
      </c>
      <c r="AF132" s="11">
        <v>0</v>
      </c>
      <c r="AG132" s="38" t="str">
        <f t="shared" si="46"/>
        <v/>
      </c>
      <c r="AI132" s="30">
        <v>58738.897741560329</v>
      </c>
      <c r="AJ132" s="36">
        <f t="shared" si="31"/>
        <v>0</v>
      </c>
      <c r="AK132" s="38" t="str">
        <f t="shared" si="47"/>
        <v/>
      </c>
      <c r="AL132" s="11">
        <v>0</v>
      </c>
      <c r="AM132" s="38" t="str">
        <f t="shared" si="48"/>
        <v/>
      </c>
      <c r="AO132" s="30">
        <v>59633.242815499303</v>
      </c>
      <c r="AP132" s="36">
        <f t="shared" si="32"/>
        <v>0</v>
      </c>
      <c r="AQ132" s="38" t="str">
        <f t="shared" si="49"/>
        <v/>
      </c>
      <c r="AR132" s="11">
        <v>0</v>
      </c>
      <c r="AS132" s="38" t="str">
        <f t="shared" si="50"/>
        <v/>
      </c>
      <c r="AU132" s="30">
        <v>60449.34244482324</v>
      </c>
      <c r="AV132" s="36">
        <f t="shared" si="33"/>
        <v>0</v>
      </c>
      <c r="AW132" s="38" t="str">
        <f t="shared" si="51"/>
        <v/>
      </c>
      <c r="AX132" s="11">
        <v>0</v>
      </c>
      <c r="AY132" s="38" t="str">
        <f t="shared" si="52"/>
        <v/>
      </c>
      <c r="BA132" s="30">
        <v>61226.368993851553</v>
      </c>
      <c r="BB132" s="36">
        <f t="shared" si="34"/>
        <v>0</v>
      </c>
      <c r="BC132" s="38" t="str">
        <f t="shared" si="53"/>
        <v/>
      </c>
    </row>
    <row r="133" spans="1:55" x14ac:dyDescent="0.35">
      <c r="A133" s="44">
        <v>56157</v>
      </c>
      <c r="B133" s="27">
        <f>'Benefit-Cost'!G129</f>
        <v>0</v>
      </c>
      <c r="C133" s="38" t="str">
        <f t="shared" si="35"/>
        <v/>
      </c>
      <c r="E133" s="30">
        <v>48728.467830087022</v>
      </c>
      <c r="F133" s="48">
        <f t="shared" si="27"/>
        <v>0</v>
      </c>
      <c r="G133" s="38" t="str">
        <f t="shared" si="36"/>
        <v/>
      </c>
      <c r="H133" s="27">
        <f>'Benefit-Cost'!M129</f>
        <v>0</v>
      </c>
      <c r="I133" s="38" t="str">
        <f t="shared" si="37"/>
        <v/>
      </c>
      <c r="K133" s="30">
        <v>54760.030281740896</v>
      </c>
      <c r="L133" s="31">
        <f t="shared" si="28"/>
        <v>0</v>
      </c>
      <c r="M133" s="38" t="str">
        <f t="shared" si="38"/>
        <v/>
      </c>
      <c r="N133" s="27">
        <f>'Benefit-Cost'!S129</f>
        <v>0</v>
      </c>
      <c r="O133" s="38" t="str">
        <f t="shared" si="39"/>
        <v/>
      </c>
      <c r="Q133" s="30">
        <v>55930.06930834752</v>
      </c>
      <c r="R133" s="31">
        <f t="shared" si="29"/>
        <v>0</v>
      </c>
      <c r="S133" s="39" t="str">
        <f t="shared" si="40"/>
        <v/>
      </c>
      <c r="T133" s="27">
        <f>'Benefit-Cost'!Y129</f>
        <v>0</v>
      </c>
      <c r="U133" s="38" t="str">
        <f t="shared" si="41"/>
        <v/>
      </c>
      <c r="W133" s="30">
        <v>56916.875081143793</v>
      </c>
      <c r="X133" s="31">
        <f t="shared" si="30"/>
        <v>0</v>
      </c>
      <c r="Y133" s="39" t="str">
        <f t="shared" si="42"/>
        <v/>
      </c>
      <c r="Z133" s="27">
        <f>'Benefit-Cost'!AE129</f>
        <v>0</v>
      </c>
      <c r="AA133" s="38" t="str">
        <f t="shared" si="43"/>
        <v/>
      </c>
      <c r="AC133" s="30">
        <v>57637.9935092628</v>
      </c>
      <c r="AD133" s="36">
        <f t="shared" si="44"/>
        <v>0</v>
      </c>
      <c r="AE133" s="39" t="str">
        <f t="shared" si="45"/>
        <v/>
      </c>
      <c r="AF133" s="11">
        <v>0</v>
      </c>
      <c r="AG133" s="38" t="str">
        <f t="shared" si="46"/>
        <v/>
      </c>
      <c r="AI133" s="30">
        <v>54289.457974119716</v>
      </c>
      <c r="AJ133" s="36">
        <f t="shared" si="31"/>
        <v>0</v>
      </c>
      <c r="AK133" s="38" t="str">
        <f t="shared" si="47"/>
        <v/>
      </c>
      <c r="AL133" s="11">
        <v>0</v>
      </c>
      <c r="AM133" s="38" t="str">
        <f t="shared" si="48"/>
        <v/>
      </c>
      <c r="AO133" s="30">
        <v>55039.688303284682</v>
      </c>
      <c r="AP133" s="36">
        <f t="shared" si="32"/>
        <v>0</v>
      </c>
      <c r="AQ133" s="38" t="str">
        <f t="shared" si="49"/>
        <v/>
      </c>
      <c r="AR133" s="11">
        <v>0</v>
      </c>
      <c r="AS133" s="38" t="str">
        <f t="shared" si="50"/>
        <v/>
      </c>
      <c r="AU133" s="30">
        <v>55691.953248744263</v>
      </c>
      <c r="AV133" s="36">
        <f t="shared" si="33"/>
        <v>0</v>
      </c>
      <c r="AW133" s="38" t="str">
        <f t="shared" si="51"/>
        <v/>
      </c>
      <c r="AX133" s="11">
        <v>0</v>
      </c>
      <c r="AY133" s="38" t="str">
        <f t="shared" si="52"/>
        <v/>
      </c>
      <c r="BA133" s="30">
        <v>56248.432411730064</v>
      </c>
      <c r="BB133" s="36">
        <f t="shared" si="34"/>
        <v>0</v>
      </c>
      <c r="BC133" s="38" t="str">
        <f t="shared" si="53"/>
        <v/>
      </c>
    </row>
    <row r="134" spans="1:55" x14ac:dyDescent="0.35">
      <c r="A134" s="44">
        <v>56249</v>
      </c>
      <c r="B134" s="27">
        <f>'Benefit-Cost'!G130</f>
        <v>0</v>
      </c>
      <c r="C134" s="38" t="str">
        <f t="shared" si="35"/>
        <v/>
      </c>
      <c r="E134" s="30">
        <v>35482.389838060073</v>
      </c>
      <c r="F134" s="48">
        <f t="shared" si="27"/>
        <v>0</v>
      </c>
      <c r="G134" s="38" t="str">
        <f t="shared" si="36"/>
        <v/>
      </c>
      <c r="H134" s="27">
        <f>'Benefit-Cost'!M130</f>
        <v>0</v>
      </c>
      <c r="I134" s="38" t="str">
        <f t="shared" si="37"/>
        <v/>
      </c>
      <c r="K134" s="30">
        <v>37707.131393070282</v>
      </c>
      <c r="L134" s="31">
        <f t="shared" si="28"/>
        <v>0</v>
      </c>
      <c r="M134" s="38" t="str">
        <f t="shared" si="38"/>
        <v/>
      </c>
      <c r="N134" s="27">
        <f>'Benefit-Cost'!S130</f>
        <v>0</v>
      </c>
      <c r="O134" s="38" t="str">
        <f t="shared" si="39"/>
        <v/>
      </c>
      <c r="Q134" s="30">
        <v>37699.400058891013</v>
      </c>
      <c r="R134" s="31">
        <f t="shared" si="29"/>
        <v>0</v>
      </c>
      <c r="S134" s="39" t="str">
        <f t="shared" si="40"/>
        <v/>
      </c>
      <c r="T134" s="27">
        <f>'Benefit-Cost'!Y130</f>
        <v>0</v>
      </c>
      <c r="U134" s="38" t="str">
        <f t="shared" si="41"/>
        <v/>
      </c>
      <c r="W134" s="30">
        <v>37625.487570453428</v>
      </c>
      <c r="X134" s="31">
        <f t="shared" si="30"/>
        <v>0</v>
      </c>
      <c r="Y134" s="39" t="str">
        <f t="shared" si="42"/>
        <v/>
      </c>
      <c r="Z134" s="27">
        <f>'Benefit-Cost'!AE130</f>
        <v>0</v>
      </c>
      <c r="AA134" s="38" t="str">
        <f t="shared" si="43"/>
        <v/>
      </c>
      <c r="AC134" s="30">
        <v>37488.421285090546</v>
      </c>
      <c r="AD134" s="36">
        <f t="shared" si="44"/>
        <v>0</v>
      </c>
      <c r="AE134" s="39" t="str">
        <f t="shared" si="45"/>
        <v/>
      </c>
      <c r="AF134" s="11">
        <v>0</v>
      </c>
      <c r="AG134" s="38" t="str">
        <f t="shared" si="46"/>
        <v/>
      </c>
      <c r="AI134" s="30">
        <v>37682.754593586913</v>
      </c>
      <c r="AJ134" s="36">
        <f t="shared" si="31"/>
        <v>0</v>
      </c>
      <c r="AK134" s="38" t="str">
        <f t="shared" si="47"/>
        <v/>
      </c>
      <c r="AL134" s="11">
        <v>0</v>
      </c>
      <c r="AM134" s="38" t="str">
        <f t="shared" si="48"/>
        <v/>
      </c>
      <c r="AO134" s="30">
        <v>37717.147154122147</v>
      </c>
      <c r="AP134" s="36">
        <f t="shared" si="32"/>
        <v>0</v>
      </c>
      <c r="AQ134" s="38" t="str">
        <f t="shared" si="49"/>
        <v/>
      </c>
      <c r="AR134" s="11">
        <v>0</v>
      </c>
      <c r="AS134" s="38" t="str">
        <f t="shared" si="50"/>
        <v/>
      </c>
      <c r="AU134" s="30">
        <v>37701.374671252539</v>
      </c>
      <c r="AV134" s="36">
        <f t="shared" si="33"/>
        <v>0</v>
      </c>
      <c r="AW134" s="38" t="str">
        <f t="shared" si="51"/>
        <v/>
      </c>
      <c r="AX134" s="11">
        <v>0</v>
      </c>
      <c r="AY134" s="38" t="str">
        <f t="shared" si="52"/>
        <v/>
      </c>
      <c r="BA134" s="30">
        <v>37679.256266922028</v>
      </c>
      <c r="BB134" s="36">
        <f t="shared" si="34"/>
        <v>0</v>
      </c>
      <c r="BC134" s="38" t="str">
        <f t="shared" si="53"/>
        <v/>
      </c>
    </row>
    <row r="135" spans="1:55" x14ac:dyDescent="0.35">
      <c r="A135" s="44">
        <v>56339</v>
      </c>
      <c r="B135" s="27">
        <f>'Benefit-Cost'!G131</f>
        <v>0</v>
      </c>
      <c r="C135" s="38" t="str">
        <f t="shared" si="35"/>
        <v/>
      </c>
      <c r="E135" s="30">
        <v>36357.446036178189</v>
      </c>
      <c r="F135" s="48">
        <f t="shared" si="27"/>
        <v>0</v>
      </c>
      <c r="G135" s="38" t="str">
        <f t="shared" si="36"/>
        <v/>
      </c>
      <c r="H135" s="27">
        <f>'Benefit-Cost'!M131</f>
        <v>0</v>
      </c>
      <c r="I135" s="38" t="str">
        <f t="shared" si="37"/>
        <v/>
      </c>
      <c r="K135" s="30">
        <v>40348.455785790837</v>
      </c>
      <c r="L135" s="31">
        <f t="shared" si="28"/>
        <v>0</v>
      </c>
      <c r="M135" s="38" t="str">
        <f t="shared" si="38"/>
        <v/>
      </c>
      <c r="N135" s="27">
        <f>'Benefit-Cost'!S131</f>
        <v>0</v>
      </c>
      <c r="O135" s="38" t="str">
        <f t="shared" si="39"/>
        <v/>
      </c>
      <c r="Q135" s="30">
        <v>40874.447818821245</v>
      </c>
      <c r="R135" s="31">
        <f t="shared" si="29"/>
        <v>0</v>
      </c>
      <c r="S135" s="39" t="str">
        <f t="shared" si="40"/>
        <v/>
      </c>
      <c r="T135" s="27">
        <f>'Benefit-Cost'!Y131</f>
        <v>0</v>
      </c>
      <c r="U135" s="38" t="str">
        <f t="shared" si="41"/>
        <v/>
      </c>
      <c r="W135" s="30">
        <v>41147.538377592209</v>
      </c>
      <c r="X135" s="31">
        <f t="shared" si="30"/>
        <v>0</v>
      </c>
      <c r="Y135" s="39" t="str">
        <f t="shared" si="42"/>
        <v/>
      </c>
      <c r="Z135" s="27">
        <f>'Benefit-Cost'!AE131</f>
        <v>0</v>
      </c>
      <c r="AA135" s="38" t="str">
        <f t="shared" si="43"/>
        <v/>
      </c>
      <c r="AC135" s="30">
        <v>41311.473649185486</v>
      </c>
      <c r="AD135" s="36">
        <f t="shared" si="44"/>
        <v>0</v>
      </c>
      <c r="AE135" s="39" t="str">
        <f t="shared" si="45"/>
        <v/>
      </c>
      <c r="AF135" s="11">
        <v>0</v>
      </c>
      <c r="AG135" s="38" t="str">
        <f t="shared" si="46"/>
        <v/>
      </c>
      <c r="AI135" s="30">
        <v>40096.966732349814</v>
      </c>
      <c r="AJ135" s="36">
        <f t="shared" si="31"/>
        <v>0</v>
      </c>
      <c r="AK135" s="38" t="str">
        <f t="shared" si="47"/>
        <v/>
      </c>
      <c r="AL135" s="11">
        <v>0</v>
      </c>
      <c r="AM135" s="38" t="str">
        <f t="shared" si="48"/>
        <v/>
      </c>
      <c r="AO135" s="30">
        <v>40457.574190579064</v>
      </c>
      <c r="AP135" s="36">
        <f t="shared" si="32"/>
        <v>0</v>
      </c>
      <c r="AQ135" s="38" t="str">
        <f t="shared" si="49"/>
        <v/>
      </c>
      <c r="AR135" s="11">
        <v>0</v>
      </c>
      <c r="AS135" s="38" t="str">
        <f t="shared" si="50"/>
        <v/>
      </c>
      <c r="AU135" s="30">
        <v>40719.751245644213</v>
      </c>
      <c r="AV135" s="36">
        <f t="shared" si="33"/>
        <v>0</v>
      </c>
      <c r="AW135" s="38" t="str">
        <f t="shared" si="51"/>
        <v/>
      </c>
      <c r="AX135" s="11">
        <v>0</v>
      </c>
      <c r="AY135" s="38" t="str">
        <f t="shared" si="52"/>
        <v/>
      </c>
      <c r="BA135" s="30">
        <v>40948.07786648121</v>
      </c>
      <c r="BB135" s="36">
        <f t="shared" si="34"/>
        <v>0</v>
      </c>
      <c r="BC135" s="38" t="str">
        <f t="shared" si="53"/>
        <v/>
      </c>
    </row>
    <row r="136" spans="1:55" x14ac:dyDescent="0.35">
      <c r="A136" s="44">
        <v>56430</v>
      </c>
      <c r="B136" s="27">
        <f>'Benefit-Cost'!G132</f>
        <v>0</v>
      </c>
      <c r="C136" s="38" t="str">
        <f t="shared" si="35"/>
        <v/>
      </c>
      <c r="E136" s="30">
        <v>51544.125685631821</v>
      </c>
      <c r="F136" s="48">
        <f t="shared" ref="F136:F146" si="54">B136/E136</f>
        <v>0</v>
      </c>
      <c r="G136" s="38" t="str">
        <f t="shared" si="36"/>
        <v/>
      </c>
      <c r="H136" s="27">
        <f>'Benefit-Cost'!M132</f>
        <v>0</v>
      </c>
      <c r="I136" s="38" t="str">
        <f t="shared" si="37"/>
        <v/>
      </c>
      <c r="K136" s="30">
        <v>59259.56825027641</v>
      </c>
      <c r="L136" s="31">
        <f t="shared" ref="L136:L146" si="55">H136/K136</f>
        <v>0</v>
      </c>
      <c r="M136" s="38" t="str">
        <f t="shared" si="38"/>
        <v/>
      </c>
      <c r="N136" s="27">
        <f>'Benefit-Cost'!S132</f>
        <v>0</v>
      </c>
      <c r="O136" s="38" t="str">
        <f t="shared" si="39"/>
        <v/>
      </c>
      <c r="Q136" s="30">
        <v>60741.133818526687</v>
      </c>
      <c r="R136" s="31">
        <f t="shared" ref="R136:R146" si="56">N136/Q136</f>
        <v>0</v>
      </c>
      <c r="S136" s="39" t="str">
        <f t="shared" si="40"/>
        <v/>
      </c>
      <c r="T136" s="27">
        <f>'Benefit-Cost'!Y132</f>
        <v>0</v>
      </c>
      <c r="U136" s="38" t="str">
        <f t="shared" si="41"/>
        <v/>
      </c>
      <c r="W136" s="30">
        <v>62095.633772812638</v>
      </c>
      <c r="X136" s="31">
        <f t="shared" ref="X136:X146" si="57">T136/W136</f>
        <v>0</v>
      </c>
      <c r="Y136" s="39" t="str">
        <f t="shared" si="42"/>
        <v/>
      </c>
      <c r="Z136" s="27">
        <f>'Benefit-Cost'!AE132</f>
        <v>0</v>
      </c>
      <c r="AA136" s="38" t="str">
        <f t="shared" si="43"/>
        <v/>
      </c>
      <c r="AC136" s="30">
        <v>63351.560162493231</v>
      </c>
      <c r="AD136" s="36">
        <f t="shared" si="44"/>
        <v>0</v>
      </c>
      <c r="AE136" s="39" t="str">
        <f t="shared" si="45"/>
        <v/>
      </c>
      <c r="AF136" s="11">
        <v>0</v>
      </c>
      <c r="AG136" s="38" t="str">
        <f t="shared" si="46"/>
        <v/>
      </c>
      <c r="AI136" s="30">
        <v>58623.378307863772</v>
      </c>
      <c r="AJ136" s="36">
        <f t="shared" ref="AJ136:AJ146" si="58">AF136/AI136</f>
        <v>0</v>
      </c>
      <c r="AK136" s="38" t="str">
        <f t="shared" si="47"/>
        <v/>
      </c>
      <c r="AL136" s="11">
        <v>0</v>
      </c>
      <c r="AM136" s="38" t="str">
        <f t="shared" si="48"/>
        <v/>
      </c>
      <c r="AO136" s="30">
        <v>59499.049472038969</v>
      </c>
      <c r="AP136" s="36">
        <f t="shared" ref="AP136:AP146" si="59">AL136/AO136</f>
        <v>0</v>
      </c>
      <c r="AQ136" s="38" t="str">
        <f t="shared" si="49"/>
        <v/>
      </c>
      <c r="AR136" s="11">
        <v>0</v>
      </c>
      <c r="AS136" s="38" t="str">
        <f t="shared" si="50"/>
        <v/>
      </c>
      <c r="AU136" s="30">
        <v>60295.926704403348</v>
      </c>
      <c r="AV136" s="36">
        <f t="shared" ref="AV136:AV146" si="60">AR136/AU136</f>
        <v>0</v>
      </c>
      <c r="AW136" s="38" t="str">
        <f t="shared" si="51"/>
        <v/>
      </c>
      <c r="AX136" s="11">
        <v>0</v>
      </c>
      <c r="AY136" s="38" t="str">
        <f t="shared" si="52"/>
        <v/>
      </c>
      <c r="BA136" s="30">
        <v>61054.852248616851</v>
      </c>
      <c r="BB136" s="36">
        <f t="shared" ref="BB136:BB146" si="61">AX136/BA136</f>
        <v>0</v>
      </c>
      <c r="BC136" s="38" t="str">
        <f t="shared" si="53"/>
        <v/>
      </c>
    </row>
    <row r="137" spans="1:55" x14ac:dyDescent="0.35">
      <c r="A137" s="44">
        <v>56522</v>
      </c>
      <c r="B137" s="27">
        <f>'Benefit-Cost'!G133</f>
        <v>0</v>
      </c>
      <c r="C137" s="38" t="str">
        <f t="shared" ref="C137:C146" si="62">IFERROR((B137-B136)/ABS(B136),"")</f>
        <v/>
      </c>
      <c r="E137" s="30">
        <v>48484.825490936804</v>
      </c>
      <c r="F137" s="48">
        <f t="shared" si="54"/>
        <v>0</v>
      </c>
      <c r="G137" s="38" t="str">
        <f t="shared" ref="G137:G146" si="63">IFERROR((F137-F136)/ABS(F136),"")</f>
        <v/>
      </c>
      <c r="H137" s="27">
        <f>'Benefit-Cost'!M133</f>
        <v>0</v>
      </c>
      <c r="I137" s="38" t="str">
        <f t="shared" ref="I137:I146" si="64">IFERROR((H137-H136)/ABS(H136),"")</f>
        <v/>
      </c>
      <c r="K137" s="30">
        <v>54603.980648424629</v>
      </c>
      <c r="L137" s="31">
        <f t="shared" si="55"/>
        <v>0</v>
      </c>
      <c r="M137" s="38" t="str">
        <f t="shared" ref="M137:M146" si="65">IFERROR((L137-L136)/ABS(L136),"")</f>
        <v/>
      </c>
      <c r="N137" s="27">
        <f>'Benefit-Cost'!S133</f>
        <v>0</v>
      </c>
      <c r="O137" s="38" t="str">
        <f t="shared" ref="O137:O146" si="66">IFERROR((N137-N136)/ABS(N136),"")</f>
        <v/>
      </c>
      <c r="Q137" s="30">
        <v>55744.755680725655</v>
      </c>
      <c r="R137" s="31">
        <f t="shared" si="56"/>
        <v>0</v>
      </c>
      <c r="S137" s="39" t="str">
        <f t="shared" ref="S137:S146" si="67">IFERROR((R137-R136)/ABS(R136),"")</f>
        <v/>
      </c>
      <c r="T137" s="27">
        <f>'Benefit-Cost'!Y133</f>
        <v>0</v>
      </c>
      <c r="U137" s="38" t="str">
        <f t="shared" ref="U137:U146" si="68">IFERROR((T137-T136)/ABS(T136),"")</f>
        <v/>
      </c>
      <c r="W137" s="30">
        <v>56696.709963847105</v>
      </c>
      <c r="X137" s="31">
        <f t="shared" si="57"/>
        <v>0</v>
      </c>
      <c r="Y137" s="39" t="str">
        <f t="shared" ref="Y137:Y146" si="69">IFERROR((X137-X136)/ABS(X136),"")</f>
        <v/>
      </c>
      <c r="Z137" s="27">
        <f>'Benefit-Cost'!AE133</f>
        <v>0</v>
      </c>
      <c r="AA137" s="38" t="str">
        <f t="shared" ref="AA137:AA146" si="70">IFERROR((Z137-Z136)/ABS(Z136),"")</f>
        <v/>
      </c>
      <c r="AC137" s="30">
        <v>57373.61735232998</v>
      </c>
      <c r="AD137" s="36">
        <f t="shared" ref="AD137:AD146" si="71">Z137/AC137</f>
        <v>0</v>
      </c>
      <c r="AE137" s="39" t="str">
        <f t="shared" ref="AE137:AE146" si="72">IFERROR((AD137-AD136)/ABS(AD136),"")</f>
        <v/>
      </c>
      <c r="AF137" s="11">
        <v>0</v>
      </c>
      <c r="AG137" s="38" t="str">
        <f t="shared" ref="AG137:AG146" si="73">IFERROR((AF137-AF136)/ABS(AF136),"")</f>
        <v/>
      </c>
      <c r="AI137" s="30">
        <v>54143.646333972159</v>
      </c>
      <c r="AJ137" s="36">
        <f t="shared" si="58"/>
        <v>0</v>
      </c>
      <c r="AK137" s="38" t="str">
        <f t="shared" ref="AK137:AK146" si="74">IFERROR((AJ137-AJ136)/ABS(AJ136),"")</f>
        <v/>
      </c>
      <c r="AL137" s="11">
        <v>0</v>
      </c>
      <c r="AM137" s="38" t="str">
        <f t="shared" ref="AM137:AM146" si="75">IFERROR((AL137-AL136)/ABS(AL136),"")</f>
        <v/>
      </c>
      <c r="AO137" s="30">
        <v>54877.194794002848</v>
      </c>
      <c r="AP137" s="36">
        <f t="shared" si="59"/>
        <v>0</v>
      </c>
      <c r="AQ137" s="38" t="str">
        <f t="shared" ref="AQ137:AQ146" si="76">IFERROR((AP137-AP136)/ABS(AP136),"")</f>
        <v/>
      </c>
      <c r="AR137" s="11">
        <v>0</v>
      </c>
      <c r="AS137" s="38" t="str">
        <f t="shared" ref="AS137:AS146" si="77">IFERROR((AR137-AR136)/ABS(AR136),"")</f>
        <v/>
      </c>
      <c r="AU137" s="30">
        <v>55506.760734174743</v>
      </c>
      <c r="AV137" s="36">
        <f t="shared" si="60"/>
        <v>0</v>
      </c>
      <c r="AW137" s="38" t="str">
        <f t="shared" ref="AW137:AW146" si="78">IFERROR((AV137-AV136)/ABS(AV136),"")</f>
        <v/>
      </c>
      <c r="AX137" s="11">
        <v>0</v>
      </c>
      <c r="AY137" s="38" t="str">
        <f t="shared" ref="AY137:AY146" si="79">IFERROR((AX137-AX136)/ABS(AX136),"")</f>
        <v/>
      </c>
      <c r="BA137" s="30">
        <v>56046.865235955716</v>
      </c>
      <c r="BB137" s="36">
        <f t="shared" si="61"/>
        <v>0</v>
      </c>
      <c r="BC137" s="38" t="str">
        <f t="shared" ref="BC137:BC146" si="80">IFERROR((BB137-BB136)/ABS(BB136),"")</f>
        <v/>
      </c>
    </row>
    <row r="138" spans="1:55" x14ac:dyDescent="0.35">
      <c r="A138" s="44">
        <v>56614</v>
      </c>
      <c r="B138" s="27">
        <f>'Benefit-Cost'!G134</f>
        <v>0</v>
      </c>
      <c r="C138" s="38" t="str">
        <f t="shared" si="62"/>
        <v/>
      </c>
      <c r="E138" s="30">
        <v>35304.977888869871</v>
      </c>
      <c r="F138" s="48">
        <f t="shared" si="54"/>
        <v>0</v>
      </c>
      <c r="G138" s="38" t="str">
        <f t="shared" si="63"/>
        <v/>
      </c>
      <c r="H138" s="27">
        <f>'Benefit-Cost'!M134</f>
        <v>0</v>
      </c>
      <c r="I138" s="38" t="str">
        <f t="shared" si="64"/>
        <v/>
      </c>
      <c r="K138" s="30">
        <v>37530.641629317121</v>
      </c>
      <c r="L138" s="31">
        <f t="shared" si="55"/>
        <v>0</v>
      </c>
      <c r="M138" s="38" t="str">
        <f t="shared" si="65"/>
        <v/>
      </c>
      <c r="N138" s="27">
        <f>'Benefit-Cost'!S134</f>
        <v>0</v>
      </c>
      <c r="O138" s="38" t="str">
        <f t="shared" si="66"/>
        <v/>
      </c>
      <c r="Q138" s="30">
        <v>37509.813745541076</v>
      </c>
      <c r="R138" s="31">
        <f t="shared" si="56"/>
        <v>0</v>
      </c>
      <c r="S138" s="39" t="str">
        <f t="shared" si="67"/>
        <v/>
      </c>
      <c r="T138" s="27">
        <f>'Benefit-Cost'!Y134</f>
        <v>0</v>
      </c>
      <c r="U138" s="38" t="str">
        <f t="shared" si="68"/>
        <v/>
      </c>
      <c r="W138" s="30">
        <v>37427.100705336823</v>
      </c>
      <c r="X138" s="31">
        <f t="shared" si="57"/>
        <v>0</v>
      </c>
      <c r="Y138" s="39" t="str">
        <f t="shared" si="69"/>
        <v/>
      </c>
      <c r="Z138" s="27">
        <f>'Benefit-Cost'!AE134</f>
        <v>0</v>
      </c>
      <c r="AA138" s="38" t="str">
        <f t="shared" si="70"/>
        <v/>
      </c>
      <c r="AC138" s="30">
        <v>37281.253064871649</v>
      </c>
      <c r="AD138" s="36">
        <f t="shared" si="71"/>
        <v>0</v>
      </c>
      <c r="AE138" s="39" t="str">
        <f t="shared" si="72"/>
        <v/>
      </c>
      <c r="AF138" s="11">
        <v>0</v>
      </c>
      <c r="AG138" s="38" t="str">
        <f t="shared" si="73"/>
        <v/>
      </c>
      <c r="AI138" s="30">
        <v>37517.375486145807</v>
      </c>
      <c r="AJ138" s="36">
        <f t="shared" si="58"/>
        <v>0</v>
      </c>
      <c r="AK138" s="38" t="str">
        <f t="shared" si="74"/>
        <v/>
      </c>
      <c r="AL138" s="11">
        <v>0</v>
      </c>
      <c r="AM138" s="38" t="str">
        <f t="shared" si="75"/>
        <v/>
      </c>
      <c r="AO138" s="30">
        <v>37537.440752324736</v>
      </c>
      <c r="AP138" s="36">
        <f t="shared" si="59"/>
        <v>0</v>
      </c>
      <c r="AQ138" s="38" t="str">
        <f t="shared" si="76"/>
        <v/>
      </c>
      <c r="AR138" s="11">
        <v>0</v>
      </c>
      <c r="AS138" s="38" t="str">
        <f t="shared" si="77"/>
        <v/>
      </c>
      <c r="AU138" s="30">
        <v>37515.825403002862</v>
      </c>
      <c r="AV138" s="36">
        <f t="shared" si="60"/>
        <v>0</v>
      </c>
      <c r="AW138" s="38" t="str">
        <f t="shared" si="78"/>
        <v/>
      </c>
      <c r="AX138" s="11">
        <v>0</v>
      </c>
      <c r="AY138" s="38" t="str">
        <f t="shared" si="79"/>
        <v/>
      </c>
      <c r="BA138" s="30">
        <v>37489.298199980833</v>
      </c>
      <c r="BB138" s="36">
        <f t="shared" si="61"/>
        <v>0</v>
      </c>
      <c r="BC138" s="38" t="str">
        <f t="shared" si="80"/>
        <v/>
      </c>
    </row>
    <row r="139" spans="1:55" x14ac:dyDescent="0.35">
      <c r="A139" s="44">
        <v>56704</v>
      </c>
      <c r="B139" s="27">
        <f>'Benefit-Cost'!G135</f>
        <v>0</v>
      </c>
      <c r="C139" s="38" t="str">
        <f t="shared" si="62"/>
        <v/>
      </c>
      <c r="E139" s="30">
        <v>36175.658805997184</v>
      </c>
      <c r="F139" s="48">
        <f t="shared" si="54"/>
        <v>0</v>
      </c>
      <c r="G139" s="38" t="str">
        <f t="shared" si="63"/>
        <v/>
      </c>
      <c r="H139" s="27">
        <f>'Benefit-Cost'!M135</f>
        <v>0</v>
      </c>
      <c r="I139" s="38" t="str">
        <f t="shared" si="64"/>
        <v/>
      </c>
      <c r="K139" s="30">
        <v>40219.132506406175</v>
      </c>
      <c r="L139" s="31">
        <f t="shared" si="55"/>
        <v>0</v>
      </c>
      <c r="M139" s="38" t="str">
        <f t="shared" si="65"/>
        <v/>
      </c>
      <c r="N139" s="27">
        <f>'Benefit-Cost'!S135</f>
        <v>0</v>
      </c>
      <c r="O139" s="38" t="str">
        <f t="shared" si="66"/>
        <v/>
      </c>
      <c r="Q139" s="30">
        <v>40720.224972269709</v>
      </c>
      <c r="R139" s="31">
        <f t="shared" si="56"/>
        <v>0</v>
      </c>
      <c r="S139" s="39" t="str">
        <f t="shared" si="67"/>
        <v/>
      </c>
      <c r="T139" s="27">
        <f>'Benefit-Cost'!Y135</f>
        <v>0</v>
      </c>
      <c r="U139" s="38" t="str">
        <f t="shared" si="68"/>
        <v/>
      </c>
      <c r="W139" s="30">
        <v>40973.18699189552</v>
      </c>
      <c r="X139" s="31">
        <f t="shared" si="57"/>
        <v>0</v>
      </c>
      <c r="Y139" s="39" t="str">
        <f t="shared" si="69"/>
        <v/>
      </c>
      <c r="Z139" s="27">
        <f>'Benefit-Cost'!AE135</f>
        <v>0</v>
      </c>
      <c r="AA139" s="38" t="str">
        <f t="shared" si="70"/>
        <v/>
      </c>
      <c r="AC139" s="30">
        <v>41128.661490901322</v>
      </c>
      <c r="AD139" s="36">
        <f t="shared" si="71"/>
        <v>0</v>
      </c>
      <c r="AE139" s="39" t="str">
        <f t="shared" si="72"/>
        <v/>
      </c>
      <c r="AF139" s="11">
        <v>0</v>
      </c>
      <c r="AG139" s="38" t="str">
        <f t="shared" si="73"/>
        <v/>
      </c>
      <c r="AI139" s="30">
        <v>39973.459677892592</v>
      </c>
      <c r="AJ139" s="36">
        <f t="shared" si="58"/>
        <v>0</v>
      </c>
      <c r="AK139" s="38" t="str">
        <f t="shared" si="74"/>
        <v/>
      </c>
      <c r="AL139" s="11">
        <v>0</v>
      </c>
      <c r="AM139" s="38" t="str">
        <f t="shared" si="75"/>
        <v/>
      </c>
      <c r="AO139" s="30">
        <v>40328.757021272017</v>
      </c>
      <c r="AP139" s="36">
        <f t="shared" si="59"/>
        <v>0</v>
      </c>
      <c r="AQ139" s="38" t="str">
        <f t="shared" si="76"/>
        <v/>
      </c>
      <c r="AR139" s="11">
        <v>0</v>
      </c>
      <c r="AS139" s="38" t="str">
        <f t="shared" si="77"/>
        <v/>
      </c>
      <c r="AU139" s="30">
        <v>40579.791963786607</v>
      </c>
      <c r="AV139" s="36">
        <f t="shared" si="60"/>
        <v>0</v>
      </c>
      <c r="AW139" s="38" t="str">
        <f t="shared" si="78"/>
        <v/>
      </c>
      <c r="AX139" s="11">
        <v>0</v>
      </c>
      <c r="AY139" s="38" t="str">
        <f t="shared" si="79"/>
        <v/>
      </c>
      <c r="BA139" s="30">
        <v>40791.500426179598</v>
      </c>
      <c r="BB139" s="36">
        <f t="shared" si="61"/>
        <v>0</v>
      </c>
      <c r="BC139" s="38" t="str">
        <f t="shared" si="80"/>
        <v/>
      </c>
    </row>
    <row r="140" spans="1:55" x14ac:dyDescent="0.35">
      <c r="A140" s="44">
        <v>56795</v>
      </c>
      <c r="B140" s="27">
        <f>'Benefit-Cost'!G136</f>
        <v>0</v>
      </c>
      <c r="C140" s="38" t="str">
        <f t="shared" si="62"/>
        <v/>
      </c>
      <c r="E140" s="30">
        <v>51286.405057203447</v>
      </c>
      <c r="F140" s="48">
        <f t="shared" si="54"/>
        <v>0</v>
      </c>
      <c r="G140" s="38" t="str">
        <f t="shared" si="63"/>
        <v/>
      </c>
      <c r="H140" s="27">
        <f>'Benefit-Cost'!M136</f>
        <v>0</v>
      </c>
      <c r="I140" s="38" t="str">
        <f t="shared" si="64"/>
        <v/>
      </c>
      <c r="K140" s="30">
        <v>59140.011704648816</v>
      </c>
      <c r="L140" s="31">
        <f t="shared" si="55"/>
        <v>0</v>
      </c>
      <c r="M140" s="38" t="str">
        <f t="shared" si="65"/>
        <v/>
      </c>
      <c r="N140" s="27">
        <f>'Benefit-Cost'!S136</f>
        <v>0</v>
      </c>
      <c r="O140" s="38" t="str">
        <f t="shared" si="66"/>
        <v/>
      </c>
      <c r="Q140" s="30">
        <v>60601.939510062497</v>
      </c>
      <c r="R140" s="31">
        <f t="shared" si="56"/>
        <v>0</v>
      </c>
      <c r="S140" s="39" t="str">
        <f t="shared" si="67"/>
        <v/>
      </c>
      <c r="T140" s="27">
        <f>'Benefit-Cost'!Y136</f>
        <v>0</v>
      </c>
      <c r="U140" s="38" t="str">
        <f t="shared" si="68"/>
        <v/>
      </c>
      <c r="W140" s="30">
        <v>61937.042177973795</v>
      </c>
      <c r="X140" s="31">
        <f t="shared" si="57"/>
        <v>0</v>
      </c>
      <c r="Y140" s="39" t="str">
        <f t="shared" si="69"/>
        <v/>
      </c>
      <c r="Z140" s="27">
        <f>'Benefit-Cost'!AE136</f>
        <v>0</v>
      </c>
      <c r="AA140" s="38" t="str">
        <f t="shared" si="70"/>
        <v/>
      </c>
      <c r="AC140" s="30">
        <v>63163.901933599162</v>
      </c>
      <c r="AD140" s="36">
        <f t="shared" si="71"/>
        <v>0</v>
      </c>
      <c r="AE140" s="39" t="str">
        <f t="shared" si="72"/>
        <v/>
      </c>
      <c r="AF140" s="11">
        <v>0</v>
      </c>
      <c r="AG140" s="38" t="str">
        <f t="shared" si="73"/>
        <v/>
      </c>
      <c r="AI140" s="30">
        <v>58512.470116771481</v>
      </c>
      <c r="AJ140" s="36">
        <f t="shared" si="58"/>
        <v>0</v>
      </c>
      <c r="AK140" s="38" t="str">
        <f t="shared" si="74"/>
        <v/>
      </c>
      <c r="AL140" s="11">
        <v>0</v>
      </c>
      <c r="AM140" s="38" t="str">
        <f t="shared" si="75"/>
        <v/>
      </c>
      <c r="AO140" s="30">
        <v>59375.546945824724</v>
      </c>
      <c r="AP140" s="36">
        <f t="shared" si="59"/>
        <v>0</v>
      </c>
      <c r="AQ140" s="38" t="str">
        <f t="shared" si="76"/>
        <v/>
      </c>
      <c r="AR140" s="11">
        <v>0</v>
      </c>
      <c r="AS140" s="38" t="str">
        <f t="shared" si="77"/>
        <v/>
      </c>
      <c r="AU140" s="30">
        <v>60160.38667354788</v>
      </c>
      <c r="AV140" s="36">
        <f t="shared" si="60"/>
        <v>0</v>
      </c>
      <c r="AW140" s="38" t="str">
        <f t="shared" si="78"/>
        <v/>
      </c>
      <c r="AX140" s="11">
        <v>0</v>
      </c>
      <c r="AY140" s="38" t="str">
        <f t="shared" si="79"/>
        <v/>
      </c>
      <c r="BA140" s="30">
        <v>60905.271549351288</v>
      </c>
      <c r="BB140" s="36">
        <f t="shared" si="61"/>
        <v>0</v>
      </c>
      <c r="BC140" s="38" t="str">
        <f t="shared" si="80"/>
        <v/>
      </c>
    </row>
    <row r="141" spans="1:55" x14ac:dyDescent="0.35">
      <c r="A141" s="44">
        <v>56887</v>
      </c>
      <c r="B141" s="27">
        <f>'Benefit-Cost'!G137</f>
        <v>0</v>
      </c>
      <c r="C141" s="38" t="str">
        <f t="shared" si="62"/>
        <v/>
      </c>
      <c r="E141" s="30">
        <v>48242.401363481964</v>
      </c>
      <c r="F141" s="48">
        <f t="shared" si="54"/>
        <v>0</v>
      </c>
      <c r="G141" s="38" t="str">
        <f t="shared" si="63"/>
        <v/>
      </c>
      <c r="H141" s="27">
        <f>'Benefit-Cost'!M137</f>
        <v>0</v>
      </c>
      <c r="I141" s="38" t="str">
        <f t="shared" si="64"/>
        <v/>
      </c>
      <c r="K141" s="30">
        <v>54453.364749884364</v>
      </c>
      <c r="L141" s="31">
        <f t="shared" si="55"/>
        <v>0</v>
      </c>
      <c r="M141" s="38" t="str">
        <f t="shared" si="65"/>
        <v/>
      </c>
      <c r="N141" s="27">
        <f>'Benefit-Cost'!S137</f>
        <v>0</v>
      </c>
      <c r="O141" s="38" t="str">
        <f t="shared" si="66"/>
        <v/>
      </c>
      <c r="Q141" s="30">
        <v>55575.748505346804</v>
      </c>
      <c r="R141" s="31">
        <f t="shared" si="56"/>
        <v>0</v>
      </c>
      <c r="S141" s="39" t="str">
        <f t="shared" si="67"/>
        <v/>
      </c>
      <c r="T141" s="27">
        <f>'Benefit-Cost'!Y137</f>
        <v>0</v>
      </c>
      <c r="U141" s="38" t="str">
        <f t="shared" si="68"/>
        <v/>
      </c>
      <c r="W141" s="30">
        <v>56498.808997979955</v>
      </c>
      <c r="X141" s="31">
        <f t="shared" si="57"/>
        <v>0</v>
      </c>
      <c r="Y141" s="39" t="str">
        <f t="shared" si="69"/>
        <v/>
      </c>
      <c r="Z141" s="27">
        <f>'Benefit-Cost'!AE137</f>
        <v>0</v>
      </c>
      <c r="AA141" s="38" t="str">
        <f t="shared" si="70"/>
        <v/>
      </c>
      <c r="AC141" s="30">
        <v>57142.694878263224</v>
      </c>
      <c r="AD141" s="36">
        <f t="shared" si="71"/>
        <v>0</v>
      </c>
      <c r="AE141" s="39" t="str">
        <f t="shared" si="72"/>
        <v/>
      </c>
      <c r="AF141" s="11">
        <v>0</v>
      </c>
      <c r="AG141" s="38" t="str">
        <f t="shared" si="73"/>
        <v/>
      </c>
      <c r="AI141" s="30">
        <v>54002.729872016978</v>
      </c>
      <c r="AJ141" s="36">
        <f t="shared" si="58"/>
        <v>0</v>
      </c>
      <c r="AK141" s="38" t="str">
        <f t="shared" si="74"/>
        <v/>
      </c>
      <c r="AL141" s="11">
        <v>0</v>
      </c>
      <c r="AM141" s="38" t="str">
        <f t="shared" si="75"/>
        <v/>
      </c>
      <c r="AO141" s="30">
        <v>54723.185035343558</v>
      </c>
      <c r="AP141" s="36">
        <f t="shared" si="59"/>
        <v>0</v>
      </c>
      <c r="AQ141" s="38" t="str">
        <f t="shared" si="76"/>
        <v/>
      </c>
      <c r="AR141" s="11">
        <v>0</v>
      </c>
      <c r="AS141" s="38" t="str">
        <f t="shared" si="77"/>
        <v/>
      </c>
      <c r="AU141" s="30">
        <v>55334.309904730071</v>
      </c>
      <c r="AV141" s="36">
        <f t="shared" si="60"/>
        <v>0</v>
      </c>
      <c r="AW141" s="38" t="str">
        <f t="shared" si="78"/>
        <v/>
      </c>
      <c r="AX141" s="11">
        <v>0</v>
      </c>
      <c r="AY141" s="38" t="str">
        <f t="shared" si="79"/>
        <v/>
      </c>
      <c r="BA141" s="30">
        <v>55858.425152523429</v>
      </c>
      <c r="BB141" s="36">
        <f t="shared" si="61"/>
        <v>0</v>
      </c>
      <c r="BC141" s="38" t="str">
        <f t="shared" si="80"/>
        <v/>
      </c>
    </row>
    <row r="142" spans="1:55" x14ac:dyDescent="0.35">
      <c r="A142" s="44">
        <v>56979</v>
      </c>
      <c r="B142" s="27">
        <f>'Benefit-Cost'!G138</f>
        <v>0</v>
      </c>
      <c r="C142" s="38" t="str">
        <f t="shared" si="62"/>
        <v/>
      </c>
      <c r="E142" s="30">
        <v>35128.452999425434</v>
      </c>
      <c r="F142" s="48">
        <f t="shared" si="54"/>
        <v>0</v>
      </c>
      <c r="G142" s="38" t="str">
        <f t="shared" si="63"/>
        <v/>
      </c>
      <c r="H142" s="27">
        <f>'Benefit-Cost'!M138</f>
        <v>0</v>
      </c>
      <c r="I142" s="38" t="str">
        <f t="shared" si="64"/>
        <v/>
      </c>
      <c r="K142" s="30">
        <v>37357.451886862851</v>
      </c>
      <c r="L142" s="31">
        <f t="shared" si="55"/>
        <v>0</v>
      </c>
      <c r="M142" s="38" t="str">
        <f t="shared" si="65"/>
        <v/>
      </c>
      <c r="N142" s="27">
        <f>'Benefit-Cost'!S138</f>
        <v>0</v>
      </c>
      <c r="O142" s="38" t="str">
        <f t="shared" si="66"/>
        <v/>
      </c>
      <c r="Q142" s="30">
        <v>37326.408508690969</v>
      </c>
      <c r="R142" s="31">
        <f t="shared" si="56"/>
        <v>0</v>
      </c>
      <c r="S142" s="39" t="str">
        <f t="shared" si="67"/>
        <v/>
      </c>
      <c r="T142" s="27">
        <f>'Benefit-Cost'!Y138</f>
        <v>0</v>
      </c>
      <c r="U142" s="38" t="str">
        <f t="shared" si="68"/>
        <v/>
      </c>
      <c r="W142" s="30">
        <v>37233.002588137133</v>
      </c>
      <c r="X142" s="31">
        <f t="shared" si="57"/>
        <v>0</v>
      </c>
      <c r="Y142" s="39" t="str">
        <f t="shared" si="69"/>
        <v/>
      </c>
      <c r="Z142" s="27">
        <f>'Benefit-Cost'!AE138</f>
        <v>0</v>
      </c>
      <c r="AA142" s="38" t="str">
        <f t="shared" si="70"/>
        <v/>
      </c>
      <c r="AC142" s="30">
        <v>37079.450802956118</v>
      </c>
      <c r="AD142" s="36">
        <f t="shared" si="71"/>
        <v>0</v>
      </c>
      <c r="AE142" s="39" t="str">
        <f t="shared" si="72"/>
        <v/>
      </c>
      <c r="AF142" s="11">
        <v>0</v>
      </c>
      <c r="AG142" s="38" t="str">
        <f t="shared" si="73"/>
        <v/>
      </c>
      <c r="AI142" s="30">
        <v>37351.44905019494</v>
      </c>
      <c r="AJ142" s="36">
        <f t="shared" si="58"/>
        <v>0</v>
      </c>
      <c r="AK142" s="38" t="str">
        <f t="shared" si="74"/>
        <v/>
      </c>
      <c r="AL142" s="11">
        <v>0</v>
      </c>
      <c r="AM142" s="38" t="str">
        <f t="shared" si="75"/>
        <v/>
      </c>
      <c r="AO142" s="30">
        <v>37359.246268334151</v>
      </c>
      <c r="AP142" s="36">
        <f t="shared" si="59"/>
        <v>0</v>
      </c>
      <c r="AQ142" s="38" t="str">
        <f t="shared" si="76"/>
        <v/>
      </c>
      <c r="AR142" s="11">
        <v>0</v>
      </c>
      <c r="AS142" s="38" t="str">
        <f t="shared" si="77"/>
        <v/>
      </c>
      <c r="AU142" s="30">
        <v>37334.762752408904</v>
      </c>
      <c r="AV142" s="36">
        <f t="shared" si="60"/>
        <v>0</v>
      </c>
      <c r="AW142" s="38" t="str">
        <f t="shared" si="78"/>
        <v/>
      </c>
      <c r="AX142" s="11">
        <v>0</v>
      </c>
      <c r="AY142" s="38" t="str">
        <f t="shared" si="79"/>
        <v/>
      </c>
      <c r="BA142" s="30">
        <v>37305.832622598617</v>
      </c>
      <c r="BB142" s="36">
        <f t="shared" si="61"/>
        <v>0</v>
      </c>
      <c r="BC142" s="38" t="str">
        <f t="shared" si="80"/>
        <v/>
      </c>
    </row>
    <row r="143" spans="1:55" x14ac:dyDescent="0.35">
      <c r="A143" s="44">
        <v>57070</v>
      </c>
      <c r="B143" s="27">
        <f>'Benefit-Cost'!G139</f>
        <v>0</v>
      </c>
      <c r="C143" s="38" t="str">
        <f t="shared" si="62"/>
        <v/>
      </c>
      <c r="E143" s="30">
        <v>36454.062716916444</v>
      </c>
      <c r="F143" s="48">
        <f t="shared" si="54"/>
        <v>0</v>
      </c>
      <c r="G143" s="38" t="str">
        <f t="shared" si="63"/>
        <v/>
      </c>
      <c r="H143" s="27">
        <f>'Benefit-Cost'!M139</f>
        <v>0</v>
      </c>
      <c r="I143" s="38" t="str">
        <f t="shared" si="64"/>
        <v/>
      </c>
      <c r="K143" s="30">
        <v>40584.571884496778</v>
      </c>
      <c r="L143" s="31">
        <f t="shared" si="55"/>
        <v>0</v>
      </c>
      <c r="M143" s="38" t="str">
        <f t="shared" si="65"/>
        <v/>
      </c>
      <c r="N143" s="27">
        <f>'Benefit-Cost'!S139</f>
        <v>0</v>
      </c>
      <c r="O143" s="38" t="str">
        <f t="shared" si="66"/>
        <v/>
      </c>
      <c r="Q143" s="30">
        <v>41062.948256521442</v>
      </c>
      <c r="R143" s="31">
        <f t="shared" si="56"/>
        <v>0</v>
      </c>
      <c r="S143" s="39" t="str">
        <f t="shared" si="67"/>
        <v/>
      </c>
      <c r="T143" s="27">
        <f>'Benefit-Cost'!Y139</f>
        <v>0</v>
      </c>
      <c r="U143" s="38" t="str">
        <f t="shared" si="68"/>
        <v/>
      </c>
      <c r="W143" s="30">
        <v>41293.152365956863</v>
      </c>
      <c r="X143" s="31">
        <f t="shared" si="57"/>
        <v>0</v>
      </c>
      <c r="Y143" s="39" t="str">
        <f t="shared" si="69"/>
        <v/>
      </c>
      <c r="Z143" s="27">
        <f>'Benefit-Cost'!AE139</f>
        <v>0</v>
      </c>
      <c r="AA143" s="38" t="str">
        <f t="shared" si="70"/>
        <v/>
      </c>
      <c r="AC143" s="30">
        <v>41440.139975597995</v>
      </c>
      <c r="AD143" s="36">
        <f t="shared" si="71"/>
        <v>0</v>
      </c>
      <c r="AE143" s="39" t="str">
        <f t="shared" si="72"/>
        <v/>
      </c>
      <c r="AF143" s="11">
        <v>0</v>
      </c>
      <c r="AG143" s="38" t="str">
        <f t="shared" si="73"/>
        <v/>
      </c>
      <c r="AI143" s="30">
        <v>40351.45358480818</v>
      </c>
      <c r="AJ143" s="36">
        <f t="shared" si="58"/>
        <v>0</v>
      </c>
      <c r="AK143" s="38" t="str">
        <f t="shared" si="74"/>
        <v/>
      </c>
      <c r="AL143" s="11">
        <v>0</v>
      </c>
      <c r="AM143" s="38" t="str">
        <f t="shared" si="75"/>
        <v/>
      </c>
      <c r="AO143" s="30">
        <v>40690.129064549277</v>
      </c>
      <c r="AP143" s="36">
        <f t="shared" si="59"/>
        <v>0</v>
      </c>
      <c r="AQ143" s="38" t="str">
        <f t="shared" si="76"/>
        <v/>
      </c>
      <c r="AR143" s="11">
        <v>0</v>
      </c>
      <c r="AS143" s="38" t="str">
        <f t="shared" si="77"/>
        <v/>
      </c>
      <c r="AU143" s="30">
        <v>40932.69686838075</v>
      </c>
      <c r="AV143" s="36">
        <f t="shared" si="60"/>
        <v>0</v>
      </c>
      <c r="AW143" s="38" t="str">
        <f t="shared" si="78"/>
        <v/>
      </c>
      <c r="AX143" s="11">
        <v>0</v>
      </c>
      <c r="AY143" s="38" t="str">
        <f t="shared" si="79"/>
        <v/>
      </c>
      <c r="BA143" s="30">
        <v>41129.298124234243</v>
      </c>
      <c r="BB143" s="36">
        <f t="shared" si="61"/>
        <v>0</v>
      </c>
      <c r="BC143" s="38" t="str">
        <f t="shared" si="80"/>
        <v/>
      </c>
    </row>
    <row r="144" spans="1:55" x14ac:dyDescent="0.35">
      <c r="A144" s="44">
        <v>57161</v>
      </c>
      <c r="B144" s="27">
        <f>'Benefit-Cost'!G140</f>
        <v>0</v>
      </c>
      <c r="C144" s="38" t="str">
        <f t="shared" si="62"/>
        <v/>
      </c>
      <c r="E144" s="30">
        <v>51029.973031917543</v>
      </c>
      <c r="F144" s="48">
        <f t="shared" si="54"/>
        <v>0</v>
      </c>
      <c r="G144" s="38" t="str">
        <f t="shared" si="63"/>
        <v/>
      </c>
      <c r="H144" s="27">
        <f>'Benefit-Cost'!M140</f>
        <v>0</v>
      </c>
      <c r="I144" s="38" t="str">
        <f t="shared" si="64"/>
        <v/>
      </c>
      <c r="K144" s="30">
        <v>59013.226500692341</v>
      </c>
      <c r="L144" s="31">
        <f t="shared" si="55"/>
        <v>0</v>
      </c>
      <c r="M144" s="38" t="str">
        <f t="shared" si="65"/>
        <v/>
      </c>
      <c r="N144" s="27">
        <f>'Benefit-Cost'!S140</f>
        <v>0</v>
      </c>
      <c r="O144" s="38" t="str">
        <f t="shared" si="66"/>
        <v/>
      </c>
      <c r="Q144" s="30">
        <v>60449.897923808334</v>
      </c>
      <c r="R144" s="31">
        <f t="shared" si="56"/>
        <v>0</v>
      </c>
      <c r="S144" s="39" t="str">
        <f t="shared" si="67"/>
        <v/>
      </c>
      <c r="T144" s="27">
        <f>'Benefit-Cost'!Y140</f>
        <v>0</v>
      </c>
      <c r="U144" s="38" t="str">
        <f t="shared" si="68"/>
        <v/>
      </c>
      <c r="W144" s="30">
        <v>61754.771265183095</v>
      </c>
      <c r="X144" s="31">
        <f t="shared" si="57"/>
        <v>0</v>
      </c>
      <c r="Y144" s="39" t="str">
        <f t="shared" si="69"/>
        <v/>
      </c>
      <c r="Z144" s="27">
        <f>'Benefit-Cost'!AE140</f>
        <v>0</v>
      </c>
      <c r="AA144" s="38" t="str">
        <f t="shared" si="70"/>
        <v/>
      </c>
      <c r="AC144" s="30">
        <v>62959.677288266554</v>
      </c>
      <c r="AD144" s="36">
        <f t="shared" si="71"/>
        <v>0</v>
      </c>
      <c r="AE144" s="39" t="str">
        <f t="shared" si="72"/>
        <v/>
      </c>
      <c r="AF144" s="11">
        <v>0</v>
      </c>
      <c r="AG144" s="38" t="str">
        <f t="shared" si="73"/>
        <v/>
      </c>
      <c r="AI144" s="30">
        <v>58394.666092711559</v>
      </c>
      <c r="AJ144" s="36">
        <f t="shared" si="58"/>
        <v>0</v>
      </c>
      <c r="AK144" s="38" t="str">
        <f t="shared" si="74"/>
        <v/>
      </c>
      <c r="AL144" s="11">
        <v>0</v>
      </c>
      <c r="AM144" s="38" t="str">
        <f t="shared" si="75"/>
        <v/>
      </c>
      <c r="AO144" s="30">
        <v>59239.303129570384</v>
      </c>
      <c r="AP144" s="36">
        <f t="shared" si="59"/>
        <v>0</v>
      </c>
      <c r="AQ144" s="38" t="str">
        <f t="shared" si="76"/>
        <v/>
      </c>
      <c r="AR144" s="11">
        <v>0</v>
      </c>
      <c r="AS144" s="38" t="str">
        <f t="shared" si="77"/>
        <v/>
      </c>
      <c r="AU144" s="30">
        <v>60004.956728929305</v>
      </c>
      <c r="AV144" s="36">
        <f t="shared" si="60"/>
        <v>0</v>
      </c>
      <c r="AW144" s="38" t="str">
        <f t="shared" si="78"/>
        <v/>
      </c>
      <c r="AX144" s="11">
        <v>0</v>
      </c>
      <c r="AY144" s="38" t="str">
        <f t="shared" si="79"/>
        <v/>
      </c>
      <c r="BA144" s="30">
        <v>60731.008508662133</v>
      </c>
      <c r="BB144" s="36">
        <f t="shared" si="61"/>
        <v>0</v>
      </c>
      <c r="BC144" s="38" t="str">
        <f t="shared" si="80"/>
        <v/>
      </c>
    </row>
    <row r="145" spans="1:55" x14ac:dyDescent="0.35">
      <c r="A145" s="44">
        <v>57253</v>
      </c>
      <c r="B145" s="27">
        <f>'Benefit-Cost'!G141</f>
        <v>0</v>
      </c>
      <c r="C145" s="38" t="str">
        <f t="shared" si="62"/>
        <v/>
      </c>
      <c r="E145" s="30">
        <v>48001.189356664683</v>
      </c>
      <c r="F145" s="48">
        <f t="shared" si="54"/>
        <v>0</v>
      </c>
      <c r="G145" s="38" t="str">
        <f t="shared" si="63"/>
        <v/>
      </c>
      <c r="H145" s="27">
        <f>'Benefit-Cost'!M141</f>
        <v>0</v>
      </c>
      <c r="I145" s="38" t="str">
        <f t="shared" si="64"/>
        <v/>
      </c>
      <c r="K145" s="30">
        <v>54315.824314112178</v>
      </c>
      <c r="L145" s="31">
        <f t="shared" si="55"/>
        <v>0</v>
      </c>
      <c r="M145" s="38" t="str">
        <f t="shared" si="65"/>
        <v/>
      </c>
      <c r="N145" s="27">
        <f>'Benefit-Cost'!S141</f>
        <v>0</v>
      </c>
      <c r="O145" s="38" t="str">
        <f t="shared" si="66"/>
        <v/>
      </c>
      <c r="Q145" s="30">
        <v>55431.688505351078</v>
      </c>
      <c r="R145" s="31">
        <f t="shared" si="56"/>
        <v>0</v>
      </c>
      <c r="S145" s="39" t="str">
        <f t="shared" si="67"/>
        <v/>
      </c>
      <c r="T145" s="27">
        <f>'Benefit-Cost'!Y141</f>
        <v>0</v>
      </c>
      <c r="U145" s="38" t="str">
        <f t="shared" si="68"/>
        <v/>
      </c>
      <c r="W145" s="30">
        <v>56342.972319377179</v>
      </c>
      <c r="X145" s="31">
        <f t="shared" si="57"/>
        <v>0</v>
      </c>
      <c r="Y145" s="39" t="str">
        <f t="shared" si="69"/>
        <v/>
      </c>
      <c r="Z145" s="27">
        <f>'Benefit-Cost'!AE141</f>
        <v>0</v>
      </c>
      <c r="AA145" s="38" t="str">
        <f t="shared" si="70"/>
        <v/>
      </c>
      <c r="AC145" s="30">
        <v>56976.453407554596</v>
      </c>
      <c r="AD145" s="36">
        <f t="shared" si="71"/>
        <v>0</v>
      </c>
      <c r="AE145" s="39" t="str">
        <f t="shared" si="72"/>
        <v/>
      </c>
      <c r="AF145" s="11">
        <v>0</v>
      </c>
      <c r="AG145" s="38" t="str">
        <f t="shared" si="73"/>
        <v/>
      </c>
      <c r="AI145" s="30">
        <v>53868.974639118962</v>
      </c>
      <c r="AJ145" s="36">
        <f t="shared" si="58"/>
        <v>0</v>
      </c>
      <c r="AK145" s="38" t="str">
        <f t="shared" si="74"/>
        <v/>
      </c>
      <c r="AL145" s="11">
        <v>0</v>
      </c>
      <c r="AM145" s="38" t="str">
        <f t="shared" si="75"/>
        <v/>
      </c>
      <c r="AO145" s="30">
        <v>54583.762766833148</v>
      </c>
      <c r="AP145" s="36">
        <f t="shared" si="59"/>
        <v>0</v>
      </c>
      <c r="AQ145" s="38" t="str">
        <f t="shared" si="76"/>
        <v/>
      </c>
      <c r="AR145" s="11">
        <v>0</v>
      </c>
      <c r="AS145" s="38" t="str">
        <f t="shared" si="77"/>
        <v/>
      </c>
      <c r="AU145" s="30">
        <v>55186.321807028842</v>
      </c>
      <c r="AV145" s="36">
        <f t="shared" si="60"/>
        <v>0</v>
      </c>
      <c r="AW145" s="38" t="str">
        <f t="shared" si="78"/>
        <v/>
      </c>
      <c r="AX145" s="11">
        <v>0</v>
      </c>
      <c r="AY145" s="38" t="str">
        <f t="shared" si="79"/>
        <v/>
      </c>
      <c r="BA145" s="30">
        <v>55702.271286420473</v>
      </c>
      <c r="BB145" s="36">
        <f t="shared" si="61"/>
        <v>0</v>
      </c>
      <c r="BC145" s="38" t="str">
        <f t="shared" si="80"/>
        <v/>
      </c>
    </row>
    <row r="146" spans="1:55" x14ac:dyDescent="0.35">
      <c r="A146" s="44">
        <v>57345</v>
      </c>
      <c r="B146" s="27">
        <f>'Benefit-Cost'!G142</f>
        <v>0</v>
      </c>
      <c r="C146" s="38" t="str">
        <f t="shared" si="62"/>
        <v/>
      </c>
      <c r="E146" s="30">
        <v>34471.691814252918</v>
      </c>
      <c r="F146" s="48">
        <f t="shared" si="54"/>
        <v>0</v>
      </c>
      <c r="G146" s="38" t="str">
        <f t="shared" si="63"/>
        <v/>
      </c>
      <c r="H146" s="27">
        <f>'Benefit-Cost'!M142</f>
        <v>0</v>
      </c>
      <c r="I146" s="38" t="str">
        <f t="shared" si="64"/>
        <v/>
      </c>
      <c r="K146" s="30">
        <v>36691.96399666724</v>
      </c>
      <c r="L146" s="31">
        <f t="shared" si="55"/>
        <v>0</v>
      </c>
      <c r="M146" s="38" t="str">
        <f t="shared" si="65"/>
        <v/>
      </c>
      <c r="N146" s="27">
        <f>'Benefit-Cost'!S142</f>
        <v>0</v>
      </c>
      <c r="O146" s="38" t="str">
        <f t="shared" si="66"/>
        <v/>
      </c>
      <c r="Q146" s="30">
        <v>36653.553924365377</v>
      </c>
      <c r="R146" s="31">
        <f t="shared" si="56"/>
        <v>0</v>
      </c>
      <c r="S146" s="39" t="str">
        <f t="shared" si="67"/>
        <v/>
      </c>
      <c r="T146" s="27">
        <f>'Benefit-Cost'!Y142</f>
        <v>0</v>
      </c>
      <c r="U146" s="38" t="str">
        <f t="shared" si="68"/>
        <v/>
      </c>
      <c r="W146" s="30">
        <v>36555.960394511116</v>
      </c>
      <c r="X146" s="31">
        <f t="shared" si="57"/>
        <v>0</v>
      </c>
      <c r="Y146" s="39" t="str">
        <f t="shared" si="69"/>
        <v/>
      </c>
      <c r="Z146" s="27">
        <f>'Benefit-Cost'!AE142</f>
        <v>0</v>
      </c>
      <c r="AA146" s="38" t="str">
        <f t="shared" si="70"/>
        <v/>
      </c>
      <c r="AC146" s="30">
        <v>36401.66470704769</v>
      </c>
      <c r="AD146" s="36">
        <f t="shared" si="71"/>
        <v>0</v>
      </c>
      <c r="AE146" s="39" t="str">
        <f t="shared" si="72"/>
        <v/>
      </c>
      <c r="AF146" s="11">
        <v>0</v>
      </c>
      <c r="AG146" s="38" t="str">
        <f t="shared" si="73"/>
        <v/>
      </c>
      <c r="AI146" s="30">
        <v>36690.225745273703</v>
      </c>
      <c r="AJ146" s="36">
        <f t="shared" si="58"/>
        <v>0</v>
      </c>
      <c r="AK146" s="38" t="str">
        <f t="shared" si="74"/>
        <v/>
      </c>
      <c r="AL146" s="11">
        <v>0</v>
      </c>
      <c r="AM146" s="38" t="str">
        <f t="shared" si="75"/>
        <v/>
      </c>
      <c r="AO146" s="30">
        <v>36691.652473334645</v>
      </c>
      <c r="AP146" s="36">
        <f t="shared" si="59"/>
        <v>0</v>
      </c>
      <c r="AQ146" s="38" t="str">
        <f t="shared" si="76"/>
        <v/>
      </c>
      <c r="AR146" s="11">
        <v>0</v>
      </c>
      <c r="AS146" s="38" t="str">
        <f t="shared" si="77"/>
        <v/>
      </c>
      <c r="AU146" s="30">
        <v>36666.339745484365</v>
      </c>
      <c r="AV146" s="36">
        <f t="shared" si="60"/>
        <v>0</v>
      </c>
      <c r="AW146" s="38" t="str">
        <f t="shared" si="78"/>
        <v/>
      </c>
      <c r="AX146" s="11">
        <v>0</v>
      </c>
      <c r="AY146" s="38" t="str">
        <f t="shared" si="79"/>
        <v/>
      </c>
      <c r="BA146" s="30">
        <v>36635.970906452305</v>
      </c>
      <c r="BB146" s="36">
        <f t="shared" si="61"/>
        <v>0</v>
      </c>
      <c r="BC146" s="38" t="str">
        <f t="shared" si="80"/>
        <v/>
      </c>
    </row>
    <row r="147" spans="1:55" ht="15.75" customHeight="1" x14ac:dyDescent="0.35">
      <c r="C147" s="49" t="s">
        <v>22</v>
      </c>
      <c r="D147" s="50" t="s">
        <v>23</v>
      </c>
      <c r="E147" s="49" t="s">
        <v>24</v>
      </c>
      <c r="F147" s="49" t="s">
        <v>25</v>
      </c>
      <c r="G147" s="49" t="s">
        <v>26</v>
      </c>
      <c r="H147" s="51" t="s">
        <v>27</v>
      </c>
      <c r="I147" s="49" t="s">
        <v>28</v>
      </c>
      <c r="J147" s="49" t="s">
        <v>29</v>
      </c>
      <c r="K147" s="49" t="s">
        <v>30</v>
      </c>
    </row>
    <row r="148" spans="1:55" ht="18" customHeight="1" x14ac:dyDescent="0.35">
      <c r="B148" s="52"/>
      <c r="C148" s="1" t="s">
        <v>31</v>
      </c>
      <c r="D148" s="1" t="s">
        <v>32</v>
      </c>
      <c r="E148" s="1" t="s">
        <v>33</v>
      </c>
      <c r="F148" s="1" t="s">
        <v>34</v>
      </c>
      <c r="G148" s="1" t="s">
        <v>35</v>
      </c>
      <c r="H148" s="1" t="s">
        <v>36</v>
      </c>
      <c r="I148" s="1" t="s">
        <v>37</v>
      </c>
      <c r="J148" s="1" t="s">
        <v>38</v>
      </c>
      <c r="K148" s="1" t="s">
        <v>39</v>
      </c>
    </row>
    <row r="149" spans="1:55" x14ac:dyDescent="0.35">
      <c r="A149" s="53" t="s">
        <v>22</v>
      </c>
      <c r="B149" s="1" t="s">
        <v>31</v>
      </c>
      <c r="C149" s="54">
        <f ca="1">CORREL(INDIRECT($B149,FALSE),INDIRECT(C$148,FALSE))</f>
        <v>1.0000000000000002</v>
      </c>
      <c r="D149" s="54">
        <f t="shared" ref="D149:K157" ca="1" si="81">CORREL(INDIRECT($B149,FALSE),INDIRECT(D$148,FALSE))</f>
        <v>0.92322631299714941</v>
      </c>
      <c r="E149" s="54">
        <f t="shared" ca="1" si="81"/>
        <v>0.70319228446576565</v>
      </c>
      <c r="F149" s="54">
        <f t="shared" ca="1" si="81"/>
        <v>0.64561268029499874</v>
      </c>
      <c r="G149" s="54">
        <f t="shared" ca="1" si="81"/>
        <v>0.61905637296885829</v>
      </c>
      <c r="H149" s="54">
        <f t="shared" ca="1" si="81"/>
        <v>0.98762247591716679</v>
      </c>
      <c r="I149" s="54">
        <f t="shared" ca="1" si="81"/>
        <v>0.91015336936357727</v>
      </c>
      <c r="J149" s="54">
        <f t="shared" ca="1" si="81"/>
        <v>0.78850054348348542</v>
      </c>
      <c r="K149" s="54">
        <f t="shared" ca="1" si="81"/>
        <v>0.72527448567222752</v>
      </c>
    </row>
    <row r="150" spans="1:55" x14ac:dyDescent="0.35">
      <c r="A150" s="53" t="s">
        <v>23</v>
      </c>
      <c r="B150" s="1" t="s">
        <v>32</v>
      </c>
      <c r="C150" s="54">
        <f t="shared" ref="C150:C157" ca="1" si="82">CORREL(INDIRECT($B150,FALSE),INDIRECT(C$148,FALSE))</f>
        <v>0.92322631299714941</v>
      </c>
      <c r="D150" s="54">
        <f t="shared" ca="1" si="81"/>
        <v>1</v>
      </c>
      <c r="E150" s="54">
        <f t="shared" ca="1" si="81"/>
        <v>0.82499005433216732</v>
      </c>
      <c r="F150" s="54">
        <f t="shared" ca="1" si="81"/>
        <v>0.78368261135520589</v>
      </c>
      <c r="G150" s="54">
        <f t="shared" ca="1" si="81"/>
        <v>0.76407262952854715</v>
      </c>
      <c r="H150" s="54">
        <f t="shared" ca="1" si="81"/>
        <v>0.95765222963358321</v>
      </c>
      <c r="I150" s="54">
        <f t="shared" ca="1" si="81"/>
        <v>0.99830327618565518</v>
      </c>
      <c r="J150" s="54">
        <f t="shared" ca="1" si="81"/>
        <v>0.8899080456960633</v>
      </c>
      <c r="K150" s="54">
        <f t="shared" ca="1" si="81"/>
        <v>0.84644105715930507</v>
      </c>
    </row>
    <row r="151" spans="1:55" x14ac:dyDescent="0.35">
      <c r="A151" s="53" t="s">
        <v>24</v>
      </c>
      <c r="B151" s="1" t="s">
        <v>33</v>
      </c>
      <c r="C151" s="54">
        <f t="shared" ca="1" si="82"/>
        <v>0.70319228446576565</v>
      </c>
      <c r="D151" s="54">
        <f t="shared" ca="1" si="81"/>
        <v>0.82499005433216732</v>
      </c>
      <c r="E151" s="54">
        <f t="shared" ca="1" si="81"/>
        <v>1</v>
      </c>
      <c r="F151" s="54">
        <f t="shared" ca="1" si="81"/>
        <v>0.99626102112058978</v>
      </c>
      <c r="G151" s="54">
        <f t="shared" ca="1" si="81"/>
        <v>0.99173610260702016</v>
      </c>
      <c r="H151" s="54">
        <f t="shared" ca="1" si="81"/>
        <v>0.74352839451743724</v>
      </c>
      <c r="I151" s="54">
        <f t="shared" ca="1" si="81"/>
        <v>0.83970647453776837</v>
      </c>
      <c r="J151" s="54">
        <f t="shared" ca="1" si="81"/>
        <v>0.98887557632638456</v>
      </c>
      <c r="K151" s="54">
        <f t="shared" ca="1" si="81"/>
        <v>0.99844713946239516</v>
      </c>
    </row>
    <row r="152" spans="1:55" x14ac:dyDescent="0.35">
      <c r="A152" s="53" t="s">
        <v>25</v>
      </c>
      <c r="B152" s="1" t="s">
        <v>34</v>
      </c>
      <c r="C152" s="54">
        <f t="shared" ca="1" si="82"/>
        <v>0.64561268029499874</v>
      </c>
      <c r="D152" s="54">
        <f t="shared" ca="1" si="81"/>
        <v>0.78368261135520589</v>
      </c>
      <c r="E152" s="54">
        <f t="shared" ca="1" si="81"/>
        <v>0.99626102112058978</v>
      </c>
      <c r="F152" s="54">
        <f t="shared" ca="1" si="81"/>
        <v>0.99999999999999978</v>
      </c>
      <c r="G152" s="54">
        <f t="shared" ca="1" si="81"/>
        <v>0.99905032228659718</v>
      </c>
      <c r="H152" s="54">
        <f t="shared" ca="1" si="81"/>
        <v>0.68910904557855346</v>
      </c>
      <c r="I152" s="54">
        <f t="shared" ca="1" si="81"/>
        <v>0.80130273071276148</v>
      </c>
      <c r="J152" s="54">
        <f t="shared" ca="1" si="81"/>
        <v>0.97317798279692191</v>
      </c>
      <c r="K152" s="54">
        <f t="shared" ca="1" si="81"/>
        <v>0.99161058534527236</v>
      </c>
    </row>
    <row r="153" spans="1:55" x14ac:dyDescent="0.35">
      <c r="A153" s="53" t="s">
        <v>26</v>
      </c>
      <c r="B153" s="1" t="s">
        <v>35</v>
      </c>
      <c r="C153" s="54">
        <f t="shared" ca="1" si="82"/>
        <v>0.61905637296885829</v>
      </c>
      <c r="D153" s="54">
        <f t="shared" ca="1" si="81"/>
        <v>0.76407262952854715</v>
      </c>
      <c r="E153" s="54">
        <f t="shared" ca="1" si="81"/>
        <v>0.99173610260702016</v>
      </c>
      <c r="F153" s="54">
        <f t="shared" ca="1" si="81"/>
        <v>0.99905032228659718</v>
      </c>
      <c r="G153" s="54">
        <f t="shared" ca="1" si="81"/>
        <v>0.99999999999999978</v>
      </c>
      <c r="H153" s="54">
        <f t="shared" ca="1" si="81"/>
        <v>0.66338829433665858</v>
      </c>
      <c r="I153" s="54">
        <f t="shared" ca="1" si="81"/>
        <v>0.78283174325369698</v>
      </c>
      <c r="J153" s="54">
        <f t="shared" ca="1" si="81"/>
        <v>0.96314610931010902</v>
      </c>
      <c r="K153" s="54">
        <f t="shared" ca="1" si="81"/>
        <v>0.98552911023062728</v>
      </c>
    </row>
    <row r="154" spans="1:55" x14ac:dyDescent="0.35">
      <c r="A154" s="53" t="s">
        <v>27</v>
      </c>
      <c r="B154" s="1" t="s">
        <v>36</v>
      </c>
      <c r="C154" s="54">
        <f t="shared" ca="1" si="82"/>
        <v>0.98762247591716679</v>
      </c>
      <c r="D154" s="54">
        <f t="shared" ca="1" si="81"/>
        <v>0.95765222963358321</v>
      </c>
      <c r="E154" s="54">
        <f t="shared" ca="1" si="81"/>
        <v>0.74352839451743724</v>
      </c>
      <c r="F154" s="54">
        <f t="shared" ca="1" si="81"/>
        <v>0.68910904557855346</v>
      </c>
      <c r="G154" s="54">
        <f t="shared" ca="1" si="81"/>
        <v>0.66338829433665858</v>
      </c>
      <c r="H154" s="54">
        <f t="shared" ca="1" si="81"/>
        <v>1</v>
      </c>
      <c r="I154" s="54">
        <f t="shared" ca="1" si="81"/>
        <v>0.94674326016269494</v>
      </c>
      <c r="J154" s="54">
        <f t="shared" ca="1" si="81"/>
        <v>0.82817984619810103</v>
      </c>
      <c r="K154" s="54">
        <f t="shared" ca="1" si="81"/>
        <v>0.76810368860460954</v>
      </c>
    </row>
    <row r="155" spans="1:55" x14ac:dyDescent="0.35">
      <c r="A155" s="53" t="s">
        <v>28</v>
      </c>
      <c r="B155" s="1" t="s">
        <v>37</v>
      </c>
      <c r="C155" s="54">
        <f t="shared" ca="1" si="82"/>
        <v>0.91015336936357727</v>
      </c>
      <c r="D155" s="54">
        <f t="shared" ca="1" si="81"/>
        <v>0.99830327618565518</v>
      </c>
      <c r="E155" s="54">
        <f t="shared" ca="1" si="81"/>
        <v>0.83970647453776837</v>
      </c>
      <c r="F155" s="54">
        <f t="shared" ca="1" si="81"/>
        <v>0.80130273071276148</v>
      </c>
      <c r="G155" s="54">
        <f t="shared" ca="1" si="81"/>
        <v>0.78283174325369698</v>
      </c>
      <c r="H155" s="54">
        <f t="shared" ca="1" si="81"/>
        <v>0.94674326016269494</v>
      </c>
      <c r="I155" s="54">
        <f t="shared" ca="1" si="81"/>
        <v>1</v>
      </c>
      <c r="J155" s="54">
        <f t="shared" ca="1" si="81"/>
        <v>0.90038013729236421</v>
      </c>
      <c r="K155" s="54">
        <f t="shared" ca="1" si="81"/>
        <v>0.86115391294593902</v>
      </c>
    </row>
    <row r="156" spans="1:55" x14ac:dyDescent="0.35">
      <c r="A156" s="53" t="s">
        <v>29</v>
      </c>
      <c r="B156" s="1" t="s">
        <v>38</v>
      </c>
      <c r="C156" s="54">
        <f t="shared" ca="1" si="82"/>
        <v>0.78850054348348542</v>
      </c>
      <c r="D156" s="54">
        <f t="shared" ca="1" si="81"/>
        <v>0.8899080456960633</v>
      </c>
      <c r="E156" s="54">
        <f t="shared" ca="1" si="81"/>
        <v>0.98887557632638456</v>
      </c>
      <c r="F156" s="54">
        <f t="shared" ca="1" si="81"/>
        <v>0.97317798279692191</v>
      </c>
      <c r="G156" s="54">
        <f t="shared" ca="1" si="81"/>
        <v>0.96314610931010902</v>
      </c>
      <c r="H156" s="54">
        <f t="shared" ca="1" si="81"/>
        <v>0.82817984619810103</v>
      </c>
      <c r="I156" s="54">
        <f t="shared" ca="1" si="81"/>
        <v>0.90038013729236421</v>
      </c>
      <c r="J156" s="54">
        <f t="shared" ca="1" si="81"/>
        <v>0.99999999999999989</v>
      </c>
      <c r="K156" s="54">
        <f t="shared" ca="1" si="81"/>
        <v>0.99432302785112425</v>
      </c>
    </row>
    <row r="157" spans="1:55" x14ac:dyDescent="0.35">
      <c r="A157" s="53" t="s">
        <v>30</v>
      </c>
      <c r="B157" s="1" t="s">
        <v>39</v>
      </c>
      <c r="C157" s="54">
        <f t="shared" ca="1" si="82"/>
        <v>0.72527448567222752</v>
      </c>
      <c r="D157" s="54">
        <f t="shared" ca="1" si="81"/>
        <v>0.84644105715930507</v>
      </c>
      <c r="E157" s="54">
        <f t="shared" ca="1" si="81"/>
        <v>0.99844713946239516</v>
      </c>
      <c r="F157" s="54">
        <f t="shared" ca="1" si="81"/>
        <v>0.99161058534527236</v>
      </c>
      <c r="G157" s="54">
        <f t="shared" ca="1" si="81"/>
        <v>0.98552911023062728</v>
      </c>
      <c r="H157" s="54">
        <f t="shared" ca="1" si="81"/>
        <v>0.76810368860460954</v>
      </c>
      <c r="I157" s="54">
        <f t="shared" ca="1" si="81"/>
        <v>0.86115391294593902</v>
      </c>
      <c r="J157" s="54">
        <f t="shared" ca="1" si="81"/>
        <v>0.99432302785112425</v>
      </c>
      <c r="K157" s="54">
        <f t="shared" ca="1" si="81"/>
        <v>1</v>
      </c>
    </row>
  </sheetData>
  <mergeCells count="9">
    <mergeCell ref="AL2:AO2"/>
    <mergeCell ref="AR2:AU2"/>
    <mergeCell ref="AX2:BA2"/>
    <mergeCell ref="B2:E2"/>
    <mergeCell ref="H2:K2"/>
    <mergeCell ref="N2:Q2"/>
    <mergeCell ref="T2:W2"/>
    <mergeCell ref="Z2:AC2"/>
    <mergeCell ref="AF2:AI2"/>
  </mergeCells>
  <conditionalFormatting sqref="D149:K149 E150:K150 H153:K153 G151:K152 I154:K154 J155:K155 K156">
    <cfRule type="colorScale" priority="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pageMargins left="0.7" right="0.7" top="0.75" bottom="0.75" header="0.3" footer="0.3"/>
  <pageSetup orientation="portrait" r:id="rId1"/>
  <legacy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B23E7E5-3062-4AA2-9689-C5022A01F2F9}">
  <sheetPr codeName="Sheet3"/>
  <dimension ref="B1:W28"/>
  <sheetViews>
    <sheetView tabSelected="1" workbookViewId="0">
      <selection activeCell="S5" sqref="S5"/>
    </sheetView>
  </sheetViews>
  <sheetFormatPr defaultRowHeight="14.5" x14ac:dyDescent="0.35"/>
  <cols>
    <col min="1" max="1" width="8.90625" customWidth="1"/>
    <col min="2" max="2" width="16.6328125" customWidth="1"/>
    <col min="3" max="3" width="12.36328125" bestFit="1" customWidth="1"/>
    <col min="4" max="7" width="17.6328125" bestFit="1" customWidth="1"/>
    <col min="8" max="11" width="13.36328125" customWidth="1"/>
    <col min="12" max="12" width="20.90625" bestFit="1" customWidth="1"/>
    <col min="14" max="14" width="16.6328125" customWidth="1"/>
    <col min="15" max="15" width="12.36328125" bestFit="1" customWidth="1"/>
    <col min="16" max="16" width="13.90625" bestFit="1" customWidth="1"/>
    <col min="17" max="17" width="12.36328125" bestFit="1" customWidth="1"/>
    <col min="18" max="18" width="14.90625" bestFit="1" customWidth="1"/>
    <col min="19" max="19" width="13.36328125" bestFit="1" customWidth="1"/>
    <col min="20" max="20" width="12.6328125" bestFit="1" customWidth="1"/>
    <col min="21" max="21" width="13.54296875" bestFit="1" customWidth="1"/>
    <col min="23" max="23" width="13.6328125" bestFit="1" customWidth="1"/>
  </cols>
  <sheetData>
    <row r="1" spans="2:23" ht="44" thickBot="1" x14ac:dyDescent="0.4">
      <c r="B1" s="55" t="s">
        <v>40</v>
      </c>
      <c r="C1" s="55" t="s">
        <v>41</v>
      </c>
      <c r="D1" s="55" t="s">
        <v>42</v>
      </c>
      <c r="E1" s="55" t="s">
        <v>43</v>
      </c>
      <c r="L1" s="55" t="s">
        <v>44</v>
      </c>
      <c r="M1" s="56" t="s">
        <v>45</v>
      </c>
      <c r="N1" s="55" t="s">
        <v>46</v>
      </c>
      <c r="O1" s="55" t="s">
        <v>41</v>
      </c>
      <c r="P1" s="55" t="s">
        <v>42</v>
      </c>
      <c r="Q1" s="55" t="s">
        <v>47</v>
      </c>
      <c r="R1" s="57" t="s">
        <v>48</v>
      </c>
      <c r="S1" s="58" t="s">
        <v>49</v>
      </c>
      <c r="T1" s="55" t="s">
        <v>50</v>
      </c>
    </row>
    <row r="2" spans="2:23" x14ac:dyDescent="0.35">
      <c r="B2" s="59" t="s">
        <v>51</v>
      </c>
      <c r="C2" s="60">
        <f>AVERAGE(returns_stdev_correl!G8:G86)</f>
        <v>-0.24532412303678364</v>
      </c>
      <c r="D2" s="61">
        <f>STDEV(returns_stdev_correl!E7:E86)</f>
        <v>8189.4535513105238</v>
      </c>
      <c r="E2" s="62">
        <f>1/COUNT($D$2:$D$10)</f>
        <v>0.1111111111111111</v>
      </c>
      <c r="L2" s="63">
        <f>(C2*E2)+(C3*E3)+(C4*E4)+(C5*E5)+(C6*E6)+(C7*E7)+(C8*E8)+(C9*E9)+(C10*E10)</f>
        <v>-7.4667094145045493E-2</v>
      </c>
      <c r="M2" s="56">
        <f>RANK($Q2,$Q$2:$Q$10)</f>
        <v>3</v>
      </c>
      <c r="N2" s="64" t="str">
        <f>$B2</f>
        <v>_0MW_0h</v>
      </c>
      <c r="O2" s="60">
        <f t="array" ref="O2:P10">C2:D10</f>
        <v>-0.24532412303678364</v>
      </c>
      <c r="P2" s="61">
        <v>8189.4535513105238</v>
      </c>
      <c r="Q2" s="65">
        <v>1.7534146513260671E-2</v>
      </c>
      <c r="R2" s="66">
        <f>O2/P2</f>
        <v>-2.9956104091649124E-5</v>
      </c>
      <c r="S2" s="67">
        <f>RANK($R2,$R$2:$R$10)</f>
        <v>8</v>
      </c>
      <c r="T2" s="63">
        <f>(O2*Q2)+(O3*Q3)+(O4*Q4)+(O5*Q5)+(O6*Q6)+(O7*Q7)+(O8*Q8)+(O9*Q9)+(O10*Q10)</f>
        <v>-2.2407973393478997E-10</v>
      </c>
      <c r="V2" t="s">
        <v>52</v>
      </c>
      <c r="W2" s="68">
        <f>(T2-L2)/ABS(L2)</f>
        <v>0.99999999699894937</v>
      </c>
    </row>
    <row r="3" spans="2:23" x14ac:dyDescent="0.35">
      <c r="B3" s="59" t="s">
        <v>53</v>
      </c>
      <c r="C3" s="60">
        <f>AVERAGE(returns_stdev_correl!M8:M86)</f>
        <v>-4.7249097539394137E-2</v>
      </c>
      <c r="D3" s="61">
        <f>STDEV(returns_stdev_correl!K8:K87)</f>
        <v>8953.7098701841915</v>
      </c>
      <c r="E3" s="62">
        <f t="shared" ref="E3:E10" si="0">1/COUNT($D$2:$D$10)</f>
        <v>0.1111111111111111</v>
      </c>
      <c r="M3" s="56">
        <f t="shared" ref="M3:M10" si="1">RANK($Q3,$Q$2:$Q$10)</f>
        <v>4</v>
      </c>
      <c r="N3" s="64" t="str">
        <f t="shared" ref="N3:N10" si="2">$B3</f>
        <v>_4.5MW_4h</v>
      </c>
      <c r="O3" s="60">
        <v>-4.7249097539394137E-2</v>
      </c>
      <c r="P3" s="61">
        <v>8953.7098701841915</v>
      </c>
      <c r="Q3" s="69">
        <v>4.0099182930834042E-3</v>
      </c>
      <c r="R3" s="66">
        <f t="shared" ref="R3:R10" si="3">O3/P3</f>
        <v>-5.2770413855750889E-6</v>
      </c>
      <c r="S3" s="67">
        <f>RANK($R3,$R$2:$R$10)</f>
        <v>7</v>
      </c>
      <c r="V3" t="s">
        <v>54</v>
      </c>
      <c r="W3" s="70">
        <f ca="1">T23/L23-1</f>
        <v>9.9613283573652955E-2</v>
      </c>
    </row>
    <row r="4" spans="2:23" x14ac:dyDescent="0.35">
      <c r="B4" s="59" t="s">
        <v>55</v>
      </c>
      <c r="C4" s="60">
        <f>AVERAGE(returns_stdev_correl!O8:O86)</f>
        <v>-4.4929112205111518E-2</v>
      </c>
      <c r="D4" s="61">
        <f>STDEV(returns_stdev_correl!Q7:Q86)</f>
        <v>9436.4042961280447</v>
      </c>
      <c r="E4" s="62">
        <f t="shared" si="0"/>
        <v>0.1111111111111111</v>
      </c>
      <c r="M4" s="56">
        <f t="shared" si="1"/>
        <v>5</v>
      </c>
      <c r="N4" s="64" t="str">
        <f t="shared" si="2"/>
        <v>_9MW_4h</v>
      </c>
      <c r="O4" s="60">
        <v>-4.4929112205111518E-2</v>
      </c>
      <c r="P4" s="61">
        <v>9436.4042961280447</v>
      </c>
      <c r="Q4" s="69">
        <v>3.8515136919076457E-3</v>
      </c>
      <c r="R4" s="66">
        <f t="shared" si="3"/>
        <v>-4.7612534176335446E-6</v>
      </c>
      <c r="S4" s="67">
        <f t="shared" ref="S4:S10" si="4">RANK($R4,$R$2:$R$10)</f>
        <v>6</v>
      </c>
    </row>
    <row r="5" spans="2:23" ht="15" thickBot="1" x14ac:dyDescent="0.4">
      <c r="B5" s="59" t="s">
        <v>56</v>
      </c>
      <c r="C5" s="60">
        <f>AVERAGE(returns_stdev_correl!Y8:Y86)</f>
        <v>1.5137411096249546E-2</v>
      </c>
      <c r="D5" s="61">
        <f>STDEV(returns_stdev_correl!W7:W86)</f>
        <v>9980.8048246114267</v>
      </c>
      <c r="E5" s="62">
        <f t="shared" si="0"/>
        <v>0.1111111111111111</v>
      </c>
      <c r="M5" s="56">
        <f t="shared" si="1"/>
        <v>9</v>
      </c>
      <c r="N5" s="64" t="str">
        <f t="shared" si="2"/>
        <v>_13.5MW_4h</v>
      </c>
      <c r="O5" s="60">
        <v>1.5137411096249546E-2</v>
      </c>
      <c r="P5" s="61">
        <v>9980.8048246114267</v>
      </c>
      <c r="Q5" s="69">
        <v>0</v>
      </c>
      <c r="R5" s="66">
        <f t="shared" si="3"/>
        <v>1.5166523504119195E-6</v>
      </c>
      <c r="S5" s="67">
        <f t="shared" si="4"/>
        <v>1</v>
      </c>
      <c r="V5" s="71" t="s">
        <v>57</v>
      </c>
      <c r="W5" s="72">
        <f ca="1">(T26-L26)/ABS(L26)</f>
        <v>-1.1406295757505018</v>
      </c>
    </row>
    <row r="6" spans="2:23" ht="15" thickBot="1" x14ac:dyDescent="0.4">
      <c r="B6" s="59" t="s">
        <v>58</v>
      </c>
      <c r="C6" s="60">
        <f>AVERAGE(returns_stdev_correl!AA8:AA86)</f>
        <v>-3.7786251087329754E-2</v>
      </c>
      <c r="D6" s="61">
        <f>STDEV(returns_stdev_correl!AC7:AC86)</f>
        <v>10547.684047909172</v>
      </c>
      <c r="E6" s="62">
        <f t="shared" si="0"/>
        <v>0.1111111111111111</v>
      </c>
      <c r="G6" s="73">
        <f>SUM(E2:E10)</f>
        <v>1.0000000000000002</v>
      </c>
      <c r="H6" s="73"/>
      <c r="I6" s="73"/>
      <c r="J6" s="73"/>
      <c r="K6" s="73"/>
      <c r="M6" s="56">
        <f t="shared" si="1"/>
        <v>6</v>
      </c>
      <c r="N6" s="64" t="str">
        <f t="shared" si="2"/>
        <v>_18MW_4h</v>
      </c>
      <c r="O6" s="60">
        <v>-3.7786251087329754E-2</v>
      </c>
      <c r="P6" s="61">
        <v>10547.684047909172</v>
      </c>
      <c r="Q6" s="69">
        <v>3.3638112369235962E-3</v>
      </c>
      <c r="R6" s="66">
        <f t="shared" si="3"/>
        <v>-3.5824215928064306E-6</v>
      </c>
      <c r="S6" s="67">
        <f t="shared" si="4"/>
        <v>4</v>
      </c>
      <c r="T6" s="74">
        <f>SUM(Q2:Q10)</f>
        <v>1.0000009999999999</v>
      </c>
    </row>
    <row r="7" spans="2:23" x14ac:dyDescent="0.35">
      <c r="B7" s="75" t="s">
        <v>59</v>
      </c>
      <c r="C7" s="60">
        <f>AVERAGE(returns_stdev_correl!AK8:AK86)</f>
        <v>-0.28975483568485283</v>
      </c>
      <c r="D7" s="61">
        <f>STDEV(returns_stdev_correl!AI7:AI86)</f>
        <v>8746.5601107258317</v>
      </c>
      <c r="E7" s="62">
        <f t="shared" si="0"/>
        <v>0.1111111111111111</v>
      </c>
      <c r="G7" s="73"/>
      <c r="H7" s="73"/>
      <c r="I7" s="73"/>
      <c r="J7" s="73"/>
      <c r="K7" s="73"/>
      <c r="M7" s="56">
        <f t="shared" si="1"/>
        <v>2</v>
      </c>
      <c r="N7" s="64" t="str">
        <f t="shared" si="2"/>
        <v>_4.5MW_2h</v>
      </c>
      <c r="O7" s="60">
        <v>-0.28975483568485283</v>
      </c>
      <c r="P7" s="61">
        <v>8746.5601107258317</v>
      </c>
      <c r="Q7" s="69">
        <v>2.0567800934361079E-2</v>
      </c>
      <c r="R7" s="66">
        <f t="shared" si="3"/>
        <v>-3.3127861927059643E-5</v>
      </c>
      <c r="S7" s="67">
        <f t="shared" si="4"/>
        <v>9</v>
      </c>
    </row>
    <row r="8" spans="2:23" x14ac:dyDescent="0.35">
      <c r="B8" s="75" t="s">
        <v>60</v>
      </c>
      <c r="C8" s="60">
        <f>AVERAGE(returns_stdev_correl!AQ8:AQ86)</f>
        <v>-3.6628511726216409E-2</v>
      </c>
      <c r="D8" s="61">
        <f>STDEV(returns_stdev_correl!AO7:AO86)</f>
        <v>9034.7343487402959</v>
      </c>
      <c r="E8" s="62">
        <f t="shared" si="0"/>
        <v>0.1111111111111111</v>
      </c>
      <c r="G8" s="73"/>
      <c r="H8" s="73"/>
      <c r="I8" s="73"/>
      <c r="J8" s="73"/>
      <c r="K8" s="73"/>
      <c r="M8" s="56">
        <f t="shared" si="1"/>
        <v>7</v>
      </c>
      <c r="N8" s="64" t="str">
        <f t="shared" si="2"/>
        <v>_9MW_2h</v>
      </c>
      <c r="O8" s="60">
        <v>-3.6628511726216409E-2</v>
      </c>
      <c r="P8" s="61">
        <v>9034.7343487402959</v>
      </c>
      <c r="Q8" s="69">
        <v>3.2847625676821783E-3</v>
      </c>
      <c r="R8" s="66">
        <f t="shared" si="3"/>
        <v>-4.0541880162003307E-6</v>
      </c>
      <c r="S8" s="67">
        <f t="shared" si="4"/>
        <v>5</v>
      </c>
    </row>
    <row r="9" spans="2:23" x14ac:dyDescent="0.35">
      <c r="B9" s="75" t="s">
        <v>61</v>
      </c>
      <c r="C9" s="60">
        <f>AVERAGE(returns_stdev_correl!AW8:AW86)</f>
        <v>3.0507514693628823E-3</v>
      </c>
      <c r="D9" s="61">
        <f>STDEV(returns_stdev_correl!AU7:AU86)</f>
        <v>9324.8227331970029</v>
      </c>
      <c r="E9" s="62">
        <f t="shared" si="0"/>
        <v>0.1111111111111111</v>
      </c>
      <c r="G9" s="73"/>
      <c r="H9" s="73"/>
      <c r="I9" s="73"/>
      <c r="J9" s="73"/>
      <c r="K9" s="73"/>
      <c r="M9" s="56">
        <f t="shared" si="1"/>
        <v>8</v>
      </c>
      <c r="N9" s="64" t="str">
        <f t="shared" si="2"/>
        <v>_13.5MW_2h</v>
      </c>
      <c r="O9" s="60">
        <v>3.0507514693628823E-3</v>
      </c>
      <c r="P9" s="61">
        <v>9324.8227331970029</v>
      </c>
      <c r="Q9" s="69">
        <v>5.755295087171593E-4</v>
      </c>
      <c r="R9" s="66">
        <f t="shared" si="3"/>
        <v>3.2716455386352809E-7</v>
      </c>
      <c r="S9" s="67">
        <f t="shared" si="4"/>
        <v>3</v>
      </c>
    </row>
    <row r="10" spans="2:23" ht="15" thickBot="1" x14ac:dyDescent="0.4">
      <c r="B10" s="75" t="s">
        <v>62</v>
      </c>
      <c r="C10" s="60">
        <f>AVERAGE(returns_stdev_correl!BC8:BC86)</f>
        <v>1.1479921408666429E-2</v>
      </c>
      <c r="D10" s="61">
        <f>STDEV(returns_stdev_correl!BA7:BA86)</f>
        <v>9624.0250995597125</v>
      </c>
      <c r="E10" s="62">
        <f t="shared" si="0"/>
        <v>0.1111111111111111</v>
      </c>
      <c r="G10" s="73"/>
      <c r="H10" s="73"/>
      <c r="I10" s="73"/>
      <c r="J10" s="73"/>
      <c r="K10" s="73"/>
      <c r="M10" s="56">
        <f t="shared" si="1"/>
        <v>1</v>
      </c>
      <c r="N10" s="64" t="str">
        <f t="shared" si="2"/>
        <v>_18MW_2h</v>
      </c>
      <c r="O10" s="60">
        <v>1.1479921408666429E-2</v>
      </c>
      <c r="P10" s="61">
        <v>9624.0250995597125</v>
      </c>
      <c r="Q10" s="76">
        <v>0.94681351725406426</v>
      </c>
      <c r="R10" s="66">
        <f t="shared" si="3"/>
        <v>1.1928399281909211E-6</v>
      </c>
      <c r="S10" s="67">
        <f t="shared" si="4"/>
        <v>2</v>
      </c>
    </row>
    <row r="11" spans="2:23" ht="15" thickBot="1" x14ac:dyDescent="0.4">
      <c r="B11" s="77" t="s">
        <v>63</v>
      </c>
      <c r="L11" s="78">
        <f>L2</f>
        <v>-7.4667094145045493E-2</v>
      </c>
      <c r="N11" s="77" t="s">
        <v>63</v>
      </c>
      <c r="T11" s="79">
        <f>T2</f>
        <v>-2.2407973393478997E-10</v>
      </c>
      <c r="U11" s="80">
        <v>0</v>
      </c>
    </row>
    <row r="12" spans="2:23" x14ac:dyDescent="0.35">
      <c r="B12" s="52"/>
      <c r="C12" s="59" t="s">
        <v>51</v>
      </c>
      <c r="D12" s="59" t="s">
        <v>53</v>
      </c>
      <c r="E12" s="59" t="s">
        <v>55</v>
      </c>
      <c r="F12" s="59" t="s">
        <v>56</v>
      </c>
      <c r="G12" s="59" t="s">
        <v>58</v>
      </c>
      <c r="H12" s="75" t="s">
        <v>59</v>
      </c>
      <c r="I12" s="75" t="s">
        <v>60</v>
      </c>
      <c r="J12" s="75" t="s">
        <v>61</v>
      </c>
      <c r="K12" s="75" t="s">
        <v>62</v>
      </c>
      <c r="N12" s="52"/>
      <c r="O12" s="59" t="s">
        <v>51</v>
      </c>
      <c r="P12" s="59" t="s">
        <v>53</v>
      </c>
      <c r="Q12" s="59" t="s">
        <v>55</v>
      </c>
      <c r="R12" s="59" t="s">
        <v>56</v>
      </c>
      <c r="S12" s="59" t="s">
        <v>58</v>
      </c>
      <c r="T12" s="75" t="s">
        <v>59</v>
      </c>
      <c r="U12" s="75" t="s">
        <v>60</v>
      </c>
      <c r="V12" s="75" t="s">
        <v>61</v>
      </c>
      <c r="W12" s="75" t="s">
        <v>62</v>
      </c>
    </row>
    <row r="13" spans="2:23" x14ac:dyDescent="0.35">
      <c r="B13" s="59" t="s">
        <v>51</v>
      </c>
      <c r="C13" s="54">
        <f t="array" ref="C13:K21" ca="1">returns_stdev_correl!C149:K157</f>
        <v>1.0000000000000002</v>
      </c>
      <c r="D13" s="81">
        <f ca="1"/>
        <v>0.92322631299714941</v>
      </c>
      <c r="E13" s="81">
        <f ca="1"/>
        <v>0.70319228446576565</v>
      </c>
      <c r="F13" s="81">
        <f ca="1"/>
        <v>0.64561268029499874</v>
      </c>
      <c r="G13" s="81">
        <f ca="1"/>
        <v>0.61905637296885829</v>
      </c>
      <c r="H13" s="81">
        <f ca="1"/>
        <v>0.98762247591716679</v>
      </c>
      <c r="I13" s="81">
        <f ca="1"/>
        <v>0.91015336936357727</v>
      </c>
      <c r="J13" s="81">
        <f ca="1"/>
        <v>0.78850054348348542</v>
      </c>
      <c r="K13" s="81">
        <f ca="1"/>
        <v>0.72527448567222752</v>
      </c>
      <c r="N13" s="64" t="str">
        <f>$B13</f>
        <v>_0MW_0h</v>
      </c>
      <c r="O13" s="82">
        <f t="array" ref="O13:W21" ca="1">C13:K21</f>
        <v>1.0000000000000002</v>
      </c>
      <c r="P13" s="83">
        <f ca="1"/>
        <v>0.92322631299714941</v>
      </c>
      <c r="Q13" s="83">
        <f ca="1"/>
        <v>0.70319228446576565</v>
      </c>
      <c r="R13" s="83">
        <f ca="1"/>
        <v>0.64561268029499874</v>
      </c>
      <c r="S13" s="83">
        <f ca="1"/>
        <v>0.61905637296885829</v>
      </c>
      <c r="T13" s="84">
        <f ca="1"/>
        <v>0.98762247591716679</v>
      </c>
      <c r="U13" s="84">
        <f ca="1"/>
        <v>0.91015336936357727</v>
      </c>
      <c r="V13" s="84">
        <f ca="1"/>
        <v>0.78850054348348542</v>
      </c>
      <c r="W13" s="84">
        <f ca="1"/>
        <v>0.72527448567222752</v>
      </c>
    </row>
    <row r="14" spans="2:23" x14ac:dyDescent="0.35">
      <c r="B14" s="59" t="s">
        <v>53</v>
      </c>
      <c r="C14" s="81">
        <f ca="1"/>
        <v>0.92322631299714941</v>
      </c>
      <c r="D14" s="54">
        <f ca="1"/>
        <v>1</v>
      </c>
      <c r="E14" s="81">
        <f ca="1"/>
        <v>0.82499005433216732</v>
      </c>
      <c r="F14" s="81">
        <f ca="1"/>
        <v>0.78368261135520589</v>
      </c>
      <c r="G14" s="81">
        <f ca="1"/>
        <v>0.76407262952854715</v>
      </c>
      <c r="H14" s="81">
        <f ca="1"/>
        <v>0.95765222963358321</v>
      </c>
      <c r="I14" s="81">
        <f ca="1"/>
        <v>0.99830327618565518</v>
      </c>
      <c r="J14" s="81">
        <f ca="1"/>
        <v>0.8899080456960633</v>
      </c>
      <c r="K14" s="81">
        <f ca="1"/>
        <v>0.84644105715930507</v>
      </c>
      <c r="N14" s="64" t="str">
        <f t="shared" ref="N14:N21" si="5">$B14</f>
        <v>_4.5MW_4h</v>
      </c>
      <c r="O14" s="83">
        <f ca="1"/>
        <v>0.92322631299714941</v>
      </c>
      <c r="P14" s="82">
        <f ca="1"/>
        <v>1</v>
      </c>
      <c r="Q14" s="83">
        <f ca="1"/>
        <v>0.82499005433216732</v>
      </c>
      <c r="R14" s="83">
        <f ca="1"/>
        <v>0.78368261135520589</v>
      </c>
      <c r="S14" s="83">
        <f ca="1"/>
        <v>0.76407262952854715</v>
      </c>
      <c r="T14" s="84">
        <f ca="1"/>
        <v>0.95765222963358321</v>
      </c>
      <c r="U14" s="84">
        <f ca="1"/>
        <v>0.99830327618565518</v>
      </c>
      <c r="V14" s="84">
        <f ca="1"/>
        <v>0.8899080456960633</v>
      </c>
      <c r="W14" s="84">
        <f ca="1"/>
        <v>0.84644105715930507</v>
      </c>
    </row>
    <row r="15" spans="2:23" x14ac:dyDescent="0.35">
      <c r="B15" s="59" t="s">
        <v>55</v>
      </c>
      <c r="C15" s="81">
        <f ca="1"/>
        <v>0.70319228446576565</v>
      </c>
      <c r="D15" s="81">
        <f ca="1"/>
        <v>0.82499005433216732</v>
      </c>
      <c r="E15" s="54">
        <f ca="1"/>
        <v>1</v>
      </c>
      <c r="F15" s="81">
        <f ca="1"/>
        <v>0.99626102112058978</v>
      </c>
      <c r="G15" s="81">
        <f ca="1"/>
        <v>0.99173610260702016</v>
      </c>
      <c r="H15" s="81">
        <f ca="1"/>
        <v>0.74352839451743724</v>
      </c>
      <c r="I15" s="81">
        <f ca="1"/>
        <v>0.83970647453776837</v>
      </c>
      <c r="J15" s="81">
        <f ca="1"/>
        <v>0.98887557632638456</v>
      </c>
      <c r="K15" s="81">
        <f ca="1"/>
        <v>0.99844713946239516</v>
      </c>
      <c r="N15" s="64" t="str">
        <f t="shared" si="5"/>
        <v>_9MW_4h</v>
      </c>
      <c r="O15" s="83">
        <f ca="1"/>
        <v>0.70319228446576565</v>
      </c>
      <c r="P15" s="83">
        <f ca="1"/>
        <v>0.82499005433216732</v>
      </c>
      <c r="Q15" s="82">
        <f ca="1"/>
        <v>1</v>
      </c>
      <c r="R15" s="83">
        <f ca="1"/>
        <v>0.99626102112058978</v>
      </c>
      <c r="S15" s="83">
        <f ca="1"/>
        <v>0.99173610260702016</v>
      </c>
      <c r="T15" s="84">
        <f ca="1"/>
        <v>0.74352839451743724</v>
      </c>
      <c r="U15" s="84">
        <f ca="1"/>
        <v>0.83970647453776837</v>
      </c>
      <c r="V15" s="84">
        <f ca="1"/>
        <v>0.98887557632638456</v>
      </c>
      <c r="W15" s="84">
        <f ca="1"/>
        <v>0.99844713946239516</v>
      </c>
    </row>
    <row r="16" spans="2:23" x14ac:dyDescent="0.35">
      <c r="B16" s="59" t="s">
        <v>56</v>
      </c>
      <c r="C16" s="81">
        <f ca="1"/>
        <v>0.64561268029499874</v>
      </c>
      <c r="D16" s="81">
        <f ca="1"/>
        <v>0.78368261135520589</v>
      </c>
      <c r="E16" s="81">
        <f ca="1"/>
        <v>0.99626102112058978</v>
      </c>
      <c r="F16" s="54">
        <f ca="1"/>
        <v>0.99999999999999978</v>
      </c>
      <c r="G16" s="81">
        <f ca="1"/>
        <v>0.99905032228659718</v>
      </c>
      <c r="H16" s="81">
        <f ca="1"/>
        <v>0.68910904557855346</v>
      </c>
      <c r="I16" s="81">
        <f ca="1"/>
        <v>0.80130273071276148</v>
      </c>
      <c r="J16" s="81">
        <f ca="1"/>
        <v>0.97317798279692191</v>
      </c>
      <c r="K16" s="81">
        <f ca="1"/>
        <v>0.99161058534527236</v>
      </c>
      <c r="N16" s="64" t="str">
        <f t="shared" si="5"/>
        <v>_13.5MW_4h</v>
      </c>
      <c r="O16" s="83">
        <f ca="1"/>
        <v>0.64561268029499874</v>
      </c>
      <c r="P16" s="83">
        <f ca="1"/>
        <v>0.78368261135520589</v>
      </c>
      <c r="Q16" s="83">
        <f ca="1"/>
        <v>0.99626102112058978</v>
      </c>
      <c r="R16" s="82">
        <f ca="1"/>
        <v>0.99999999999999978</v>
      </c>
      <c r="S16" s="83">
        <f ca="1"/>
        <v>0.99905032228659718</v>
      </c>
      <c r="T16" s="84">
        <f ca="1"/>
        <v>0.68910904557855346</v>
      </c>
      <c r="U16" s="84">
        <f ca="1"/>
        <v>0.80130273071276148</v>
      </c>
      <c r="V16" s="84">
        <f ca="1"/>
        <v>0.97317798279692191</v>
      </c>
      <c r="W16" s="84">
        <f ca="1"/>
        <v>0.99161058534527236</v>
      </c>
    </row>
    <row r="17" spans="2:23" x14ac:dyDescent="0.35">
      <c r="B17" s="59" t="s">
        <v>58</v>
      </c>
      <c r="C17" s="81">
        <f ca="1"/>
        <v>0.61905637296885829</v>
      </c>
      <c r="D17" s="81">
        <f ca="1"/>
        <v>0.76407262952854715</v>
      </c>
      <c r="E17" s="81">
        <f ca="1"/>
        <v>0.99173610260702016</v>
      </c>
      <c r="F17" s="81">
        <f ca="1"/>
        <v>0.99905032228659718</v>
      </c>
      <c r="G17" s="54">
        <f ca="1"/>
        <v>0.99999999999999978</v>
      </c>
      <c r="H17" s="81">
        <f ca="1"/>
        <v>0.66338829433665858</v>
      </c>
      <c r="I17" s="81">
        <f ca="1"/>
        <v>0.78283174325369698</v>
      </c>
      <c r="J17" s="81">
        <f ca="1"/>
        <v>0.96314610931010902</v>
      </c>
      <c r="K17" s="81">
        <f ca="1"/>
        <v>0.98552911023062728</v>
      </c>
      <c r="N17" s="64" t="str">
        <f t="shared" si="5"/>
        <v>_18MW_4h</v>
      </c>
      <c r="O17" s="83">
        <f ca="1"/>
        <v>0.61905637296885829</v>
      </c>
      <c r="P17" s="83">
        <f ca="1"/>
        <v>0.76407262952854715</v>
      </c>
      <c r="Q17" s="83">
        <f ca="1"/>
        <v>0.99173610260702016</v>
      </c>
      <c r="R17" s="83">
        <f ca="1"/>
        <v>0.99905032228659718</v>
      </c>
      <c r="S17" s="82">
        <f ca="1"/>
        <v>0.99999999999999978</v>
      </c>
      <c r="T17" s="84">
        <f ca="1"/>
        <v>0.66338829433665858</v>
      </c>
      <c r="U17" s="84">
        <f ca="1"/>
        <v>0.78283174325369698</v>
      </c>
      <c r="V17" s="84">
        <f ca="1"/>
        <v>0.96314610931010902</v>
      </c>
      <c r="W17" s="84">
        <f ca="1"/>
        <v>0.98552911023062728</v>
      </c>
    </row>
    <row r="18" spans="2:23" x14ac:dyDescent="0.35">
      <c r="B18" s="75" t="s">
        <v>59</v>
      </c>
      <c r="C18" s="81">
        <f ca="1"/>
        <v>0.98762247591716679</v>
      </c>
      <c r="D18" s="81">
        <f ca="1"/>
        <v>0.95765222963358321</v>
      </c>
      <c r="E18" s="81">
        <f ca="1"/>
        <v>0.74352839451743724</v>
      </c>
      <c r="F18" s="81">
        <f ca="1"/>
        <v>0.68910904557855346</v>
      </c>
      <c r="G18" s="81">
        <f ca="1"/>
        <v>0.66338829433665858</v>
      </c>
      <c r="H18" s="54">
        <f ca="1"/>
        <v>1</v>
      </c>
      <c r="I18" s="81">
        <f ca="1"/>
        <v>0.94674326016269494</v>
      </c>
      <c r="J18" s="81">
        <f ca="1"/>
        <v>0.82817984619810103</v>
      </c>
      <c r="K18" s="81">
        <f ca="1"/>
        <v>0.76810368860460954</v>
      </c>
      <c r="N18" s="64" t="str">
        <f t="shared" si="5"/>
        <v>_4.5MW_2h</v>
      </c>
      <c r="O18" s="83">
        <f ca="1"/>
        <v>0.98762247591716679</v>
      </c>
      <c r="P18" s="83">
        <f ca="1"/>
        <v>0.95765222963358321</v>
      </c>
      <c r="Q18" s="83">
        <f ca="1"/>
        <v>0.74352839451743724</v>
      </c>
      <c r="R18" s="83">
        <f ca="1"/>
        <v>0.68910904557855346</v>
      </c>
      <c r="S18" s="82">
        <f ca="1"/>
        <v>0.66338829433665858</v>
      </c>
      <c r="T18" s="82">
        <f ca="1"/>
        <v>1</v>
      </c>
      <c r="U18" s="84">
        <f ca="1"/>
        <v>0.94674326016269494</v>
      </c>
      <c r="V18" s="84">
        <f ca="1"/>
        <v>0.82817984619810103</v>
      </c>
      <c r="W18" s="84">
        <f ca="1"/>
        <v>0.76810368860460954</v>
      </c>
    </row>
    <row r="19" spans="2:23" x14ac:dyDescent="0.35">
      <c r="B19" s="75" t="s">
        <v>60</v>
      </c>
      <c r="C19" s="81">
        <f ca="1"/>
        <v>0.91015336936357727</v>
      </c>
      <c r="D19" s="81">
        <f ca="1"/>
        <v>0.99830327618565518</v>
      </c>
      <c r="E19" s="81">
        <f ca="1"/>
        <v>0.83970647453776837</v>
      </c>
      <c r="F19" s="81">
        <f ca="1"/>
        <v>0.80130273071276148</v>
      </c>
      <c r="G19" s="81">
        <f ca="1"/>
        <v>0.78283174325369698</v>
      </c>
      <c r="H19" s="81">
        <f ca="1"/>
        <v>0.94674326016269494</v>
      </c>
      <c r="I19" s="54">
        <f ca="1"/>
        <v>1</v>
      </c>
      <c r="J19" s="81">
        <f ca="1"/>
        <v>0.90038013729236421</v>
      </c>
      <c r="K19" s="81">
        <f ca="1"/>
        <v>0.86115391294593902</v>
      </c>
      <c r="N19" s="64" t="str">
        <f t="shared" si="5"/>
        <v>_9MW_2h</v>
      </c>
      <c r="O19" s="83">
        <f ca="1"/>
        <v>0.91015336936357727</v>
      </c>
      <c r="P19" s="83">
        <f ca="1"/>
        <v>0.99830327618565518</v>
      </c>
      <c r="Q19" s="83">
        <f ca="1"/>
        <v>0.83970647453776837</v>
      </c>
      <c r="R19" s="83">
        <f ca="1"/>
        <v>0.80130273071276148</v>
      </c>
      <c r="S19" s="82">
        <f ca="1"/>
        <v>0.78283174325369698</v>
      </c>
      <c r="T19" s="84">
        <f ca="1"/>
        <v>0.94674326016269494</v>
      </c>
      <c r="U19" s="82">
        <f ca="1"/>
        <v>1</v>
      </c>
      <c r="V19" s="84">
        <f ca="1"/>
        <v>0.90038013729236421</v>
      </c>
      <c r="W19" s="84">
        <f ca="1"/>
        <v>0.86115391294593902</v>
      </c>
    </row>
    <row r="20" spans="2:23" x14ac:dyDescent="0.35">
      <c r="B20" s="75" t="s">
        <v>61</v>
      </c>
      <c r="C20" s="81">
        <f ca="1"/>
        <v>0.78850054348348542</v>
      </c>
      <c r="D20" s="81">
        <f ca="1"/>
        <v>0.8899080456960633</v>
      </c>
      <c r="E20" s="81">
        <f ca="1"/>
        <v>0.98887557632638456</v>
      </c>
      <c r="F20" s="81">
        <f ca="1"/>
        <v>0.97317798279692191</v>
      </c>
      <c r="G20" s="81">
        <f ca="1"/>
        <v>0.96314610931010902</v>
      </c>
      <c r="H20" s="81">
        <f ca="1"/>
        <v>0.82817984619810103</v>
      </c>
      <c r="I20" s="81">
        <f ca="1"/>
        <v>0.90038013729236421</v>
      </c>
      <c r="J20" s="54">
        <f ca="1"/>
        <v>0.99999999999999989</v>
      </c>
      <c r="K20" s="81">
        <f ca="1"/>
        <v>0.99432302785112425</v>
      </c>
      <c r="N20" s="64" t="str">
        <f t="shared" si="5"/>
        <v>_13.5MW_2h</v>
      </c>
      <c r="O20" s="83">
        <f ca="1"/>
        <v>0.78850054348348542</v>
      </c>
      <c r="P20" s="83">
        <f ca="1"/>
        <v>0.8899080456960633</v>
      </c>
      <c r="Q20" s="83">
        <f ca="1"/>
        <v>0.98887557632638456</v>
      </c>
      <c r="R20" s="83">
        <f ca="1"/>
        <v>0.97317798279692191</v>
      </c>
      <c r="S20" s="82">
        <f ca="1"/>
        <v>0.96314610931010902</v>
      </c>
      <c r="T20" s="84">
        <f ca="1"/>
        <v>0.82817984619810103</v>
      </c>
      <c r="U20" s="84">
        <f ca="1"/>
        <v>0.90038013729236421</v>
      </c>
      <c r="V20" s="82">
        <f ca="1"/>
        <v>0.99999999999999989</v>
      </c>
      <c r="W20" s="84">
        <f ca="1"/>
        <v>0.99432302785112425</v>
      </c>
    </row>
    <row r="21" spans="2:23" x14ac:dyDescent="0.35">
      <c r="B21" s="75" t="s">
        <v>62</v>
      </c>
      <c r="C21" s="81">
        <f ca="1"/>
        <v>0.72527448567222752</v>
      </c>
      <c r="D21" s="81">
        <f ca="1"/>
        <v>0.84644105715930507</v>
      </c>
      <c r="E21" s="81">
        <f ca="1"/>
        <v>0.99844713946239516</v>
      </c>
      <c r="F21" s="81">
        <f ca="1"/>
        <v>0.99161058534527236</v>
      </c>
      <c r="G21" s="81">
        <f ca="1"/>
        <v>0.98552911023062728</v>
      </c>
      <c r="H21" s="81">
        <f ca="1"/>
        <v>0.76810368860460954</v>
      </c>
      <c r="I21" s="81">
        <f ca="1"/>
        <v>0.86115391294593902</v>
      </c>
      <c r="J21" s="81">
        <f ca="1"/>
        <v>0.99432302785112425</v>
      </c>
      <c r="K21" s="54">
        <f ca="1"/>
        <v>1</v>
      </c>
      <c r="N21" s="64" t="str">
        <f t="shared" si="5"/>
        <v>_18MW_2h</v>
      </c>
      <c r="O21" s="83">
        <f ca="1"/>
        <v>0.72527448567222752</v>
      </c>
      <c r="P21" s="83">
        <f ca="1"/>
        <v>0.84644105715930507</v>
      </c>
      <c r="Q21" s="83">
        <f ca="1"/>
        <v>0.99844713946239516</v>
      </c>
      <c r="R21" s="83">
        <f ca="1"/>
        <v>0.99161058534527236</v>
      </c>
      <c r="S21" s="82">
        <f ca="1"/>
        <v>0.98552911023062728</v>
      </c>
      <c r="T21" s="84">
        <f ca="1"/>
        <v>0.76810368860460954</v>
      </c>
      <c r="U21" s="84">
        <f ca="1"/>
        <v>0.86115391294593902</v>
      </c>
      <c r="V21" s="84">
        <f ca="1"/>
        <v>0.99432302785112425</v>
      </c>
      <c r="W21" s="82">
        <f ca="1"/>
        <v>1</v>
      </c>
    </row>
    <row r="22" spans="2:23" x14ac:dyDescent="0.35">
      <c r="B22" s="77" t="s">
        <v>64</v>
      </c>
      <c r="L22" s="85">
        <f ca="1">(E2^2*D2^2)+(E3^2*D3^2)+(E4^2*D4^2)+(E5^2*D5^2)+(E6^2*D6^2)+(E7^2*D7^2)+(E8^2*D8^2)+(E9^2*D9^2)+(E10^2*D10^2)+2*((E2*E3*D2*D3*D13)+(E2*E4*D2*D4*E13)+(E2*E5*D2*D5*F13)+(E2*E6*D2*D6*G13)+(E2*E7*D2*D7*H13)+(E2*E8*D2*D8*I13)+(E2*E9*D2*D9*J13)+(E2*E10*D2*D10*K13)+(E3*E4*D3*D4*E14)+(E3*E5*D3*D5*F14)+(E3*E6*D3*D6*G14)+(E3*E7*D3*D7*H14)+(E3*E8*D3*D8*I14)+(E3*E9*D3*D9*J14)+(E3*E10*D3*D10*K14)+(E4*E5*D4*D5*F15)+(E4*E6*D4*D6*G15)+(E4*E7*D4*D7*H15)+(E4*E8*D4*D8*I15)+(E4*E9*D4*D9*J15)+(E4*E10*D4*D10*K15)+(E6*E7*D6*D7*H17)+(E6*E8*D6*D8*I17)+(E6*E9*D6*D9*J17)+(E7*E8*D7*D8*I18)+(E7*E9*D7*D9*J18)+(E7*E10*D7*D10*K18)+(E8*E9*D8*D9*J19)+(E8*E10*D8*D10*K19)+(E9*E10*D9*D10*K20)+(E5*E6*D5*D6*G16)+(E5*E7*D5*D7*H16)+(E5*E8*D5*D8*I16)+(E5*E9*D5*D9*J16)+(E5*E10*D5*D10*K16))</f>
        <v>73954978.105498061</v>
      </c>
      <c r="N22" s="77" t="s">
        <v>64</v>
      </c>
      <c r="T22" s="85">
        <f ca="1">(Q2^2*P2^2)+(Q3^2*P3^2)+(Q4^2*P4^2)+(Q5^2*P5^2)+(Q6^2*P6^2)+(Q7^2*P7^2)+(Q8^2*P8^2)+(Q9^2*P9^2)+(Q10^2*P10^2)+2*((Q2*Q3*P2*P3*D13)+(Q2*Q4*P2*P4*E13)+(Q2*Q5*P2*P5*F13)+(Q2*Q6*P2*P6*G13)+(Q2*Q7*P2*P7*H13)+(Q2*Q8*P2*P8*I13)+(Q2*Q9*P2*P9*J13)+(Q2*Q10*P2*P10*K13)+(Q3*Q4*P3*P4*E14)+(Q3*Q5*P3*P5*F14)+(Q3*Q6*P3*P6*G14)+(Q3*Q7*P3*P7*H14)+(Q3*Q8*P3*P8*I14)+(Q3*Q9*P3*P9*J14)+(Q3*Q10*P3*P10*K14)+(Q4*Q5*P4*P5*F15)+(Q4*Q6*P4*P6*G15)+(Q4*Q7*P4*P7*H15)+(Q4*Q8*P4*P8*I15)+(Q4*Q9*P4*P9*J15)+(Q4*Q10*P4*P10*K15)+(Q6*Q7*P6*P7*H17)+(Q6*Q8*P6*P8*I17)+(Q6*Q9*P6*P9*J17)+(Q7*Q8*P7*P8*I18)+(Q7*Q9*P7*P9*J18)+(Q7*Q10*P7*P10*K18)+(Q8*Q9*P8*P9*J19)+(Q8*Q10*P8*P10*K19)+(Q9*Q10*P9*P10*K20)+(Q5*Q6*P5*P6*G16)+(Q5*Q7*P5*P7*H16)+(Q5*Q8*P5*P8*I16)+(Q5*Q9*P5*P9*J16)+(Q5*Q10*P5*P10*K16))</f>
        <v>89422615.436933875</v>
      </c>
    </row>
    <row r="23" spans="2:23" x14ac:dyDescent="0.35">
      <c r="B23" s="77" t="s">
        <v>65</v>
      </c>
      <c r="L23" s="86">
        <f ca="1">SQRT(L22)</f>
        <v>8599.7080244330427</v>
      </c>
      <c r="N23" s="77" t="s">
        <v>65</v>
      </c>
      <c r="R23" s="1" t="str">
        <f ca="1">IF(T23&lt;L23,"Yes","No")</f>
        <v>No</v>
      </c>
      <c r="T23" s="86">
        <f ca="1">SQRT(T22)</f>
        <v>9456.3531785215109</v>
      </c>
    </row>
    <row r="24" spans="2:23" x14ac:dyDescent="0.35">
      <c r="R24" s="87" t="str">
        <f ca="1">"risk "&amp;ROUND((T23-L23)/ABS(L23),3)</f>
        <v>risk 0.1</v>
      </c>
    </row>
    <row r="26" spans="2:23" x14ac:dyDescent="0.35">
      <c r="B26" t="s">
        <v>66</v>
      </c>
      <c r="L26" s="88">
        <f ca="1">(ABS(L11)-0.01)/L23</f>
        <v>7.5196848499177786E-6</v>
      </c>
      <c r="N26" t="s">
        <v>66</v>
      </c>
      <c r="T26" s="88">
        <f ca="1">(ABS(T11)-0.01)/T23</f>
        <v>-1.0574900902214139E-6</v>
      </c>
    </row>
    <row r="27" spans="2:23" x14ac:dyDescent="0.35">
      <c r="R27" s="89" t="str">
        <f ca="1">IF(T26&gt;L26,"Yes","No")</f>
        <v>No</v>
      </c>
      <c r="S27" t="s">
        <v>67</v>
      </c>
    </row>
    <row r="28" spans="2:23" x14ac:dyDescent="0.35">
      <c r="R28" s="90" t="str">
        <f ca="1">"return "&amp;ROUND((T26-L26)/ABS(L26),3)</f>
        <v>return -1.141</v>
      </c>
      <c r="S28" t="s">
        <v>68</v>
      </c>
    </row>
  </sheetData>
  <conditionalFormatting sqref="D13:K13 E14:K14 F15:K15 G16:K16">
    <cfRule type="colorScale" priority="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13:S13 Q14:S14 R15:S15 S16">
    <cfRule type="colorScale" priority="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D13:K13 E14:K14 F15:K15 G16:K16 H17:K17 I18:K18 J19:K19 K20">
    <cfRule type="colorScale" priority="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13:W13 Q14:W14 R15:W15 S16:W16 T17:W17 U18:W18 V19:W19 W20">
    <cfRule type="colorScale" priority="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M2:M10">
    <cfRule type="colorScale" priority="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73" r:id="rId4" name="Button 1">
              <controlPr defaultSize="0" print="0" autoFill="0" autoPict="0" macro="[0]!SolverLoop">
                <anchor moveWithCells="1" sizeWithCells="1">
                  <from>
                    <xdr:col>15</xdr:col>
                    <xdr:colOff>374650</xdr:colOff>
                    <xdr:row>0</xdr:row>
                    <xdr:rowOff>31750</xdr:rowOff>
                  </from>
                  <to>
                    <xdr:col>17</xdr:col>
                    <xdr:colOff>711200</xdr:colOff>
                    <xdr:row>0</xdr:row>
                    <xdr:rowOff>215900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4" r:id="rId5" name="Button 2">
              <controlPr defaultSize="0" print="0" autoFill="0" autoPict="0" macro="[0]!RefreshTargetWeights">
                <anchor moveWithCells="1" sizeWithCells="1">
                  <from>
                    <xdr:col>18</xdr:col>
                    <xdr:colOff>38100</xdr:colOff>
                    <xdr:row>0</xdr:row>
                    <xdr:rowOff>76200</xdr:rowOff>
                  </from>
                  <to>
                    <xdr:col>18</xdr:col>
                    <xdr:colOff>717550</xdr:colOff>
                    <xdr:row>0</xdr:row>
                    <xdr:rowOff>222250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3</vt:i4>
      </vt:variant>
      <vt:variant>
        <vt:lpstr>Named Ranges</vt:lpstr>
      </vt:variant>
      <vt:variant>
        <vt:i4>10</vt:i4>
      </vt:variant>
    </vt:vector>
  </HeadingPairs>
  <TitlesOfParts>
    <vt:vector size="13" baseType="lpstr">
      <vt:lpstr>Benefit-Cost</vt:lpstr>
      <vt:lpstr>returns_stdev_correl</vt:lpstr>
      <vt:lpstr>portVar_9AssetModel</vt:lpstr>
      <vt:lpstr>eighteenMWfourHR</vt:lpstr>
      <vt:lpstr>eighteenMWtwoHR</vt:lpstr>
      <vt:lpstr>fourPtFiveMWfourHR</vt:lpstr>
      <vt:lpstr>fourPtFiveMWtwoHR</vt:lpstr>
      <vt:lpstr>nineMWfourHR</vt:lpstr>
      <vt:lpstr>nineMWtwoHR</vt:lpstr>
      <vt:lpstr>thirteenPtFiveMWfourHR</vt:lpstr>
      <vt:lpstr>thirteenPtFiveMWtwoHR</vt:lpstr>
      <vt:lpstr>zeroMWzeroHR</vt:lpstr>
      <vt:lpstr>zeroMWzeroHRChange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Koropey, Boris</dc:creator>
  <cp:lastModifiedBy>Koropey, Boris</cp:lastModifiedBy>
  <dcterms:created xsi:type="dcterms:W3CDTF">2021-02-21T20:02:18Z</dcterms:created>
  <dcterms:modified xsi:type="dcterms:W3CDTF">2021-02-21T20:15:01Z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MSIP_Label_6490586b-6766-439a-826f-fa6da183971c_Enabled">
    <vt:lpwstr>true</vt:lpwstr>
  </property>
  <property fmtid="{D5CDD505-2E9C-101B-9397-08002B2CF9AE}" pid="3" name="MSIP_Label_6490586b-6766-439a-826f-fa6da183971c_SetDate">
    <vt:lpwstr>2021-02-21T20:03:01Z</vt:lpwstr>
  </property>
  <property fmtid="{D5CDD505-2E9C-101B-9397-08002B2CF9AE}" pid="4" name="MSIP_Label_6490586b-6766-439a-826f-fa6da183971c_Method">
    <vt:lpwstr>Standard</vt:lpwstr>
  </property>
  <property fmtid="{D5CDD505-2E9C-101B-9397-08002B2CF9AE}" pid="5" name="MSIP_Label_6490586b-6766-439a-826f-fa6da183971c_Name">
    <vt:lpwstr>General</vt:lpwstr>
  </property>
  <property fmtid="{D5CDD505-2E9C-101B-9397-08002B2CF9AE}" pid="6" name="MSIP_Label_6490586b-6766-439a-826f-fa6da183971c_SiteId">
    <vt:lpwstr>e9aef9b7-25ca-4518-a881-33e546773136</vt:lpwstr>
  </property>
  <property fmtid="{D5CDD505-2E9C-101B-9397-08002B2CF9AE}" pid="7" name="MSIP_Label_6490586b-6766-439a-826f-fa6da183971c_ActionId">
    <vt:lpwstr>6441e466-c8be-4b54-9579-00001612b20b</vt:lpwstr>
  </property>
  <property fmtid="{D5CDD505-2E9C-101B-9397-08002B2CF9AE}" pid="8" name="MSIP_Label_6490586b-6766-439a-826f-fa6da183971c_ContentBits">
    <vt:lpwstr>0</vt:lpwstr>
  </property>
</Properties>
</file>